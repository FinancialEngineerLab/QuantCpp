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DB\github5\HW_Calibration\"/>
    </mc:Choice>
  </mc:AlternateContent>
  <bookViews>
    <workbookView xWindow="0" yWindow="0" windowWidth="23040" windowHeight="910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1" l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C1" i="1"/>
  <c r="D1" i="1" s="1"/>
  <c r="B1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5" i="1"/>
  <c r="A4" i="1"/>
  <c r="A1" i="1"/>
  <c r="Q12" i="1" l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Q54" i="1" s="1"/>
  <c r="Q55" i="1" s="1"/>
  <c r="Q56" i="1" s="1"/>
  <c r="Q57" i="1" s="1"/>
  <c r="Q58" i="1" s="1"/>
  <c r="Q59" i="1" s="1"/>
  <c r="Q60" i="1" s="1"/>
  <c r="Q61" i="1" s="1"/>
  <c r="Q62" i="1" s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Q105" i="1" s="1"/>
  <c r="Q106" i="1" s="1"/>
  <c r="Q107" i="1" s="1"/>
  <c r="Q108" i="1" s="1"/>
  <c r="Q109" i="1" s="1"/>
  <c r="Q110" i="1" s="1"/>
  <c r="L106" i="1"/>
  <c r="L107" i="1" s="1"/>
  <c r="L108" i="1" s="1"/>
  <c r="L109" i="1" s="1"/>
  <c r="L110" i="1" s="1"/>
  <c r="L70" i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12" i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<sst xmlns="http://schemas.openxmlformats.org/spreadsheetml/2006/main" count="23" uniqueCount="20">
  <si>
    <t>Hull White 1Factor Calibration</t>
    <phoneticPr fontId="1" type="noConversion"/>
  </si>
  <si>
    <t>Cap Info</t>
    <phoneticPr fontId="1" type="noConversion"/>
  </si>
  <si>
    <t>Cap Frequency</t>
    <phoneticPr fontId="1" type="noConversion"/>
  </si>
  <si>
    <t>Term입력</t>
    <phoneticPr fontId="1" type="noConversion"/>
  </si>
  <si>
    <t>Vol입력</t>
    <phoneticPr fontId="1" type="noConversion"/>
  </si>
  <si>
    <t>Zero Rate</t>
    <phoneticPr fontId="1" type="noConversion"/>
  </si>
  <si>
    <t>Index</t>
    <phoneticPr fontId="1" type="noConversion"/>
  </si>
  <si>
    <t>ATM Swaption Info</t>
    <phoneticPr fontId="1" type="noConversion"/>
  </si>
  <si>
    <t>옵션만기</t>
    <phoneticPr fontId="1" type="noConversion"/>
  </si>
  <si>
    <t>스왑만기</t>
    <phoneticPr fontId="1" type="noConversion"/>
  </si>
  <si>
    <t>Term</t>
    <phoneticPr fontId="1" type="noConversion"/>
  </si>
  <si>
    <t>Vol</t>
    <phoneticPr fontId="1" type="noConversion"/>
  </si>
  <si>
    <t>Swap Frequency</t>
    <phoneticPr fontId="1" type="noConversion"/>
  </si>
  <si>
    <t>Result HW</t>
    <phoneticPr fontId="1" type="noConversion"/>
  </si>
  <si>
    <t>kappa</t>
    <phoneticPr fontId="1" type="noConversion"/>
  </si>
  <si>
    <t>Kappa고정값</t>
    <phoneticPr fontId="1" type="noConversion"/>
  </si>
  <si>
    <t>Swaption/Cap Flag</t>
    <phoneticPr fontId="1" type="noConversion"/>
  </si>
  <si>
    <t>Kappa고정Flag</t>
    <phoneticPr fontId="1" type="noConversion"/>
  </si>
  <si>
    <t/>
  </si>
  <si>
    <t>Error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</si>
</sst>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_);[Red]\(0\)"/>
    <numFmt numFmtId="177" formatCode="0.00_);[Red]\(0.00\)"/>
    <numFmt numFmtId="178" formatCode="0.0000_);[Red]\(0.0000\)"/>
    <numFmt numFmtId="179" formatCode="0.0000000_);[Red]\(0.0000000\)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14999847407452621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2" borderId="0" xfId="0" applyFill="1">
      <alignment vertical="center"/>
    </xf>
    <xf numFmtId="177" fontId="3" fillId="5" borderId="1" xfId="0" applyNumberFormat="1" applyFont="1" applyFill="1" applyBorder="1" applyAlignment="1">
      <alignment horizontal="center" vertical="center"/>
    </xf>
    <xf numFmtId="178" fontId="4" fillId="6" borderId="1" xfId="0" applyNumberFormat="1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0" fillId="6" borderId="1" xfId="0" applyFill="1" applyBorder="1">
      <alignment vertical="center"/>
    </xf>
    <xf numFmtId="177" fontId="3" fillId="4" borderId="1" xfId="0" applyNumberFormat="1" applyFont="1" applyFill="1" applyBorder="1" applyAlignment="1">
      <alignment vertical="center"/>
    </xf>
    <xf numFmtId="177" fontId="3" fillId="5" borderId="1" xfId="0" applyNumberFormat="1" applyFont="1" applyFill="1" applyBorder="1" applyAlignment="1">
      <alignment vertical="center"/>
    </xf>
    <xf numFmtId="176" fontId="3" fillId="4" borderId="1" xfId="0" applyNumberFormat="1" applyFont="1" applyFill="1" applyBorder="1" applyAlignment="1">
      <alignment vertical="center"/>
    </xf>
    <xf numFmtId="0" fontId="0" fillId="4" borderId="1" xfId="0" applyFill="1" applyBorder="1">
      <alignment vertical="center"/>
    </xf>
    <xf numFmtId="176" fontId="4" fillId="7" borderId="1" xfId="0" applyNumberFormat="1" applyFont="1" applyFill="1" applyBorder="1">
      <alignment vertical="center"/>
    </xf>
    <xf numFmtId="0" fontId="3" fillId="8" borderId="4" xfId="0" applyFont="1" applyFill="1" applyBorder="1" applyAlignment="1" applyProtection="1">
      <alignment vertical="center"/>
    </xf>
    <xf numFmtId="0" fontId="3" fillId="8" borderId="5" xfId="0" applyFont="1" applyFill="1" applyBorder="1" applyAlignment="1" applyProtection="1">
      <alignment vertical="center"/>
    </xf>
    <xf numFmtId="177" fontId="9" fillId="9" borderId="2" xfId="0" applyNumberFormat="1" applyFont="1" applyFill="1" applyBorder="1" applyAlignment="1" applyProtection="1">
      <alignment vertical="center"/>
    </xf>
    <xf numFmtId="10" fontId="4" fillId="10" borderId="2" xfId="0" applyNumberFormat="1" applyFont="1" applyFill="1" applyBorder="1" applyAlignment="1" applyProtection="1"/>
    <xf numFmtId="10" fontId="0" fillId="2" borderId="0" xfId="0" applyNumberFormat="1" applyFill="1">
      <alignment vertical="center"/>
    </xf>
    <xf numFmtId="177" fontId="10" fillId="11" borderId="1" xfId="0" applyNumberFormat="1" applyFont="1" applyFill="1" applyBorder="1" applyAlignment="1">
      <alignment vertical="center"/>
    </xf>
    <xf numFmtId="178" fontId="10" fillId="12" borderId="1" xfId="0" applyNumberFormat="1" applyFont="1" applyFill="1" applyBorder="1">
      <alignment vertical="center"/>
    </xf>
    <xf numFmtId="179" fontId="9" fillId="12" borderId="1" xfId="0" applyNumberFormat="1" applyFont="1" applyFill="1" applyBorder="1">
      <alignment vertical="center"/>
    </xf>
    <xf numFmtId="0" fontId="11" fillId="11" borderId="0" xfId="0" applyFont="1" applyFill="1">
      <alignment vertical="center"/>
    </xf>
    <xf numFmtId="179" fontId="11" fillId="12" borderId="0" xfId="0" applyNumberFormat="1" applyFont="1" applyFill="1">
      <alignment vertical="center"/>
    </xf>
    <xf numFmtId="0" fontId="3" fillId="8" borderId="3" xfId="0" applyFont="1" applyFill="1" applyBorder="1" applyAlignment="1" applyProtection="1">
      <alignment horizontal="center" vertical="center" wrapText="1"/>
    </xf>
    <xf numFmtId="0" fontId="3" fillId="8" borderId="6" xfId="0" applyFont="1" applyFill="1" applyBorder="1" applyAlignment="1" applyProtection="1">
      <alignment horizontal="center" vertical="center" wrapText="1"/>
    </xf>
    <xf numFmtId="176" fontId="3" fillId="5" borderId="1" xfId="0" applyNumberFormat="1" applyFont="1" applyFill="1" applyBorder="1" applyAlignment="1">
      <alignment horizontal="center" vertical="center"/>
    </xf>
    <xf numFmtId="176" fontId="3" fillId="5" borderId="7" xfId="0" applyNumberFormat="1" applyFont="1" applyFill="1" applyBorder="1" applyAlignment="1">
      <alignment horizontal="center" vertical="center"/>
    </xf>
    <xf numFmtId="176" fontId="3" fillId="5" borderId="8" xfId="0" applyNumberFormat="1" applyFont="1" applyFill="1" applyBorder="1" applyAlignment="1">
      <alignment horizontal="center" vertical="center"/>
    </xf>
    <xf numFmtId="176" fontId="3" fillId="5" borderId="9" xfId="0" applyNumberFormat="1" applyFont="1" applyFill="1" applyBorder="1" applyAlignment="1">
      <alignment horizontal="center" vertical="center"/>
    </xf>
    <xf numFmtId="176" fontId="3" fillId="5" borderId="10" xfId="0" applyNumberFormat="1" applyFont="1" applyFill="1" applyBorder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49" fontId="9" fillId="12" borderId="0" xfId="0" applyNumberFormat="1" applyFont="1" applyFill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6</xdr:row>
          <xdr:rowOff>142875</xdr:rowOff>
        </xdr:from>
        <xdr:to>
          <xdr:col>6</xdr:col>
          <xdr:colOff>400050</xdr:colOff>
          <xdr:row>10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11"/>
  <sheetViews>
    <sheetView tabSelected="1" zoomScale="85" zoomScaleNormal="85" workbookViewId="0">
      <selection activeCell="R23" sqref="R23"/>
    </sheetView>
  </sheetViews>
  <sheetFormatPr defaultColWidth="8.75" defaultRowHeight="16.899999999999999" x14ac:dyDescent="0.6"/>
  <cols>
    <col min="1" max="3" width="8.75" style="1"/>
    <col min="4" max="4" width="9.5" style="1" bestFit="1" customWidth="1"/>
    <col min="5" max="6" width="8.75" style="1"/>
    <col min="7" max="7" width="8.75" style="1" customWidth="1"/>
    <col min="8" max="8" width="8.75" style="19"/>
    <col min="9" max="9" width="10.75" style="20" bestFit="1" customWidth="1"/>
    <col min="10" max="10" width="0" style="1" hidden="1" customWidth="1"/>
    <col min="11" max="11" width="8.75" style="1"/>
    <col min="12" max="13" width="8.75" style="4"/>
    <col min="14" max="14" width="8.75" style="5"/>
    <col min="15" max="15" width="0" style="1" hidden="1" customWidth="1"/>
    <col min="16" max="16" width="8.75" style="1"/>
    <col min="17" max="18" width="8.75" style="9"/>
    <col min="19" max="19" width="8.75" style="5"/>
    <col min="20" max="20" width="0" style="1" hidden="1" customWidth="1"/>
    <col min="21" max="16384" width="8.75" style="1"/>
  </cols>
  <sheetData>
    <row r="1" spans="1:45" x14ac:dyDescent="0.6">
      <c r="A1" s="1">
        <f>1</f>
        <v>1</v>
      </c>
      <c r="B1" s="1">
        <f>A1+1</f>
        <v>2</v>
      </c>
      <c r="C1" s="1">
        <f t="shared" ref="C1:AS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</row>
    <row r="2" spans="1:45" x14ac:dyDescent="0.6">
      <c r="A2" s="29" t="s">
        <v>0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</row>
    <row r="3" spans="1:45" x14ac:dyDescent="0.6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</row>
    <row r="4" spans="1:45" x14ac:dyDescent="0.6">
      <c r="A4" s="1">
        <f>4</f>
        <v>4</v>
      </c>
      <c r="H4" s="1"/>
      <c r="I4" s="1"/>
      <c r="L4" s="1"/>
      <c r="M4" s="1"/>
      <c r="N4" s="1"/>
      <c r="Q4" s="1"/>
      <c r="R4" s="1"/>
      <c r="S4" s="1"/>
    </row>
    <row r="5" spans="1:45" x14ac:dyDescent="0.6">
      <c r="A5" s="1">
        <f>A4+1</f>
        <v>5</v>
      </c>
      <c r="H5" s="1"/>
      <c r="I5" s="1"/>
      <c r="L5" s="1"/>
      <c r="M5" s="1"/>
      <c r="N5" s="1"/>
      <c r="Q5" s="1"/>
      <c r="R5" s="1"/>
      <c r="S5" s="1"/>
    </row>
    <row r="6" spans="1:45" x14ac:dyDescent="0.6">
      <c r="A6" s="1">
        <f t="shared" ref="A6:A69" si="1">A5+1</f>
        <v>6</v>
      </c>
      <c r="B6" s="30" t="s">
        <v>16</v>
      </c>
      <c r="C6" s="28"/>
      <c r="D6" s="31">
        <v>1</v>
      </c>
      <c r="E6" s="31"/>
      <c r="H6" s="24" t="s">
        <v>13</v>
      </c>
      <c r="I6" s="25"/>
      <c r="L6" s="23" t="s">
        <v>5</v>
      </c>
      <c r="M6" s="23"/>
      <c r="N6" s="23"/>
      <c r="Q6" s="23" t="s">
        <v>1</v>
      </c>
      <c r="R6" s="23"/>
      <c r="S6" s="23"/>
      <c r="V6" s="23" t="s">
        <v>7</v>
      </c>
      <c r="W6" s="23"/>
      <c r="X6" s="23"/>
    </row>
    <row r="7" spans="1:45" x14ac:dyDescent="0.6">
      <c r="A7" s="1">
        <f t="shared" si="1"/>
        <v>7</v>
      </c>
      <c r="B7" s="28" t="s">
        <v>17</v>
      </c>
      <c r="C7" s="28"/>
      <c r="D7" s="31">
        <v>0</v>
      </c>
      <c r="E7" s="31"/>
      <c r="H7" s="26"/>
      <c r="I7" s="27"/>
      <c r="L7" s="23"/>
      <c r="M7" s="23"/>
      <c r="N7" s="23"/>
      <c r="Q7" s="23"/>
      <c r="R7" s="23"/>
      <c r="S7" s="23"/>
      <c r="V7" s="23"/>
      <c r="W7" s="23"/>
      <c r="X7" s="23"/>
    </row>
    <row r="8" spans="1:45" x14ac:dyDescent="0.6">
      <c r="A8" s="1">
        <f t="shared" si="1"/>
        <v>8</v>
      </c>
      <c r="B8" s="28" t="s">
        <v>15</v>
      </c>
      <c r="C8" s="28"/>
      <c r="D8" s="31">
        <v>0.01</v>
      </c>
      <c r="E8" s="31"/>
      <c r="H8" s="1"/>
      <c r="I8" s="1"/>
      <c r="L8" s="1"/>
      <c r="M8" s="1"/>
      <c r="N8" s="1"/>
      <c r="Q8" s="1"/>
      <c r="R8" s="1"/>
      <c r="S8" s="1"/>
      <c r="V8" s="23" t="s">
        <v>12</v>
      </c>
      <c r="W8" s="23"/>
      <c r="X8" s="10">
        <v>3</v>
      </c>
    </row>
    <row r="9" spans="1:45" x14ac:dyDescent="0.6">
      <c r="A9" s="1">
        <f t="shared" si="1"/>
        <v>9</v>
      </c>
      <c r="H9" s="2" t="s">
        <v>14</v>
      </c>
      <c r="I9" s="17">
        <v>8.0666666666666664E-3</v>
      </c>
      <c r="L9" s="1"/>
      <c r="M9" s="1"/>
      <c r="N9" s="1"/>
      <c r="Q9" s="23" t="s">
        <v>2</v>
      </c>
      <c r="R9" s="23"/>
      <c r="S9" s="10">
        <v>3</v>
      </c>
      <c r="V9" s="21" t="s">
        <v>8</v>
      </c>
      <c r="W9" s="11" t="s">
        <v>9</v>
      </c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</row>
    <row r="10" spans="1:45" x14ac:dyDescent="0.6">
      <c r="A10" s="1">
        <f t="shared" si="1"/>
        <v>10</v>
      </c>
      <c r="H10" s="2" t="s">
        <v>10</v>
      </c>
      <c r="I10" s="2" t="s">
        <v>11</v>
      </c>
      <c r="L10" s="7" t="s">
        <v>6</v>
      </c>
      <c r="M10" s="7" t="s">
        <v>3</v>
      </c>
      <c r="N10" s="2" t="s">
        <v>4</v>
      </c>
      <c r="Q10" s="7" t="s">
        <v>6</v>
      </c>
      <c r="R10" s="7" t="s">
        <v>3</v>
      </c>
      <c r="S10" s="2" t="s">
        <v>4</v>
      </c>
      <c r="V10" s="22"/>
      <c r="W10" s="13">
        <v>1</v>
      </c>
      <c r="X10" s="13">
        <v>2</v>
      </c>
      <c r="Y10" s="13">
        <v>3</v>
      </c>
      <c r="Z10" s="13">
        <v>4</v>
      </c>
      <c r="AA10" s="13">
        <v>5</v>
      </c>
      <c r="AB10" s="13">
        <v>7</v>
      </c>
      <c r="AC10" s="13">
        <v>10</v>
      </c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</row>
    <row r="11" spans="1:45" x14ac:dyDescent="0.55000000000000004">
      <c r="A11" s="1">
        <f t="shared" si="1"/>
        <v>11</v>
      </c>
      <c r="H11" s="16">
        <v>8.3333333333333329E-2</v>
      </c>
      <c r="I11" s="18">
        <v>3.0000000000000001E-3</v>
      </c>
      <c r="L11" s="8">
        <v>1</v>
      </c>
      <c r="M11" s="6">
        <v>2.7397260273972603E-3</v>
      </c>
      <c r="N11" s="3">
        <v>1.0899150709818999E-2</v>
      </c>
      <c r="Q11" s="8">
        <v>1</v>
      </c>
      <c r="R11" s="6">
        <v>1</v>
      </c>
      <c r="S11" s="3">
        <v>0.14964285714285716</v>
      </c>
      <c r="V11" s="13">
        <v>8.3333333333333329E-2</v>
      </c>
      <c r="W11" s="14">
        <v>0.11</v>
      </c>
      <c r="X11" s="14">
        <v>0.13300000000000001</v>
      </c>
      <c r="Y11" s="14">
        <v>0.14099999999999999</v>
      </c>
      <c r="Z11" s="14">
        <v>0.1525</v>
      </c>
      <c r="AA11" s="14">
        <v>0.16550000000000001</v>
      </c>
      <c r="AB11" s="14">
        <v>0.16750000000000001</v>
      </c>
      <c r="AC11" s="14">
        <v>0.16550000000000001</v>
      </c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</row>
    <row r="12" spans="1:45" ht="16.5" customHeight="1" x14ac:dyDescent="0.55000000000000004">
      <c r="A12" s="1">
        <f t="shared" si="1"/>
        <v>12</v>
      </c>
      <c r="C12" s="16" t="s">
        <v>19</v>
      </c>
      <c r="D12" s="32" t="s">
        <v>18</v>
      </c>
      <c r="E12" s="32"/>
      <c r="H12" s="16">
        <v>0.25</v>
      </c>
      <c r="I12" s="18">
        <v>3.2000000000000002E-3</v>
      </c>
      <c r="L12" s="8">
        <f>L11+1</f>
        <v>2</v>
      </c>
      <c r="M12" s="6">
        <v>0.25</v>
      </c>
      <c r="N12" s="3">
        <v>1.2094079120414403E-2</v>
      </c>
      <c r="Q12" s="8">
        <f>Q11+1</f>
        <v>2</v>
      </c>
      <c r="R12" s="6">
        <v>2</v>
      </c>
      <c r="S12" s="3">
        <v>0.15085714285714286</v>
      </c>
      <c r="V12" s="13">
        <v>0.25</v>
      </c>
      <c r="W12" s="14">
        <v>0.12</v>
      </c>
      <c r="X12" s="14">
        <v>0.13150000000000001</v>
      </c>
      <c r="Y12" s="14">
        <v>0.14699999999999999</v>
      </c>
      <c r="Z12" s="14">
        <v>0.16</v>
      </c>
      <c r="AA12" s="14">
        <v>0.17399999999999999</v>
      </c>
      <c r="AB12" s="14">
        <v>0.16800000000000001</v>
      </c>
      <c r="AC12" s="14">
        <v>0.161</v>
      </c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</row>
    <row r="13" spans="1:45" x14ac:dyDescent="0.55000000000000004">
      <c r="A13" s="1">
        <f t="shared" si="1"/>
        <v>13</v>
      </c>
      <c r="D13" s="32"/>
      <c r="E13" s="32"/>
      <c r="H13" s="16">
        <v>0.5</v>
      </c>
      <c r="I13" s="18">
        <v>2.9000000000000002E-3</v>
      </c>
      <c r="L13" s="8">
        <f t="shared" ref="L13:L76" si="2">L12+1</f>
        <v>3</v>
      </c>
      <c r="M13" s="6">
        <v>0.5</v>
      </c>
      <c r="N13" s="3">
        <v>1.2426772238294102E-2</v>
      </c>
      <c r="Q13" s="8">
        <f t="shared" ref="Q13:Q76" si="3">Q12+1</f>
        <v>3</v>
      </c>
      <c r="R13" s="6">
        <v>3</v>
      </c>
      <c r="S13" s="3">
        <v>0.14971428571428572</v>
      </c>
      <c r="V13" s="13">
        <v>0.5</v>
      </c>
      <c r="W13" s="14">
        <v>0.13150000000000001</v>
      </c>
      <c r="X13" s="14">
        <v>0.14050000000000001</v>
      </c>
      <c r="Y13" s="14">
        <v>0.14899999999999999</v>
      </c>
      <c r="Z13" s="14">
        <v>0.159</v>
      </c>
      <c r="AA13" s="14">
        <v>0.16800000000000001</v>
      </c>
      <c r="AB13" s="14">
        <v>0.16300000000000001</v>
      </c>
      <c r="AC13" s="14">
        <v>0.159</v>
      </c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</row>
    <row r="14" spans="1:45" x14ac:dyDescent="0.55000000000000004">
      <c r="A14" s="1">
        <f t="shared" si="1"/>
        <v>14</v>
      </c>
      <c r="D14" s="32"/>
      <c r="E14" s="32"/>
      <c r="H14" s="16">
        <v>0.75</v>
      </c>
      <c r="I14" s="18">
        <v>2.9000000000000002E-3</v>
      </c>
      <c r="L14" s="8">
        <f t="shared" si="2"/>
        <v>4</v>
      </c>
      <c r="M14" s="6">
        <v>1</v>
      </c>
      <c r="N14" s="3">
        <v>1.2682465173781301E-2</v>
      </c>
      <c r="Q14" s="8">
        <f t="shared" si="3"/>
        <v>4</v>
      </c>
      <c r="R14" s="6">
        <v>4</v>
      </c>
      <c r="S14" s="3">
        <v>0.1472857142857143</v>
      </c>
      <c r="V14" s="13">
        <v>0.75</v>
      </c>
      <c r="W14" s="14">
        <v>0.13350000000000001</v>
      </c>
      <c r="X14" s="14">
        <v>0.14050000000000001</v>
      </c>
      <c r="Y14" s="14">
        <v>0.14899999999999999</v>
      </c>
      <c r="Z14" s="14">
        <v>0.156</v>
      </c>
      <c r="AA14" s="14">
        <v>0.16500000000000001</v>
      </c>
      <c r="AB14" s="14">
        <v>0.158</v>
      </c>
      <c r="AC14" s="14">
        <v>0.152</v>
      </c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</row>
    <row r="15" spans="1:45" x14ac:dyDescent="0.55000000000000004">
      <c r="A15" s="1">
        <f t="shared" si="1"/>
        <v>15</v>
      </c>
      <c r="H15" s="16">
        <v>1</v>
      </c>
      <c r="I15" s="18">
        <v>3.0999999999999999E-3</v>
      </c>
      <c r="L15" s="8">
        <f t="shared" si="2"/>
        <v>5</v>
      </c>
      <c r="M15" s="6">
        <v>1.5</v>
      </c>
      <c r="N15" s="3">
        <v>1.3211698628380102E-2</v>
      </c>
      <c r="Q15" s="8">
        <f t="shared" si="3"/>
        <v>5</v>
      </c>
      <c r="R15" s="6">
        <v>5</v>
      </c>
      <c r="S15" s="3">
        <v>0.14885714285714285</v>
      </c>
      <c r="U15" s="15"/>
      <c r="V15" s="13">
        <v>1</v>
      </c>
      <c r="W15" s="14">
        <v>0.13550000000000001</v>
      </c>
      <c r="X15" s="14">
        <v>0.14150000000000001</v>
      </c>
      <c r="Y15" s="14">
        <v>0.14800000000000002</v>
      </c>
      <c r="Z15" s="14">
        <v>0.154</v>
      </c>
      <c r="AA15" s="14">
        <v>0.16200000000000001</v>
      </c>
      <c r="AB15" s="14">
        <v>0.1565</v>
      </c>
      <c r="AC15" s="14">
        <v>0.15</v>
      </c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</row>
    <row r="16" spans="1:45" x14ac:dyDescent="0.55000000000000004">
      <c r="A16" s="1">
        <f t="shared" si="1"/>
        <v>16</v>
      </c>
      <c r="H16" s="16">
        <v>1.5</v>
      </c>
      <c r="I16" s="18">
        <v>3.0999999999999999E-3</v>
      </c>
      <c r="L16" s="8">
        <f t="shared" si="2"/>
        <v>6</v>
      </c>
      <c r="M16" s="6">
        <v>2</v>
      </c>
      <c r="N16" s="3">
        <v>1.37174110676409E-2</v>
      </c>
      <c r="Q16" s="8">
        <f t="shared" si="3"/>
        <v>6</v>
      </c>
      <c r="R16" s="6">
        <v>7</v>
      </c>
      <c r="S16" s="3">
        <v>0.14299999999999999</v>
      </c>
      <c r="U16" s="15"/>
      <c r="V16" s="13">
        <v>1.5</v>
      </c>
      <c r="W16" s="14">
        <v>0.14300000000000002</v>
      </c>
      <c r="X16" s="14">
        <v>0.14800000000000002</v>
      </c>
      <c r="Y16" s="14">
        <v>0.14949999999999999</v>
      </c>
      <c r="Z16" s="14">
        <v>0.153</v>
      </c>
      <c r="AA16" s="14">
        <v>0.157</v>
      </c>
      <c r="AB16" s="14">
        <v>0.151</v>
      </c>
      <c r="AC16" s="14">
        <v>0.14599999999999999</v>
      </c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</row>
    <row r="17" spans="1:40" x14ac:dyDescent="0.55000000000000004">
      <c r="A17" s="1">
        <f t="shared" si="1"/>
        <v>17</v>
      </c>
      <c r="H17" s="16">
        <v>2</v>
      </c>
      <c r="I17" s="18">
        <v>3.0000000000000001E-3</v>
      </c>
      <c r="L17" s="8">
        <f t="shared" si="2"/>
        <v>7</v>
      </c>
      <c r="M17" s="6">
        <v>3</v>
      </c>
      <c r="N17" s="3">
        <v>1.4812982398985701E-2</v>
      </c>
      <c r="Q17" s="8">
        <f t="shared" si="3"/>
        <v>7</v>
      </c>
      <c r="R17" s="6">
        <v>10</v>
      </c>
      <c r="S17" s="3">
        <v>0.14214285714285715</v>
      </c>
      <c r="U17" s="15"/>
      <c r="V17" s="13">
        <v>2</v>
      </c>
      <c r="W17" s="14">
        <v>0.154</v>
      </c>
      <c r="X17" s="14">
        <v>0.1555</v>
      </c>
      <c r="Y17" s="14">
        <v>0.152</v>
      </c>
      <c r="Z17" s="14">
        <v>0.1525</v>
      </c>
      <c r="AA17" s="14">
        <v>0.153</v>
      </c>
      <c r="AB17" s="14">
        <v>0.14699999999999999</v>
      </c>
      <c r="AC17" s="14">
        <v>0.14199999999999999</v>
      </c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</row>
    <row r="18" spans="1:40" x14ac:dyDescent="0.55000000000000004">
      <c r="A18" s="1">
        <f t="shared" si="1"/>
        <v>18</v>
      </c>
      <c r="H18" s="16">
        <v>3</v>
      </c>
      <c r="I18" s="18">
        <v>3.0999999999999999E-3</v>
      </c>
      <c r="L18" s="8">
        <f t="shared" si="2"/>
        <v>8</v>
      </c>
      <c r="M18" s="6">
        <v>4</v>
      </c>
      <c r="N18" s="3">
        <v>1.5817009233983499E-2</v>
      </c>
      <c r="Q18" s="8">
        <f t="shared" si="3"/>
        <v>8</v>
      </c>
      <c r="R18" s="6"/>
      <c r="S18" s="3"/>
      <c r="U18" s="15"/>
      <c r="V18" s="13">
        <v>3</v>
      </c>
      <c r="W18" s="14">
        <v>0.16250000000000001</v>
      </c>
      <c r="X18" s="14">
        <v>0.1565</v>
      </c>
      <c r="Y18" s="14">
        <v>0.1525</v>
      </c>
      <c r="Z18" s="14">
        <v>0.14899999999999999</v>
      </c>
      <c r="AA18" s="14">
        <v>0.14550000000000002</v>
      </c>
      <c r="AB18" s="14">
        <v>0.14199999999999999</v>
      </c>
      <c r="AC18" s="14">
        <v>0.14000000000000001</v>
      </c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</row>
    <row r="19" spans="1:40" x14ac:dyDescent="0.55000000000000004">
      <c r="A19" s="1">
        <f t="shared" si="1"/>
        <v>19</v>
      </c>
      <c r="H19" s="16">
        <v>4</v>
      </c>
      <c r="I19" s="18">
        <v>3.9000000000000003E-3</v>
      </c>
      <c r="L19" s="8">
        <f t="shared" si="2"/>
        <v>9</v>
      </c>
      <c r="M19" s="6">
        <v>5</v>
      </c>
      <c r="N19" s="3">
        <v>1.6754752484655699E-2</v>
      </c>
      <c r="Q19" s="8">
        <f t="shared" si="3"/>
        <v>9</v>
      </c>
      <c r="R19" s="6"/>
      <c r="S19" s="3"/>
      <c r="U19" s="15"/>
      <c r="V19" s="13">
        <v>4</v>
      </c>
      <c r="W19" s="14">
        <v>0.159</v>
      </c>
      <c r="X19" s="14">
        <v>0.1555</v>
      </c>
      <c r="Y19" s="14">
        <v>0.15049999999999999</v>
      </c>
      <c r="Z19" s="14">
        <v>0.14599999999999999</v>
      </c>
      <c r="AA19" s="14">
        <v>0.14199999999999999</v>
      </c>
      <c r="AB19" s="14">
        <v>0.14000000000000001</v>
      </c>
      <c r="AC19" s="14">
        <v>0.13800000000000001</v>
      </c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</row>
    <row r="20" spans="1:40" x14ac:dyDescent="0.55000000000000004">
      <c r="A20" s="1">
        <f t="shared" si="1"/>
        <v>20</v>
      </c>
      <c r="H20" s="16">
        <v>5</v>
      </c>
      <c r="I20" s="18">
        <v>3.9000000000000003E-3</v>
      </c>
      <c r="L20" s="8">
        <f t="shared" si="2"/>
        <v>10</v>
      </c>
      <c r="M20" s="6">
        <v>6</v>
      </c>
      <c r="N20" s="3">
        <v>1.74084287481952E-2</v>
      </c>
      <c r="Q20" s="8">
        <f t="shared" si="3"/>
        <v>10</v>
      </c>
      <c r="R20" s="6"/>
      <c r="S20" s="3"/>
      <c r="U20" s="15"/>
      <c r="V20" s="13">
        <v>5</v>
      </c>
      <c r="W20" s="14">
        <v>0.16300000000000001</v>
      </c>
      <c r="X20" s="14">
        <v>0.1555</v>
      </c>
      <c r="Y20" s="14">
        <v>0.152</v>
      </c>
      <c r="Z20" s="14">
        <v>0.14749999999999999</v>
      </c>
      <c r="AA20" s="14">
        <v>0.14300000000000002</v>
      </c>
      <c r="AB20" s="14">
        <v>0.14199999999999999</v>
      </c>
      <c r="AC20" s="14">
        <v>0.13900000000000001</v>
      </c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</row>
    <row r="21" spans="1:40" x14ac:dyDescent="0.55000000000000004">
      <c r="A21" s="1">
        <f t="shared" si="1"/>
        <v>21</v>
      </c>
      <c r="H21" s="16">
        <v>7</v>
      </c>
      <c r="I21" s="18">
        <v>3.0999999999999999E-3</v>
      </c>
      <c r="L21" s="8">
        <f t="shared" si="2"/>
        <v>11</v>
      </c>
      <c r="M21" s="6">
        <v>7</v>
      </c>
      <c r="N21" s="3">
        <v>1.8046204886253903E-2</v>
      </c>
      <c r="Q21" s="8">
        <f t="shared" si="3"/>
        <v>11</v>
      </c>
      <c r="R21" s="6"/>
      <c r="S21" s="3"/>
      <c r="U21" s="15"/>
      <c r="V21" s="13">
        <v>7</v>
      </c>
      <c r="W21" s="14">
        <v>0.151</v>
      </c>
      <c r="X21" s="14">
        <v>0.14849999999999999</v>
      </c>
      <c r="Y21" s="14">
        <v>0.14599999999999999</v>
      </c>
      <c r="Z21" s="14">
        <v>0.14349999999999999</v>
      </c>
      <c r="AA21" s="14">
        <v>0.14000000000000001</v>
      </c>
      <c r="AB21" s="14">
        <v>0.13800000000000001</v>
      </c>
      <c r="AC21" s="14">
        <v>0.13400000000000001</v>
      </c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</row>
    <row r="22" spans="1:40" x14ac:dyDescent="0.55000000000000004">
      <c r="A22" s="1">
        <f t="shared" si="1"/>
        <v>22</v>
      </c>
      <c r="H22" s="16">
        <v>10</v>
      </c>
      <c r="I22" s="18">
        <v>3.0000000000000001E-3</v>
      </c>
      <c r="L22" s="8">
        <f t="shared" si="2"/>
        <v>12</v>
      </c>
      <c r="M22" s="6">
        <v>8</v>
      </c>
      <c r="N22" s="3">
        <v>1.8554250605588702E-2</v>
      </c>
      <c r="Q22" s="8">
        <f t="shared" si="3"/>
        <v>12</v>
      </c>
      <c r="R22" s="6"/>
      <c r="S22" s="3"/>
      <c r="U22" s="15"/>
      <c r="V22" s="13">
        <v>10</v>
      </c>
      <c r="W22" s="14">
        <v>0.151</v>
      </c>
      <c r="X22" s="14">
        <v>0.14949999999999999</v>
      </c>
      <c r="Y22" s="14">
        <v>0.14599999999999999</v>
      </c>
      <c r="Z22" s="14">
        <v>0.14349999999999999</v>
      </c>
      <c r="AA22" s="14">
        <v>0.14000000000000001</v>
      </c>
      <c r="AB22" s="14">
        <v>0.13699999999999998</v>
      </c>
      <c r="AC22" s="14">
        <v>0.128</v>
      </c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</row>
    <row r="23" spans="1:40" x14ac:dyDescent="0.55000000000000004">
      <c r="A23" s="1">
        <f t="shared" si="1"/>
        <v>23</v>
      </c>
      <c r="H23" s="16"/>
      <c r="I23" s="18"/>
      <c r="L23" s="8">
        <f t="shared" si="2"/>
        <v>13</v>
      </c>
      <c r="M23" s="6">
        <v>9</v>
      </c>
      <c r="N23" s="3">
        <v>1.9014295912697703E-2</v>
      </c>
      <c r="Q23" s="8">
        <f t="shared" si="3"/>
        <v>13</v>
      </c>
      <c r="R23" s="6"/>
      <c r="S23" s="3"/>
      <c r="V23" s="13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</row>
    <row r="24" spans="1:40" x14ac:dyDescent="0.55000000000000004">
      <c r="A24" s="1">
        <f t="shared" si="1"/>
        <v>24</v>
      </c>
      <c r="H24" s="16"/>
      <c r="I24" s="18"/>
      <c r="L24" s="8">
        <f t="shared" si="2"/>
        <v>14</v>
      </c>
      <c r="M24" s="6">
        <v>10</v>
      </c>
      <c r="N24" s="3">
        <v>1.9366115153570899E-2</v>
      </c>
      <c r="Q24" s="8">
        <f t="shared" si="3"/>
        <v>14</v>
      </c>
      <c r="R24" s="6"/>
      <c r="S24" s="3"/>
      <c r="V24" s="13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</row>
    <row r="25" spans="1:40" x14ac:dyDescent="0.55000000000000004">
      <c r="A25" s="1">
        <f t="shared" si="1"/>
        <v>25</v>
      </c>
      <c r="H25" s="16"/>
      <c r="I25" s="18"/>
      <c r="L25" s="8">
        <f t="shared" si="2"/>
        <v>15</v>
      </c>
      <c r="M25" s="6">
        <v>12</v>
      </c>
      <c r="N25" s="3">
        <v>1.9732939422461803E-2</v>
      </c>
      <c r="Q25" s="8">
        <f t="shared" si="3"/>
        <v>15</v>
      </c>
      <c r="R25" s="6"/>
      <c r="S25" s="3"/>
      <c r="V25" s="13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</row>
    <row r="26" spans="1:40" x14ac:dyDescent="0.55000000000000004">
      <c r="A26" s="1">
        <f t="shared" si="1"/>
        <v>26</v>
      </c>
      <c r="H26" s="16"/>
      <c r="I26" s="18"/>
      <c r="L26" s="8">
        <f t="shared" si="2"/>
        <v>16</v>
      </c>
      <c r="M26" s="6">
        <v>15</v>
      </c>
      <c r="N26" s="3">
        <v>2.0010106528183202E-2</v>
      </c>
      <c r="Q26" s="8">
        <f t="shared" si="3"/>
        <v>16</v>
      </c>
      <c r="R26" s="6"/>
      <c r="S26" s="3"/>
      <c r="V26" s="13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</row>
    <row r="27" spans="1:40" x14ac:dyDescent="0.55000000000000004">
      <c r="A27" s="1">
        <f t="shared" si="1"/>
        <v>27</v>
      </c>
      <c r="H27" s="16"/>
      <c r="I27" s="18"/>
      <c r="L27" s="8">
        <f t="shared" si="2"/>
        <v>17</v>
      </c>
      <c r="M27" s="6">
        <v>20</v>
      </c>
      <c r="N27" s="3">
        <v>2.1534196458401999E-2</v>
      </c>
      <c r="Q27" s="8">
        <f t="shared" si="3"/>
        <v>17</v>
      </c>
      <c r="R27" s="6"/>
      <c r="S27" s="3"/>
      <c r="V27" s="13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</row>
    <row r="28" spans="1:40" x14ac:dyDescent="0.55000000000000004">
      <c r="A28" s="1">
        <f t="shared" si="1"/>
        <v>28</v>
      </c>
      <c r="H28" s="16"/>
      <c r="I28" s="18"/>
      <c r="L28" s="8">
        <f t="shared" si="2"/>
        <v>18</v>
      </c>
      <c r="M28" s="6"/>
      <c r="N28" s="3"/>
      <c r="Q28" s="8">
        <f t="shared" si="3"/>
        <v>18</v>
      </c>
      <c r="R28" s="6"/>
      <c r="S28" s="3"/>
      <c r="V28" s="13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</row>
    <row r="29" spans="1:40" x14ac:dyDescent="0.55000000000000004">
      <c r="A29" s="1">
        <f t="shared" si="1"/>
        <v>29</v>
      </c>
      <c r="H29" s="16"/>
      <c r="I29" s="18"/>
      <c r="L29" s="8">
        <f t="shared" si="2"/>
        <v>19</v>
      </c>
      <c r="Q29" s="8">
        <f t="shared" si="3"/>
        <v>19</v>
      </c>
      <c r="V29" s="13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</row>
    <row r="30" spans="1:40" x14ac:dyDescent="0.55000000000000004">
      <c r="A30" s="1">
        <f t="shared" si="1"/>
        <v>30</v>
      </c>
      <c r="H30" s="16"/>
      <c r="I30" s="18"/>
      <c r="L30" s="8">
        <f t="shared" si="2"/>
        <v>20</v>
      </c>
      <c r="Q30" s="8">
        <f t="shared" si="3"/>
        <v>20</v>
      </c>
      <c r="V30" s="13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</row>
    <row r="31" spans="1:40" x14ac:dyDescent="0.55000000000000004">
      <c r="A31" s="1">
        <f t="shared" si="1"/>
        <v>31</v>
      </c>
      <c r="H31" s="16"/>
      <c r="I31" s="18"/>
      <c r="L31" s="8">
        <f t="shared" si="2"/>
        <v>21</v>
      </c>
      <c r="Q31" s="8">
        <f t="shared" si="3"/>
        <v>21</v>
      </c>
      <c r="V31" s="13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</row>
    <row r="32" spans="1:40" x14ac:dyDescent="0.55000000000000004">
      <c r="A32" s="1">
        <f t="shared" si="1"/>
        <v>32</v>
      </c>
      <c r="H32" s="16"/>
      <c r="I32" s="18"/>
      <c r="L32" s="8">
        <f t="shared" si="2"/>
        <v>22</v>
      </c>
      <c r="Q32" s="8">
        <f t="shared" si="3"/>
        <v>22</v>
      </c>
      <c r="V32" s="13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</row>
    <row r="33" spans="1:40" x14ac:dyDescent="0.55000000000000004">
      <c r="A33" s="1">
        <f t="shared" si="1"/>
        <v>33</v>
      </c>
      <c r="H33" s="16"/>
      <c r="I33" s="18"/>
      <c r="L33" s="8">
        <f t="shared" si="2"/>
        <v>23</v>
      </c>
      <c r="Q33" s="8">
        <f t="shared" si="3"/>
        <v>23</v>
      </c>
      <c r="V33" s="13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</row>
    <row r="34" spans="1:40" x14ac:dyDescent="0.55000000000000004">
      <c r="A34" s="1">
        <f t="shared" si="1"/>
        <v>34</v>
      </c>
      <c r="H34" s="16"/>
      <c r="I34" s="18"/>
      <c r="L34" s="8">
        <f t="shared" si="2"/>
        <v>24</v>
      </c>
      <c r="Q34" s="8">
        <f t="shared" si="3"/>
        <v>24</v>
      </c>
      <c r="V34" s="13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</row>
    <row r="35" spans="1:40" x14ac:dyDescent="0.6">
      <c r="A35" s="1">
        <f t="shared" si="1"/>
        <v>35</v>
      </c>
      <c r="H35" s="16"/>
      <c r="I35" s="18"/>
      <c r="L35" s="8">
        <f t="shared" si="2"/>
        <v>25</v>
      </c>
      <c r="Q35" s="8">
        <f t="shared" si="3"/>
        <v>25</v>
      </c>
    </row>
    <row r="36" spans="1:40" x14ac:dyDescent="0.6">
      <c r="A36" s="1">
        <f t="shared" si="1"/>
        <v>36</v>
      </c>
      <c r="H36" s="16"/>
      <c r="I36" s="18"/>
      <c r="L36" s="8">
        <f t="shared" si="2"/>
        <v>26</v>
      </c>
      <c r="Q36" s="8">
        <f t="shared" si="3"/>
        <v>26</v>
      </c>
    </row>
    <row r="37" spans="1:40" x14ac:dyDescent="0.6">
      <c r="A37" s="1">
        <f t="shared" si="1"/>
        <v>37</v>
      </c>
      <c r="H37" s="16"/>
      <c r="I37" s="18"/>
      <c r="L37" s="8">
        <f t="shared" si="2"/>
        <v>27</v>
      </c>
      <c r="Q37" s="8">
        <f t="shared" si="3"/>
        <v>27</v>
      </c>
    </row>
    <row r="38" spans="1:40" x14ac:dyDescent="0.6">
      <c r="A38" s="1">
        <f t="shared" si="1"/>
        <v>38</v>
      </c>
      <c r="H38" s="16"/>
      <c r="I38" s="18"/>
      <c r="L38" s="8">
        <f t="shared" si="2"/>
        <v>28</v>
      </c>
      <c r="Q38" s="8">
        <f t="shared" si="3"/>
        <v>28</v>
      </c>
    </row>
    <row r="39" spans="1:40" x14ac:dyDescent="0.6">
      <c r="A39" s="1">
        <f t="shared" si="1"/>
        <v>39</v>
      </c>
      <c r="H39" s="16"/>
      <c r="I39" s="18"/>
      <c r="L39" s="8">
        <f t="shared" si="2"/>
        <v>29</v>
      </c>
      <c r="Q39" s="8">
        <f t="shared" si="3"/>
        <v>29</v>
      </c>
    </row>
    <row r="40" spans="1:40" x14ac:dyDescent="0.6">
      <c r="A40" s="1">
        <f t="shared" si="1"/>
        <v>40</v>
      </c>
      <c r="H40" s="16"/>
      <c r="I40" s="18"/>
      <c r="L40" s="8">
        <f t="shared" si="2"/>
        <v>30</v>
      </c>
      <c r="Q40" s="8">
        <f t="shared" si="3"/>
        <v>30</v>
      </c>
    </row>
    <row r="41" spans="1:40" x14ac:dyDescent="0.6">
      <c r="A41" s="1">
        <f t="shared" si="1"/>
        <v>41</v>
      </c>
      <c r="H41" s="16"/>
      <c r="I41" s="18"/>
      <c r="L41" s="8">
        <f t="shared" si="2"/>
        <v>31</v>
      </c>
      <c r="Q41" s="8">
        <f t="shared" si="3"/>
        <v>31</v>
      </c>
    </row>
    <row r="42" spans="1:40" x14ac:dyDescent="0.6">
      <c r="A42" s="1">
        <f t="shared" si="1"/>
        <v>42</v>
      </c>
      <c r="H42" s="16"/>
      <c r="I42" s="18"/>
      <c r="L42" s="8">
        <f t="shared" si="2"/>
        <v>32</v>
      </c>
      <c r="Q42" s="8">
        <f t="shared" si="3"/>
        <v>32</v>
      </c>
    </row>
    <row r="43" spans="1:40" x14ac:dyDescent="0.6">
      <c r="A43" s="1">
        <f t="shared" si="1"/>
        <v>43</v>
      </c>
      <c r="H43" s="16"/>
      <c r="I43" s="18"/>
      <c r="L43" s="8">
        <f t="shared" si="2"/>
        <v>33</v>
      </c>
      <c r="Q43" s="8">
        <f t="shared" si="3"/>
        <v>33</v>
      </c>
    </row>
    <row r="44" spans="1:40" x14ac:dyDescent="0.6">
      <c r="A44" s="1">
        <f t="shared" si="1"/>
        <v>44</v>
      </c>
      <c r="H44" s="16"/>
      <c r="I44" s="18"/>
      <c r="L44" s="8">
        <f t="shared" si="2"/>
        <v>34</v>
      </c>
      <c r="Q44" s="8">
        <f t="shared" si="3"/>
        <v>34</v>
      </c>
    </row>
    <row r="45" spans="1:40" x14ac:dyDescent="0.6">
      <c r="A45" s="1">
        <f t="shared" si="1"/>
        <v>45</v>
      </c>
      <c r="H45" s="16"/>
      <c r="I45" s="18"/>
      <c r="L45" s="8">
        <f t="shared" si="2"/>
        <v>35</v>
      </c>
      <c r="Q45" s="8">
        <f t="shared" si="3"/>
        <v>35</v>
      </c>
    </row>
    <row r="46" spans="1:40" x14ac:dyDescent="0.6">
      <c r="A46" s="1">
        <f t="shared" si="1"/>
        <v>46</v>
      </c>
      <c r="H46" s="16"/>
      <c r="I46" s="18"/>
      <c r="L46" s="8">
        <f t="shared" si="2"/>
        <v>36</v>
      </c>
      <c r="Q46" s="8">
        <f t="shared" si="3"/>
        <v>36</v>
      </c>
    </row>
    <row r="47" spans="1:40" x14ac:dyDescent="0.6">
      <c r="A47" s="1">
        <f t="shared" si="1"/>
        <v>47</v>
      </c>
      <c r="H47" s="16"/>
      <c r="I47" s="18"/>
      <c r="L47" s="8">
        <f t="shared" si="2"/>
        <v>37</v>
      </c>
      <c r="Q47" s="8">
        <f t="shared" si="3"/>
        <v>37</v>
      </c>
    </row>
    <row r="48" spans="1:40" x14ac:dyDescent="0.6">
      <c r="A48" s="1">
        <f t="shared" si="1"/>
        <v>48</v>
      </c>
      <c r="H48" s="16"/>
      <c r="I48" s="18"/>
      <c r="L48" s="8">
        <f t="shared" si="2"/>
        <v>38</v>
      </c>
      <c r="Q48" s="8">
        <f t="shared" si="3"/>
        <v>38</v>
      </c>
    </row>
    <row r="49" spans="1:17" x14ac:dyDescent="0.6">
      <c r="A49" s="1">
        <f t="shared" si="1"/>
        <v>49</v>
      </c>
      <c r="H49" s="16"/>
      <c r="I49" s="18"/>
      <c r="L49" s="8">
        <f t="shared" si="2"/>
        <v>39</v>
      </c>
      <c r="Q49" s="8">
        <f t="shared" si="3"/>
        <v>39</v>
      </c>
    </row>
    <row r="50" spans="1:17" x14ac:dyDescent="0.6">
      <c r="A50" s="1">
        <f t="shared" si="1"/>
        <v>50</v>
      </c>
      <c r="H50" s="16"/>
      <c r="I50" s="18"/>
      <c r="L50" s="8">
        <f t="shared" si="2"/>
        <v>40</v>
      </c>
      <c r="Q50" s="8">
        <f t="shared" si="3"/>
        <v>40</v>
      </c>
    </row>
    <row r="51" spans="1:17" x14ac:dyDescent="0.6">
      <c r="A51" s="1">
        <f t="shared" si="1"/>
        <v>51</v>
      </c>
      <c r="H51" s="16"/>
      <c r="I51" s="18"/>
      <c r="L51" s="8">
        <f t="shared" si="2"/>
        <v>41</v>
      </c>
      <c r="Q51" s="8">
        <f t="shared" si="3"/>
        <v>41</v>
      </c>
    </row>
    <row r="52" spans="1:17" x14ac:dyDescent="0.6">
      <c r="A52" s="1">
        <f t="shared" si="1"/>
        <v>52</v>
      </c>
      <c r="H52" s="16"/>
      <c r="I52" s="18"/>
      <c r="L52" s="8">
        <f t="shared" si="2"/>
        <v>42</v>
      </c>
      <c r="Q52" s="8">
        <f t="shared" si="3"/>
        <v>42</v>
      </c>
    </row>
    <row r="53" spans="1:17" x14ac:dyDescent="0.6">
      <c r="A53" s="1">
        <f t="shared" si="1"/>
        <v>53</v>
      </c>
      <c r="H53" s="16"/>
      <c r="I53" s="18"/>
      <c r="L53" s="8">
        <f t="shared" si="2"/>
        <v>43</v>
      </c>
      <c r="Q53" s="8">
        <f t="shared" si="3"/>
        <v>43</v>
      </c>
    </row>
    <row r="54" spans="1:17" x14ac:dyDescent="0.6">
      <c r="A54" s="1">
        <f t="shared" si="1"/>
        <v>54</v>
      </c>
      <c r="H54" s="16"/>
      <c r="I54" s="18"/>
      <c r="L54" s="8">
        <f t="shared" si="2"/>
        <v>44</v>
      </c>
      <c r="Q54" s="8">
        <f t="shared" si="3"/>
        <v>44</v>
      </c>
    </row>
    <row r="55" spans="1:17" x14ac:dyDescent="0.6">
      <c r="A55" s="1">
        <f t="shared" si="1"/>
        <v>55</v>
      </c>
      <c r="H55" s="16"/>
      <c r="I55" s="18"/>
      <c r="L55" s="8">
        <f t="shared" si="2"/>
        <v>45</v>
      </c>
      <c r="Q55" s="8">
        <f t="shared" si="3"/>
        <v>45</v>
      </c>
    </row>
    <row r="56" spans="1:17" x14ac:dyDescent="0.6">
      <c r="A56" s="1">
        <f t="shared" si="1"/>
        <v>56</v>
      </c>
      <c r="H56" s="16"/>
      <c r="I56" s="18"/>
      <c r="L56" s="8">
        <f t="shared" si="2"/>
        <v>46</v>
      </c>
      <c r="Q56" s="8">
        <f t="shared" si="3"/>
        <v>46</v>
      </c>
    </row>
    <row r="57" spans="1:17" x14ac:dyDescent="0.6">
      <c r="A57" s="1">
        <f t="shared" si="1"/>
        <v>57</v>
      </c>
      <c r="H57" s="16"/>
      <c r="I57" s="18"/>
      <c r="L57" s="8">
        <f t="shared" si="2"/>
        <v>47</v>
      </c>
      <c r="Q57" s="8">
        <f t="shared" si="3"/>
        <v>47</v>
      </c>
    </row>
    <row r="58" spans="1:17" x14ac:dyDescent="0.6">
      <c r="A58" s="1">
        <f t="shared" si="1"/>
        <v>58</v>
      </c>
      <c r="H58" s="16"/>
      <c r="I58" s="18"/>
      <c r="L58" s="8">
        <f t="shared" si="2"/>
        <v>48</v>
      </c>
      <c r="Q58" s="8">
        <f t="shared" si="3"/>
        <v>48</v>
      </c>
    </row>
    <row r="59" spans="1:17" x14ac:dyDescent="0.6">
      <c r="A59" s="1">
        <f t="shared" si="1"/>
        <v>59</v>
      </c>
      <c r="H59" s="16"/>
      <c r="I59" s="18"/>
      <c r="L59" s="8">
        <f t="shared" si="2"/>
        <v>49</v>
      </c>
      <c r="Q59" s="8">
        <f t="shared" si="3"/>
        <v>49</v>
      </c>
    </row>
    <row r="60" spans="1:17" x14ac:dyDescent="0.6">
      <c r="A60" s="1">
        <f t="shared" si="1"/>
        <v>60</v>
      </c>
      <c r="H60" s="16"/>
      <c r="I60" s="18"/>
      <c r="L60" s="8">
        <f t="shared" si="2"/>
        <v>50</v>
      </c>
      <c r="Q60" s="8">
        <f t="shared" si="3"/>
        <v>50</v>
      </c>
    </row>
    <row r="61" spans="1:17" x14ac:dyDescent="0.6">
      <c r="A61" s="1">
        <f t="shared" si="1"/>
        <v>61</v>
      </c>
      <c r="H61" s="16"/>
      <c r="I61" s="18"/>
      <c r="L61" s="8">
        <f t="shared" si="2"/>
        <v>51</v>
      </c>
      <c r="Q61" s="8">
        <f t="shared" si="3"/>
        <v>51</v>
      </c>
    </row>
    <row r="62" spans="1:17" x14ac:dyDescent="0.6">
      <c r="A62" s="1">
        <f t="shared" si="1"/>
        <v>62</v>
      </c>
      <c r="H62" s="16"/>
      <c r="I62" s="18"/>
      <c r="L62" s="8">
        <f t="shared" si="2"/>
        <v>52</v>
      </c>
      <c r="Q62" s="8">
        <f t="shared" si="3"/>
        <v>52</v>
      </c>
    </row>
    <row r="63" spans="1:17" x14ac:dyDescent="0.6">
      <c r="A63" s="1">
        <f t="shared" si="1"/>
        <v>63</v>
      </c>
      <c r="H63" s="16"/>
      <c r="I63" s="18"/>
      <c r="L63" s="8">
        <f t="shared" si="2"/>
        <v>53</v>
      </c>
      <c r="Q63" s="8">
        <f t="shared" si="3"/>
        <v>53</v>
      </c>
    </row>
    <row r="64" spans="1:17" x14ac:dyDescent="0.6">
      <c r="A64" s="1">
        <f t="shared" si="1"/>
        <v>64</v>
      </c>
      <c r="H64" s="16"/>
      <c r="I64" s="18"/>
      <c r="L64" s="8">
        <f t="shared" si="2"/>
        <v>54</v>
      </c>
      <c r="Q64" s="8">
        <f t="shared" si="3"/>
        <v>54</v>
      </c>
    </row>
    <row r="65" spans="1:17" x14ac:dyDescent="0.6">
      <c r="A65" s="1">
        <f t="shared" si="1"/>
        <v>65</v>
      </c>
      <c r="H65" s="16"/>
      <c r="I65" s="18"/>
      <c r="L65" s="8">
        <f t="shared" si="2"/>
        <v>55</v>
      </c>
      <c r="Q65" s="8">
        <f t="shared" si="3"/>
        <v>55</v>
      </c>
    </row>
    <row r="66" spans="1:17" x14ac:dyDescent="0.6">
      <c r="A66" s="1">
        <f t="shared" si="1"/>
        <v>66</v>
      </c>
      <c r="H66" s="16"/>
      <c r="I66" s="18"/>
      <c r="L66" s="8">
        <f t="shared" si="2"/>
        <v>56</v>
      </c>
      <c r="Q66" s="8">
        <f t="shared" si="3"/>
        <v>56</v>
      </c>
    </row>
    <row r="67" spans="1:17" x14ac:dyDescent="0.6">
      <c r="A67" s="1">
        <f t="shared" si="1"/>
        <v>67</v>
      </c>
      <c r="H67" s="16"/>
      <c r="I67" s="18"/>
      <c r="L67" s="8">
        <f t="shared" si="2"/>
        <v>57</v>
      </c>
      <c r="Q67" s="8">
        <f t="shared" si="3"/>
        <v>57</v>
      </c>
    </row>
    <row r="68" spans="1:17" x14ac:dyDescent="0.6">
      <c r="A68" s="1">
        <f t="shared" si="1"/>
        <v>68</v>
      </c>
      <c r="H68" s="16"/>
      <c r="I68" s="18"/>
      <c r="L68" s="8">
        <f t="shared" si="2"/>
        <v>58</v>
      </c>
      <c r="Q68" s="8">
        <f t="shared" si="3"/>
        <v>58</v>
      </c>
    </row>
    <row r="69" spans="1:17" x14ac:dyDescent="0.6">
      <c r="A69" s="1">
        <f t="shared" si="1"/>
        <v>69</v>
      </c>
      <c r="H69" s="16"/>
      <c r="I69" s="18"/>
      <c r="L69" s="8">
        <f t="shared" si="2"/>
        <v>59</v>
      </c>
      <c r="Q69" s="8">
        <f t="shared" si="3"/>
        <v>59</v>
      </c>
    </row>
    <row r="70" spans="1:17" x14ac:dyDescent="0.6">
      <c r="A70" s="1">
        <f t="shared" ref="A70:A100" si="4">A69+1</f>
        <v>70</v>
      </c>
      <c r="H70" s="16"/>
      <c r="I70" s="18"/>
      <c r="L70" s="8">
        <f t="shared" si="2"/>
        <v>60</v>
      </c>
      <c r="Q70" s="8">
        <f t="shared" si="3"/>
        <v>60</v>
      </c>
    </row>
    <row r="71" spans="1:17" x14ac:dyDescent="0.6">
      <c r="A71" s="1">
        <f t="shared" si="4"/>
        <v>71</v>
      </c>
      <c r="H71" s="16"/>
      <c r="I71" s="18"/>
      <c r="L71" s="8">
        <f t="shared" si="2"/>
        <v>61</v>
      </c>
      <c r="Q71" s="8">
        <f t="shared" si="3"/>
        <v>61</v>
      </c>
    </row>
    <row r="72" spans="1:17" x14ac:dyDescent="0.6">
      <c r="A72" s="1">
        <f t="shared" si="4"/>
        <v>72</v>
      </c>
      <c r="H72" s="16"/>
      <c r="I72" s="18"/>
      <c r="L72" s="8">
        <f t="shared" si="2"/>
        <v>62</v>
      </c>
      <c r="Q72" s="8">
        <f t="shared" si="3"/>
        <v>62</v>
      </c>
    </row>
    <row r="73" spans="1:17" x14ac:dyDescent="0.6">
      <c r="A73" s="1">
        <f t="shared" si="4"/>
        <v>73</v>
      </c>
      <c r="H73" s="16"/>
      <c r="I73" s="18"/>
      <c r="L73" s="8">
        <f t="shared" si="2"/>
        <v>63</v>
      </c>
      <c r="Q73" s="8">
        <f t="shared" si="3"/>
        <v>63</v>
      </c>
    </row>
    <row r="74" spans="1:17" x14ac:dyDescent="0.6">
      <c r="A74" s="1">
        <f t="shared" si="4"/>
        <v>74</v>
      </c>
      <c r="H74" s="16"/>
      <c r="I74" s="18"/>
      <c r="L74" s="8">
        <f t="shared" si="2"/>
        <v>64</v>
      </c>
      <c r="Q74" s="8">
        <f t="shared" si="3"/>
        <v>64</v>
      </c>
    </row>
    <row r="75" spans="1:17" x14ac:dyDescent="0.6">
      <c r="A75" s="1">
        <f t="shared" si="4"/>
        <v>75</v>
      </c>
      <c r="H75" s="16"/>
      <c r="I75" s="18"/>
      <c r="L75" s="8">
        <f t="shared" si="2"/>
        <v>65</v>
      </c>
      <c r="Q75" s="8">
        <f t="shared" si="3"/>
        <v>65</v>
      </c>
    </row>
    <row r="76" spans="1:17" x14ac:dyDescent="0.6">
      <c r="A76" s="1">
        <f t="shared" si="4"/>
        <v>76</v>
      </c>
      <c r="H76" s="16"/>
      <c r="I76" s="18"/>
      <c r="L76" s="8">
        <f t="shared" si="2"/>
        <v>66</v>
      </c>
      <c r="Q76" s="8">
        <f t="shared" si="3"/>
        <v>66</v>
      </c>
    </row>
    <row r="77" spans="1:17" x14ac:dyDescent="0.6">
      <c r="A77" s="1">
        <f t="shared" si="4"/>
        <v>77</v>
      </c>
      <c r="H77" s="16"/>
      <c r="I77" s="18"/>
      <c r="L77" s="8">
        <f t="shared" ref="L77:L110" si="5">L76+1</f>
        <v>67</v>
      </c>
      <c r="Q77" s="8">
        <f t="shared" ref="Q77:Q110" si="6">Q76+1</f>
        <v>67</v>
      </c>
    </row>
    <row r="78" spans="1:17" x14ac:dyDescent="0.6">
      <c r="A78" s="1">
        <f t="shared" si="4"/>
        <v>78</v>
      </c>
      <c r="H78" s="16"/>
      <c r="I78" s="18"/>
      <c r="L78" s="8">
        <f t="shared" si="5"/>
        <v>68</v>
      </c>
      <c r="Q78" s="8">
        <f t="shared" si="6"/>
        <v>68</v>
      </c>
    </row>
    <row r="79" spans="1:17" x14ac:dyDescent="0.6">
      <c r="A79" s="1">
        <f t="shared" si="4"/>
        <v>79</v>
      </c>
      <c r="H79" s="16"/>
      <c r="I79" s="18"/>
      <c r="L79" s="8">
        <f t="shared" si="5"/>
        <v>69</v>
      </c>
      <c r="Q79" s="8">
        <f t="shared" si="6"/>
        <v>69</v>
      </c>
    </row>
    <row r="80" spans="1:17" x14ac:dyDescent="0.6">
      <c r="A80" s="1">
        <f t="shared" si="4"/>
        <v>80</v>
      </c>
      <c r="H80" s="16"/>
      <c r="I80" s="18"/>
      <c r="L80" s="8">
        <f t="shared" si="5"/>
        <v>70</v>
      </c>
      <c r="Q80" s="8">
        <f t="shared" si="6"/>
        <v>70</v>
      </c>
    </row>
    <row r="81" spans="1:17" x14ac:dyDescent="0.6">
      <c r="A81" s="1">
        <f t="shared" si="4"/>
        <v>81</v>
      </c>
      <c r="H81" s="16"/>
      <c r="I81" s="18"/>
      <c r="L81" s="8">
        <f t="shared" si="5"/>
        <v>71</v>
      </c>
      <c r="Q81" s="8">
        <f t="shared" si="6"/>
        <v>71</v>
      </c>
    </row>
    <row r="82" spans="1:17" x14ac:dyDescent="0.6">
      <c r="A82" s="1">
        <f t="shared" si="4"/>
        <v>82</v>
      </c>
      <c r="H82" s="16"/>
      <c r="I82" s="18"/>
      <c r="L82" s="8">
        <f t="shared" si="5"/>
        <v>72</v>
      </c>
      <c r="Q82" s="8">
        <f t="shared" si="6"/>
        <v>72</v>
      </c>
    </row>
    <row r="83" spans="1:17" x14ac:dyDescent="0.6">
      <c r="A83" s="1">
        <f t="shared" si="4"/>
        <v>83</v>
      </c>
      <c r="H83" s="16"/>
      <c r="I83" s="18"/>
      <c r="L83" s="8">
        <f t="shared" si="5"/>
        <v>73</v>
      </c>
      <c r="Q83" s="8">
        <f t="shared" si="6"/>
        <v>73</v>
      </c>
    </row>
    <row r="84" spans="1:17" x14ac:dyDescent="0.6">
      <c r="A84" s="1">
        <f t="shared" si="4"/>
        <v>84</v>
      </c>
      <c r="H84" s="16"/>
      <c r="I84" s="18"/>
      <c r="L84" s="8">
        <f t="shared" si="5"/>
        <v>74</v>
      </c>
      <c r="Q84" s="8">
        <f t="shared" si="6"/>
        <v>74</v>
      </c>
    </row>
    <row r="85" spans="1:17" x14ac:dyDescent="0.6">
      <c r="A85" s="1">
        <f t="shared" si="4"/>
        <v>85</v>
      </c>
      <c r="H85" s="16"/>
      <c r="I85" s="18"/>
      <c r="L85" s="8">
        <f t="shared" si="5"/>
        <v>75</v>
      </c>
      <c r="Q85" s="8">
        <f t="shared" si="6"/>
        <v>75</v>
      </c>
    </row>
    <row r="86" spans="1:17" x14ac:dyDescent="0.6">
      <c r="A86" s="1">
        <f t="shared" si="4"/>
        <v>86</v>
      </c>
      <c r="H86" s="16"/>
      <c r="I86" s="18"/>
      <c r="L86" s="8">
        <f t="shared" si="5"/>
        <v>76</v>
      </c>
      <c r="Q86" s="8">
        <f t="shared" si="6"/>
        <v>76</v>
      </c>
    </row>
    <row r="87" spans="1:17" x14ac:dyDescent="0.6">
      <c r="A87" s="1">
        <f t="shared" si="4"/>
        <v>87</v>
      </c>
      <c r="H87" s="16"/>
      <c r="I87" s="18"/>
      <c r="L87" s="8">
        <f t="shared" si="5"/>
        <v>77</v>
      </c>
      <c r="Q87" s="8">
        <f t="shared" si="6"/>
        <v>77</v>
      </c>
    </row>
    <row r="88" spans="1:17" x14ac:dyDescent="0.6">
      <c r="A88" s="1">
        <f t="shared" si="4"/>
        <v>88</v>
      </c>
      <c r="H88" s="16"/>
      <c r="I88" s="18"/>
      <c r="L88" s="8">
        <f t="shared" si="5"/>
        <v>78</v>
      </c>
      <c r="Q88" s="8">
        <f t="shared" si="6"/>
        <v>78</v>
      </c>
    </row>
    <row r="89" spans="1:17" x14ac:dyDescent="0.6">
      <c r="A89" s="1">
        <f t="shared" si="4"/>
        <v>89</v>
      </c>
      <c r="H89" s="16"/>
      <c r="I89" s="18"/>
      <c r="L89" s="8">
        <f t="shared" si="5"/>
        <v>79</v>
      </c>
      <c r="Q89" s="8">
        <f t="shared" si="6"/>
        <v>79</v>
      </c>
    </row>
    <row r="90" spans="1:17" x14ac:dyDescent="0.6">
      <c r="A90" s="1">
        <f t="shared" si="4"/>
        <v>90</v>
      </c>
      <c r="H90" s="16"/>
      <c r="I90" s="18"/>
      <c r="L90" s="8">
        <f t="shared" si="5"/>
        <v>80</v>
      </c>
      <c r="Q90" s="8">
        <f t="shared" si="6"/>
        <v>80</v>
      </c>
    </row>
    <row r="91" spans="1:17" x14ac:dyDescent="0.6">
      <c r="A91" s="1">
        <f t="shared" si="4"/>
        <v>91</v>
      </c>
      <c r="H91" s="16"/>
      <c r="I91" s="18"/>
      <c r="L91" s="8">
        <f t="shared" si="5"/>
        <v>81</v>
      </c>
      <c r="Q91" s="8">
        <f t="shared" si="6"/>
        <v>81</v>
      </c>
    </row>
    <row r="92" spans="1:17" x14ac:dyDescent="0.6">
      <c r="A92" s="1">
        <f t="shared" si="4"/>
        <v>92</v>
      </c>
      <c r="H92" s="16"/>
      <c r="I92" s="18"/>
      <c r="L92" s="8">
        <f t="shared" si="5"/>
        <v>82</v>
      </c>
      <c r="Q92" s="8">
        <f t="shared" si="6"/>
        <v>82</v>
      </c>
    </row>
    <row r="93" spans="1:17" x14ac:dyDescent="0.6">
      <c r="A93" s="1">
        <f t="shared" si="4"/>
        <v>93</v>
      </c>
      <c r="H93" s="16"/>
      <c r="I93" s="18"/>
      <c r="L93" s="8">
        <f t="shared" si="5"/>
        <v>83</v>
      </c>
      <c r="Q93" s="8">
        <f t="shared" si="6"/>
        <v>83</v>
      </c>
    </row>
    <row r="94" spans="1:17" x14ac:dyDescent="0.6">
      <c r="A94" s="1">
        <f t="shared" si="4"/>
        <v>94</v>
      </c>
      <c r="H94" s="16"/>
      <c r="I94" s="18"/>
      <c r="L94" s="8">
        <f t="shared" si="5"/>
        <v>84</v>
      </c>
      <c r="Q94" s="8">
        <f t="shared" si="6"/>
        <v>84</v>
      </c>
    </row>
    <row r="95" spans="1:17" x14ac:dyDescent="0.6">
      <c r="A95" s="1">
        <f t="shared" si="4"/>
        <v>95</v>
      </c>
      <c r="H95" s="16"/>
      <c r="I95" s="18"/>
      <c r="L95" s="8">
        <f t="shared" si="5"/>
        <v>85</v>
      </c>
      <c r="Q95" s="8">
        <f t="shared" si="6"/>
        <v>85</v>
      </c>
    </row>
    <row r="96" spans="1:17" x14ac:dyDescent="0.6">
      <c r="A96" s="1">
        <f t="shared" si="4"/>
        <v>96</v>
      </c>
      <c r="H96" s="16"/>
      <c r="I96" s="18"/>
      <c r="L96" s="8">
        <f t="shared" si="5"/>
        <v>86</v>
      </c>
      <c r="Q96" s="8">
        <f t="shared" si="6"/>
        <v>86</v>
      </c>
    </row>
    <row r="97" spans="1:17" x14ac:dyDescent="0.6">
      <c r="A97" s="1">
        <f t="shared" si="4"/>
        <v>97</v>
      </c>
      <c r="H97" s="16"/>
      <c r="I97" s="18"/>
      <c r="L97" s="8">
        <f t="shared" si="5"/>
        <v>87</v>
      </c>
      <c r="Q97" s="8">
        <f t="shared" si="6"/>
        <v>87</v>
      </c>
    </row>
    <row r="98" spans="1:17" x14ac:dyDescent="0.6">
      <c r="A98" s="1">
        <f t="shared" si="4"/>
        <v>98</v>
      </c>
      <c r="H98" s="16"/>
      <c r="I98" s="18"/>
      <c r="L98" s="8">
        <f t="shared" si="5"/>
        <v>88</v>
      </c>
      <c r="Q98" s="8">
        <f t="shared" si="6"/>
        <v>88</v>
      </c>
    </row>
    <row r="99" spans="1:17" x14ac:dyDescent="0.6">
      <c r="A99" s="1">
        <f t="shared" si="4"/>
        <v>99</v>
      </c>
      <c r="H99" s="16"/>
      <c r="I99" s="18"/>
      <c r="L99" s="8">
        <f t="shared" si="5"/>
        <v>89</v>
      </c>
      <c r="Q99" s="8">
        <f t="shared" si="6"/>
        <v>89</v>
      </c>
    </row>
    <row r="100" spans="1:17" x14ac:dyDescent="0.6">
      <c r="A100" s="1">
        <f t="shared" si="4"/>
        <v>100</v>
      </c>
      <c r="H100" s="16"/>
      <c r="I100" s="18"/>
      <c r="L100" s="8">
        <f t="shared" si="5"/>
        <v>90</v>
      </c>
      <c r="Q100" s="8">
        <f t="shared" si="6"/>
        <v>90</v>
      </c>
    </row>
    <row r="101" spans="1:17" x14ac:dyDescent="0.6">
      <c r="H101" s="16"/>
      <c r="I101" s="18"/>
      <c r="L101" s="8">
        <f t="shared" si="5"/>
        <v>91</v>
      </c>
      <c r="Q101" s="8">
        <f t="shared" si="6"/>
        <v>91</v>
      </c>
    </row>
    <row r="102" spans="1:17" x14ac:dyDescent="0.6">
      <c r="H102" s="16"/>
      <c r="I102" s="18"/>
      <c r="L102" s="8">
        <f t="shared" si="5"/>
        <v>92</v>
      </c>
      <c r="Q102" s="8">
        <f t="shared" si="6"/>
        <v>92</v>
      </c>
    </row>
    <row r="103" spans="1:17" x14ac:dyDescent="0.6">
      <c r="H103" s="16"/>
      <c r="I103" s="18"/>
      <c r="L103" s="8">
        <f t="shared" si="5"/>
        <v>93</v>
      </c>
      <c r="Q103" s="8">
        <f t="shared" si="6"/>
        <v>93</v>
      </c>
    </row>
    <row r="104" spans="1:17" x14ac:dyDescent="0.6">
      <c r="H104" s="16"/>
      <c r="I104" s="18"/>
      <c r="L104" s="8">
        <f t="shared" si="5"/>
        <v>94</v>
      </c>
      <c r="Q104" s="8">
        <f t="shared" si="6"/>
        <v>94</v>
      </c>
    </row>
    <row r="105" spans="1:17" x14ac:dyDescent="0.6">
      <c r="H105" s="16"/>
      <c r="I105" s="18"/>
      <c r="L105" s="8">
        <f t="shared" si="5"/>
        <v>95</v>
      </c>
      <c r="Q105" s="8">
        <f t="shared" si="6"/>
        <v>95</v>
      </c>
    </row>
    <row r="106" spans="1:17" x14ac:dyDescent="0.6">
      <c r="H106" s="16"/>
      <c r="I106" s="18"/>
      <c r="L106" s="8">
        <f t="shared" si="5"/>
        <v>96</v>
      </c>
      <c r="Q106" s="8">
        <f t="shared" si="6"/>
        <v>96</v>
      </c>
    </row>
    <row r="107" spans="1:17" x14ac:dyDescent="0.6">
      <c r="H107" s="16"/>
      <c r="I107" s="18"/>
      <c r="L107" s="8">
        <f t="shared" si="5"/>
        <v>97</v>
      </c>
      <c r="Q107" s="8">
        <f t="shared" si="6"/>
        <v>97</v>
      </c>
    </row>
    <row r="108" spans="1:17" x14ac:dyDescent="0.6">
      <c r="H108" s="16"/>
      <c r="I108" s="18"/>
      <c r="L108" s="8">
        <f t="shared" si="5"/>
        <v>98</v>
      </c>
      <c r="Q108" s="8">
        <f t="shared" si="6"/>
        <v>98</v>
      </c>
    </row>
    <row r="109" spans="1:17" x14ac:dyDescent="0.6">
      <c r="H109" s="16"/>
      <c r="I109" s="18"/>
      <c r="L109" s="8">
        <f t="shared" si="5"/>
        <v>99</v>
      </c>
      <c r="Q109" s="8">
        <f t="shared" si="6"/>
        <v>99</v>
      </c>
    </row>
    <row r="110" spans="1:17" x14ac:dyDescent="0.6">
      <c r="H110" s="16"/>
      <c r="I110" s="18"/>
      <c r="L110" s="8">
        <f t="shared" si="5"/>
        <v>100</v>
      </c>
      <c r="Q110" s="8">
        <f t="shared" si="6"/>
        <v>100</v>
      </c>
    </row>
    <row r="111" spans="1:17" x14ac:dyDescent="0.6">
      <c r="L111" s="8"/>
    </row>
  </sheetData>
  <mergeCells count="15">
    <mergeCell ref="D12:E14"/>
    <mergeCell ref="D8:E8"/>
    <mergeCell ref="Q9:R9"/>
    <mergeCell ref="Q6:S7"/>
    <mergeCell ref="L6:N7"/>
    <mergeCell ref="V9:V10"/>
    <mergeCell ref="V8:W8"/>
    <mergeCell ref="H6:I7"/>
    <mergeCell ref="B8:C8"/>
    <mergeCell ref="A2:Z3"/>
    <mergeCell ref="B6:C6"/>
    <mergeCell ref="D6:E6"/>
    <mergeCell ref="B7:C7"/>
    <mergeCell ref="D7:E7"/>
    <mergeCell ref="V6:X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cali_Test">
                <anchor moveWithCells="1" sizeWithCells="1">
                  <from>
                    <xdr:col>5</xdr:col>
                    <xdr:colOff>180975</xdr:colOff>
                    <xdr:row>6</xdr:row>
                    <xdr:rowOff>142875</xdr:rowOff>
                  </from>
                  <to>
                    <xdr:col>6</xdr:col>
                    <xdr:colOff>400050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KDB</cp:lastModifiedBy>
  <dcterms:created xsi:type="dcterms:W3CDTF">2022-02-02T10:38:31Z</dcterms:created>
  <dcterms:modified xsi:type="dcterms:W3CDTF">2022-09-01T05:42:07Z</dcterms:modified>
</cp:coreProperties>
</file>