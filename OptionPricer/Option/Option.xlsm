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OptionPricer\Option\"/>
    </mc:Choice>
  </mc:AlternateContent>
  <bookViews>
    <workbookView xWindow="0" yWindow="0" windowWidth="23040" windowHeight="910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1" l="1"/>
  <c r="C11" i="1"/>
  <c r="F7" i="1" l="1"/>
  <c r="J7" i="1" s="1"/>
  <c r="E7" i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</text>
    </comment>
  </commentList>
</comments>
</file>

<file path=xl/sharedStrings.xml><?xml version="1.0" encoding="utf-8"?>
<sst xmlns="http://schemas.openxmlformats.org/spreadsheetml/2006/main" count="32" uniqueCount="30">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</sst>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0" fontId="13" fillId="17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8" fillId="11" borderId="0" xfId="0" applyFont="1" applyFill="1" applyAlignment="1" applyProtection="1">
      <alignment horizontal="center" vertical="center"/>
      <protection locked="0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28575</xdr:rowOff>
        </xdr:from>
        <xdr:to>
          <xdr:col>11</xdr:col>
          <xdr:colOff>476250</xdr:colOff>
          <xdr:row>8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9"/>
  <sheetViews>
    <sheetView tabSelected="1" workbookViewId="0">
      <selection activeCell="L37" sqref="L37"/>
    </sheetView>
  </sheetViews>
  <sheetFormatPr defaultColWidth="10.625" defaultRowHeight="15.75" x14ac:dyDescent="0.6"/>
  <cols>
    <col min="1" max="4" width="10.625" style="18"/>
    <col min="5" max="5" width="10.625" style="24"/>
    <col min="6" max="6" width="10.625" style="18"/>
    <col min="7" max="7" width="10.625" style="20"/>
    <col min="8" max="9" width="10.625" style="18"/>
    <col min="10" max="16384" width="10.625" style="24"/>
  </cols>
  <sheetData>
    <row r="1" spans="1:49" s="1" customFormat="1" x14ac:dyDescent="0.6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</row>
    <row r="2" spans="1:49" s="1" customFormat="1" x14ac:dyDescent="0.6">
      <c r="A2" s="33" t="s">
        <v>28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</row>
    <row r="3" spans="1:49" s="1" customFormat="1" x14ac:dyDescent="0.6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</row>
    <row r="4" spans="1:49" x14ac:dyDescent="0.6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49" x14ac:dyDescent="0.6">
      <c r="A5" s="34" t="s">
        <v>0</v>
      </c>
      <c r="B5" s="34"/>
      <c r="C5" s="36">
        <v>0</v>
      </c>
      <c r="D5" s="36"/>
      <c r="E5" s="11" t="str">
        <f>IF(C5=0,"매수","매도")</f>
        <v>매수</v>
      </c>
      <c r="F5" s="34" t="s">
        <v>6</v>
      </c>
      <c r="G5" s="34"/>
      <c r="H5" s="37">
        <v>100</v>
      </c>
      <c r="I5" s="37"/>
      <c r="J5" s="1"/>
      <c r="K5" s="34" t="s">
        <v>18</v>
      </c>
      <c r="L5" s="34"/>
      <c r="M5" s="36">
        <v>1</v>
      </c>
      <c r="N5" s="36"/>
      <c r="O5" s="1"/>
      <c r="P5" s="1"/>
      <c r="Q5" s="32" t="s">
        <v>29</v>
      </c>
      <c r="R5" s="32"/>
      <c r="S5" s="31"/>
      <c r="T5" s="31"/>
      <c r="U5" s="31"/>
      <c r="V5" s="31"/>
    </row>
    <row r="6" spans="1:49" x14ac:dyDescent="0.6">
      <c r="A6" s="34" t="s">
        <v>2</v>
      </c>
      <c r="B6" s="34"/>
      <c r="C6" s="36">
        <v>0</v>
      </c>
      <c r="D6" s="36"/>
      <c r="E6" s="11" t="str">
        <f>IF(C6=0,"콜","풋")</f>
        <v>콜</v>
      </c>
      <c r="F6" s="34" t="s">
        <v>7</v>
      </c>
      <c r="G6" s="34"/>
      <c r="H6" s="37">
        <v>100</v>
      </c>
      <c r="I6" s="37"/>
      <c r="J6" s="1"/>
      <c r="K6" s="1"/>
      <c r="L6" s="1"/>
      <c r="M6" s="1"/>
      <c r="N6" s="1"/>
      <c r="O6" s="1"/>
      <c r="P6" s="1"/>
      <c r="Q6" s="1"/>
      <c r="R6" s="1"/>
      <c r="S6" s="31"/>
      <c r="T6" s="31"/>
      <c r="U6" s="31"/>
      <c r="V6" s="31"/>
    </row>
    <row r="7" spans="1:49" x14ac:dyDescent="0.6">
      <c r="A7" s="34" t="s">
        <v>1</v>
      </c>
      <c r="B7" s="34"/>
      <c r="C7" s="36">
        <v>3</v>
      </c>
      <c r="D7" s="36"/>
      <c r="E7" s="11" t="str">
        <f>IF(C7=0,"바닐라",IF(C7 = 1, "디지털", IF(C7 = 2, "아시안", IF(C7 = 3, "아메리칸", IF(C7 = 4, "아메리칸디지털", "다시입력")))))</f>
        <v>아메리칸</v>
      </c>
      <c r="F7" s="34" t="str">
        <f>IF(C7=2,"평균가격","")</f>
        <v/>
      </c>
      <c r="G7" s="34"/>
      <c r="H7" s="37">
        <v>100</v>
      </c>
      <c r="I7" s="37"/>
      <c r="J7" s="11" t="str">
        <f>IF(F7="","입력필요X","")</f>
        <v>입력필요X</v>
      </c>
      <c r="K7" s="1"/>
      <c r="L7" s="1"/>
      <c r="M7" s="46" t="s">
        <v>20</v>
      </c>
      <c r="N7" s="46"/>
      <c r="O7" s="47">
        <v>5.9580199273099081</v>
      </c>
      <c r="P7" s="47"/>
      <c r="Q7" s="1"/>
      <c r="R7" s="1"/>
      <c r="S7" s="1"/>
    </row>
    <row r="8" spans="1:49" x14ac:dyDescent="0.6">
      <c r="A8" s="34" t="s">
        <v>5</v>
      </c>
      <c r="B8" s="34"/>
      <c r="C8" s="35">
        <v>44652</v>
      </c>
      <c r="D8" s="36"/>
      <c r="E8" s="4"/>
      <c r="F8" s="1"/>
      <c r="G8" s="1"/>
      <c r="H8" s="1"/>
      <c r="I8" s="1"/>
      <c r="K8" s="1"/>
      <c r="L8" s="1"/>
      <c r="M8" s="48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49" x14ac:dyDescent="0.6">
      <c r="A9" s="34" t="str">
        <f>IF(C7=2,"평균시작일",IF(OR(C7 = 3, C7 = 4), "행사시작일", ""))</f>
        <v>행사시작일</v>
      </c>
      <c r="B9" s="34"/>
      <c r="C9" s="35">
        <v>45017</v>
      </c>
      <c r="D9" s="36"/>
      <c r="E9" s="11" t="str">
        <f>IF(A9="","입력필요X","")</f>
        <v/>
      </c>
      <c r="F9" s="38" t="s">
        <v>14</v>
      </c>
      <c r="G9" s="38"/>
      <c r="H9" s="38"/>
      <c r="I9" s="38"/>
      <c r="K9" s="1"/>
      <c r="L9" s="1"/>
      <c r="M9" s="49"/>
      <c r="N9" s="14">
        <v>0.4283402686156017</v>
      </c>
      <c r="O9" s="15">
        <v>3.2064350826329857E-2</v>
      </c>
      <c r="P9" s="15">
        <v>0.3738551025683452</v>
      </c>
      <c r="Q9" s="15">
        <v>-9.0144288046416499E-3</v>
      </c>
      <c r="R9" s="15">
        <v>0.47780680313214141</v>
      </c>
      <c r="S9" s="1"/>
    </row>
    <row r="10" spans="1:49" x14ac:dyDescent="0.6">
      <c r="A10" s="34" t="s">
        <v>4</v>
      </c>
      <c r="B10" s="34"/>
      <c r="C10" s="35">
        <v>45017</v>
      </c>
      <c r="D10" s="36"/>
      <c r="E10" s="30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49" x14ac:dyDescent="0.6">
      <c r="A11" s="34" t="s">
        <v>3</v>
      </c>
      <c r="B11" s="34"/>
      <c r="C11" s="35">
        <f>C10</f>
        <v>45017</v>
      </c>
      <c r="D11" s="36"/>
      <c r="E11" s="30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49" s="1" customFormat="1" x14ac:dyDescent="0.6">
      <c r="E12" s="24"/>
      <c r="F12" s="43" t="str">
        <f>IF(G10=2,"배당액입력(금액입력)","Dividend(%입력)")</f>
        <v>Dividend(%입력)</v>
      </c>
      <c r="G12" s="43"/>
      <c r="H12" s="44" t="s">
        <v>17</v>
      </c>
      <c r="I12" s="44"/>
      <c r="J12" s="24"/>
      <c r="K12" s="38" t="s">
        <v>11</v>
      </c>
      <c r="L12" s="38"/>
      <c r="M12" s="38"/>
      <c r="N12" s="38"/>
    </row>
    <row r="13" spans="1:49" s="1" customFormat="1" x14ac:dyDescent="0.6">
      <c r="A13" s="38" t="s">
        <v>10</v>
      </c>
      <c r="B13" s="38"/>
      <c r="C13" s="38"/>
      <c r="D13" s="38"/>
      <c r="E13" s="24"/>
      <c r="F13" s="43"/>
      <c r="G13" s="43"/>
      <c r="H13" s="44"/>
      <c r="I13" s="44"/>
      <c r="J13" s="24"/>
      <c r="K13" s="41" t="s">
        <v>27</v>
      </c>
      <c r="L13" s="42"/>
      <c r="M13" s="42"/>
      <c r="N13" s="29">
        <v>0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5" t="s">
        <v>19</v>
      </c>
      <c r="AF13" s="45"/>
      <c r="AG13" s="45"/>
      <c r="AH13" s="45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14" spans="1:49" ht="17.45" customHeight="1" x14ac:dyDescent="0.55000000000000004">
      <c r="A14" s="43" t="s">
        <v>8</v>
      </c>
      <c r="B14" s="43"/>
      <c r="C14" s="44" t="s">
        <v>9</v>
      </c>
      <c r="D14" s="44"/>
      <c r="F14" s="16">
        <v>2.7777777000000002E-3</v>
      </c>
      <c r="G14" s="17">
        <v>1.3140000000000001E-2</v>
      </c>
      <c r="H14" s="16">
        <v>0.5</v>
      </c>
      <c r="I14" s="17">
        <v>5.1200000000000002E-2</v>
      </c>
      <c r="K14" s="39" t="s">
        <v>13</v>
      </c>
      <c r="L14" s="27" t="s">
        <v>12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3"/>
      <c r="AE14" s="39" t="s">
        <v>13</v>
      </c>
      <c r="AF14" s="27" t="s">
        <v>12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</row>
    <row r="15" spans="1:49" x14ac:dyDescent="0.55000000000000004">
      <c r="A15" s="43"/>
      <c r="B15" s="43"/>
      <c r="C15" s="44"/>
      <c r="D15" s="44"/>
      <c r="F15" s="16">
        <v>0.25</v>
      </c>
      <c r="G15" s="17">
        <v>1.49E-2</v>
      </c>
      <c r="H15" s="16">
        <v>0.75</v>
      </c>
      <c r="I15" s="17">
        <v>0.05</v>
      </c>
      <c r="K15" s="40"/>
      <c r="L15" s="21">
        <v>0.33333333333333331</v>
      </c>
      <c r="M15" s="21">
        <v>0.66666666666666663</v>
      </c>
      <c r="N15" s="21">
        <v>1</v>
      </c>
      <c r="O15" s="21">
        <v>1.3333333333333333</v>
      </c>
      <c r="P15" s="21">
        <v>1.6666666666666665</v>
      </c>
      <c r="Q15" s="21">
        <v>1.9999999999999998</v>
      </c>
      <c r="R15" s="21">
        <v>2.333333333333333</v>
      </c>
      <c r="S15" s="21">
        <v>2.6666666666666665</v>
      </c>
      <c r="T15" s="21">
        <v>3</v>
      </c>
      <c r="U15" s="21">
        <v>3.3333333333333335</v>
      </c>
      <c r="V15" s="21"/>
      <c r="W15" s="21"/>
      <c r="X15" s="21"/>
      <c r="Y15" s="21"/>
      <c r="Z15" s="21"/>
      <c r="AA15" s="21"/>
      <c r="AB15" s="21"/>
      <c r="AC15" s="21"/>
      <c r="AD15" s="23"/>
      <c r="AE15" s="40"/>
      <c r="AF15" s="21">
        <v>0.33333333333333331</v>
      </c>
      <c r="AG15" s="21">
        <v>0.66666666666666663</v>
      </c>
      <c r="AH15" s="21">
        <v>1</v>
      </c>
      <c r="AI15" s="21">
        <v>1.3333333333333333</v>
      </c>
      <c r="AJ15" s="21">
        <v>1.6666666666666665</v>
      </c>
      <c r="AK15" s="21">
        <v>1.9999999999999998</v>
      </c>
      <c r="AL15" s="21">
        <v>2.333333333333333</v>
      </c>
      <c r="AM15" s="21">
        <v>2.6666666666666665</v>
      </c>
      <c r="AN15" s="21">
        <v>3</v>
      </c>
      <c r="AO15" s="21">
        <v>3.3333333333333335</v>
      </c>
      <c r="AP15" s="21"/>
      <c r="AQ15" s="21"/>
      <c r="AR15" s="21"/>
      <c r="AS15" s="21"/>
      <c r="AT15" s="21"/>
      <c r="AU15" s="21"/>
      <c r="AV15" s="21"/>
      <c r="AW15" s="21"/>
    </row>
    <row r="16" spans="1:49" x14ac:dyDescent="0.55000000000000004">
      <c r="A16" s="16">
        <v>2.7777777000000002E-3</v>
      </c>
      <c r="B16" s="17">
        <v>1.3140000000000001E-2</v>
      </c>
      <c r="C16" s="16">
        <v>2.7777777000000002E-3</v>
      </c>
      <c r="D16" s="17">
        <v>1.3140000000000001E-2</v>
      </c>
      <c r="F16" s="16">
        <v>0.5</v>
      </c>
      <c r="G16" s="17">
        <v>1.5476336E-2</v>
      </c>
      <c r="H16" s="16">
        <v>1</v>
      </c>
      <c r="I16" s="17">
        <v>5.7799999999999997E-2</v>
      </c>
      <c r="K16" s="21">
        <v>0.5</v>
      </c>
      <c r="L16" s="22">
        <v>0.39953</v>
      </c>
      <c r="M16" s="22">
        <v>0.35431000000000001</v>
      </c>
      <c r="N16" s="22">
        <v>0.34103</v>
      </c>
      <c r="O16" s="22">
        <v>0.31208000000000002</v>
      </c>
      <c r="P16" s="22">
        <v>0.29199999999999998</v>
      </c>
      <c r="Q16" s="22">
        <v>0.27834999999999999</v>
      </c>
      <c r="R16" s="22">
        <v>0.26856000000000002</v>
      </c>
      <c r="S16" s="22">
        <v>0.25846999999999998</v>
      </c>
      <c r="T16" s="22">
        <v>0.2477</v>
      </c>
      <c r="U16" s="22">
        <v>0.24334</v>
      </c>
      <c r="V16" s="22"/>
      <c r="W16" s="22"/>
      <c r="X16" s="22"/>
      <c r="Y16" s="22"/>
      <c r="Z16" s="22"/>
      <c r="AA16" s="22"/>
      <c r="AB16" s="22"/>
      <c r="AC16" s="22"/>
      <c r="AD16" s="23"/>
      <c r="AE16" s="21">
        <v>0.5</v>
      </c>
      <c r="AF16" s="22">
        <v>0.49519872048817876</v>
      </c>
      <c r="AG16" s="22">
        <v>0.52040400594975633</v>
      </c>
      <c r="AH16" s="22">
        <v>0.45752493865081045</v>
      </c>
      <c r="AI16" s="22">
        <v>0.31932941942005771</v>
      </c>
      <c r="AJ16" s="22">
        <v>0.29798350439932186</v>
      </c>
      <c r="AK16" s="22">
        <v>0.29480992429673547</v>
      </c>
      <c r="AL16" s="22">
        <v>0.26647968692873336</v>
      </c>
      <c r="AM16" s="22">
        <v>0.21227253280560784</v>
      </c>
      <c r="AN16" s="22">
        <v>0.22328321507464022</v>
      </c>
      <c r="AO16" s="22">
        <v>0.25580902030570496</v>
      </c>
      <c r="AP16" s="22"/>
      <c r="AQ16" s="22"/>
      <c r="AR16" s="22"/>
      <c r="AS16" s="22"/>
      <c r="AT16" s="22"/>
      <c r="AU16" s="22"/>
      <c r="AV16" s="22"/>
      <c r="AW16" s="22"/>
    </row>
    <row r="17" spans="1:49" x14ac:dyDescent="0.55000000000000004">
      <c r="A17" s="16">
        <v>0.25</v>
      </c>
      <c r="B17" s="17">
        <v>1.49E-2</v>
      </c>
      <c r="C17" s="16">
        <v>0.25</v>
      </c>
      <c r="D17" s="17">
        <v>1.49E-2</v>
      </c>
      <c r="F17" s="16"/>
      <c r="G17" s="19"/>
      <c r="H17" s="16"/>
      <c r="I17" s="17"/>
      <c r="K17" s="21">
        <v>0.6</v>
      </c>
      <c r="L17" s="22">
        <v>0.35871999999999998</v>
      </c>
      <c r="M17" s="22">
        <v>0.30496000000000001</v>
      </c>
      <c r="N17" s="22">
        <v>0.29508000000000001</v>
      </c>
      <c r="O17" s="22">
        <v>0.26927000000000001</v>
      </c>
      <c r="P17" s="22">
        <v>0.25139</v>
      </c>
      <c r="Q17" s="22">
        <v>0.23854</v>
      </c>
      <c r="R17" s="22">
        <v>0.23055</v>
      </c>
      <c r="S17" s="22">
        <v>0.22373000000000001</v>
      </c>
      <c r="T17" s="22">
        <v>0.21529999999999999</v>
      </c>
      <c r="U17" s="22">
        <v>0.21249999999999999</v>
      </c>
      <c r="V17" s="22"/>
      <c r="W17" s="22"/>
      <c r="X17" s="22"/>
      <c r="Y17" s="22"/>
      <c r="Z17" s="22"/>
      <c r="AA17" s="22"/>
      <c r="AB17" s="22"/>
      <c r="AC17" s="22"/>
      <c r="AD17" s="23"/>
      <c r="AE17" s="21">
        <v>0.6</v>
      </c>
      <c r="AF17" s="22">
        <v>0.48161680139665486</v>
      </c>
      <c r="AG17" s="22">
        <v>0.47242594785155023</v>
      </c>
      <c r="AH17" s="22">
        <v>0.46131057339243892</v>
      </c>
      <c r="AI17" s="22">
        <v>0.29270161123331861</v>
      </c>
      <c r="AJ17" s="22">
        <v>0.25868612100797295</v>
      </c>
      <c r="AK17" s="22">
        <v>0.25890480085920592</v>
      </c>
      <c r="AL17" s="22">
        <v>0.25121612727671661</v>
      </c>
      <c r="AM17" s="22">
        <v>0.20887332724642224</v>
      </c>
      <c r="AN17" s="22">
        <v>0.20727891405082133</v>
      </c>
      <c r="AO17" s="22">
        <v>0.23280321444173679</v>
      </c>
      <c r="AP17" s="22"/>
      <c r="AQ17" s="22"/>
      <c r="AR17" s="22"/>
      <c r="AS17" s="22"/>
      <c r="AT17" s="22"/>
      <c r="AU17" s="22"/>
      <c r="AV17" s="22"/>
      <c r="AW17" s="22"/>
    </row>
    <row r="18" spans="1:49" x14ac:dyDescent="0.55000000000000004">
      <c r="A18" s="16">
        <v>0.5</v>
      </c>
      <c r="B18" s="17">
        <v>1.5476336E-2</v>
      </c>
      <c r="C18" s="16">
        <v>0.5</v>
      </c>
      <c r="D18" s="17">
        <v>1.5476336E-2</v>
      </c>
      <c r="F18" s="16"/>
      <c r="G18" s="19"/>
      <c r="H18" s="16"/>
      <c r="I18" s="17"/>
      <c r="K18" s="21">
        <v>0.7</v>
      </c>
      <c r="L18" s="22">
        <v>0.29748999999999998</v>
      </c>
      <c r="M18" s="22">
        <v>0.25945000000000001</v>
      </c>
      <c r="N18" s="22">
        <v>0.24746000000000001</v>
      </c>
      <c r="O18" s="22">
        <v>0.23002</v>
      </c>
      <c r="P18" s="22">
        <v>0.21759000000000001</v>
      </c>
      <c r="Q18" s="22">
        <v>0.20727000000000001</v>
      </c>
      <c r="R18" s="22">
        <v>0.20204</v>
      </c>
      <c r="S18" s="22">
        <v>0.19833000000000001</v>
      </c>
      <c r="T18" s="22">
        <v>0.19361999999999999</v>
      </c>
      <c r="U18" s="22">
        <v>0.19223999999999999</v>
      </c>
      <c r="V18" s="22"/>
      <c r="W18" s="22"/>
      <c r="X18" s="22"/>
      <c r="Y18" s="22"/>
      <c r="Z18" s="22"/>
      <c r="AA18" s="22"/>
      <c r="AB18" s="22"/>
      <c r="AC18" s="22"/>
      <c r="AD18" s="23"/>
      <c r="AE18" s="21">
        <v>0.7</v>
      </c>
      <c r="AF18" s="22">
        <v>0.40858254293532359</v>
      </c>
      <c r="AG18" s="22">
        <v>0.36038728440045642</v>
      </c>
      <c r="AH18" s="22">
        <v>0.30949253328732212</v>
      </c>
      <c r="AI18" s="22">
        <v>0.23849574755068526</v>
      </c>
      <c r="AJ18" s="22">
        <v>0.20895907070892231</v>
      </c>
      <c r="AK18" s="22">
        <v>0.20405341603741597</v>
      </c>
      <c r="AL18" s="22">
        <v>0.20797346043379467</v>
      </c>
      <c r="AM18" s="22">
        <v>0.19114980772655882</v>
      </c>
      <c r="AN18" s="22">
        <v>0.19342709922059503</v>
      </c>
      <c r="AO18" s="22">
        <v>0.20347594018267784</v>
      </c>
      <c r="AP18" s="22"/>
      <c r="AQ18" s="22"/>
      <c r="AR18" s="22"/>
      <c r="AS18" s="22"/>
      <c r="AT18" s="22"/>
      <c r="AU18" s="22"/>
      <c r="AV18" s="22"/>
      <c r="AW18" s="22"/>
    </row>
    <row r="19" spans="1:49" x14ac:dyDescent="0.55000000000000004">
      <c r="A19" s="16">
        <v>0.75</v>
      </c>
      <c r="B19" s="17">
        <v>1.6555259999999999E-2</v>
      </c>
      <c r="C19" s="16">
        <v>0.75</v>
      </c>
      <c r="D19" s="17">
        <v>1.6555259999999999E-2</v>
      </c>
      <c r="F19" s="16"/>
      <c r="G19" s="19"/>
      <c r="H19" s="16"/>
      <c r="I19" s="17"/>
      <c r="K19" s="21">
        <v>0.8</v>
      </c>
      <c r="L19" s="22">
        <v>0.24129999999999999</v>
      </c>
      <c r="M19" s="22">
        <v>0.21798999999999999</v>
      </c>
      <c r="N19" s="22">
        <v>0.20821999999999999</v>
      </c>
      <c r="O19" s="22">
        <v>0.19789999999999999</v>
      </c>
      <c r="P19" s="22">
        <v>0.19069</v>
      </c>
      <c r="Q19" s="22">
        <v>0.18398</v>
      </c>
      <c r="R19" s="22">
        <v>0.18196000000000001</v>
      </c>
      <c r="S19" s="22">
        <v>0.18073</v>
      </c>
      <c r="T19" s="22">
        <v>0.17827999999999999</v>
      </c>
      <c r="U19" s="22">
        <v>0.17832000000000001</v>
      </c>
      <c r="V19" s="22"/>
      <c r="W19" s="22"/>
      <c r="X19" s="22"/>
      <c r="Y19" s="22"/>
      <c r="Z19" s="22"/>
      <c r="AA19" s="22"/>
      <c r="AB19" s="22"/>
      <c r="AC19" s="22"/>
      <c r="AD19" s="25"/>
      <c r="AE19" s="21">
        <v>0.8</v>
      </c>
      <c r="AF19" s="22">
        <v>0.32571884843587506</v>
      </c>
      <c r="AG19" s="22">
        <v>0.28291952745921434</v>
      </c>
      <c r="AH19" s="22">
        <v>0.256845985102164</v>
      </c>
      <c r="AI19" s="22">
        <v>0.21086525409801699</v>
      </c>
      <c r="AJ19" s="22">
        <v>0.1844518915171505</v>
      </c>
      <c r="AK19" s="22">
        <v>0.18257381839202974</v>
      </c>
      <c r="AL19" s="22">
        <v>0.18987996816790187</v>
      </c>
      <c r="AM19" s="22">
        <v>0.17849725897291929</v>
      </c>
      <c r="AN19" s="22">
        <v>0.17892163033447822</v>
      </c>
      <c r="AO19" s="22">
        <v>0.18565910473211247</v>
      </c>
      <c r="AP19" s="22"/>
      <c r="AQ19" s="22"/>
      <c r="AR19" s="22"/>
      <c r="AS19" s="22"/>
      <c r="AT19" s="22"/>
      <c r="AU19" s="22"/>
      <c r="AV19" s="22"/>
      <c r="AW19" s="22"/>
    </row>
    <row r="20" spans="1:49" x14ac:dyDescent="0.55000000000000004">
      <c r="A20" s="16">
        <v>1</v>
      </c>
      <c r="B20" s="17">
        <v>1.7812487500000002E-2</v>
      </c>
      <c r="C20" s="16">
        <v>1</v>
      </c>
      <c r="D20" s="17">
        <v>1.7812487500000002E-2</v>
      </c>
      <c r="F20" s="16"/>
      <c r="G20" s="19"/>
      <c r="H20" s="16"/>
      <c r="I20" s="17"/>
      <c r="K20" s="21">
        <v>0.9</v>
      </c>
      <c r="L20" s="22">
        <v>0.18583</v>
      </c>
      <c r="M20" s="22">
        <v>0.17757999999999999</v>
      </c>
      <c r="N20" s="22">
        <v>0.17082</v>
      </c>
      <c r="O20" s="22">
        <v>0.16969000000000001</v>
      </c>
      <c r="P20" s="22">
        <v>0.16891</v>
      </c>
      <c r="Q20" s="22">
        <v>0.16619</v>
      </c>
      <c r="R20" s="22">
        <v>0.16711999999999999</v>
      </c>
      <c r="S20" s="22">
        <v>0.16803000000000001</v>
      </c>
      <c r="T20" s="22">
        <v>0.16741</v>
      </c>
      <c r="U20" s="22">
        <v>0.16885</v>
      </c>
      <c r="V20" s="22"/>
      <c r="W20" s="22"/>
      <c r="X20" s="22"/>
      <c r="Y20" s="22"/>
      <c r="Z20" s="22"/>
      <c r="AA20" s="22"/>
      <c r="AB20" s="22"/>
      <c r="AC20" s="22"/>
      <c r="AD20" s="26"/>
      <c r="AE20" s="21">
        <v>0.9</v>
      </c>
      <c r="AF20" s="22">
        <v>0.22982274484286397</v>
      </c>
      <c r="AG20" s="22">
        <v>0.20017791739954152</v>
      </c>
      <c r="AH20" s="22">
        <v>0.18291371599923778</v>
      </c>
      <c r="AI20" s="22">
        <v>0.18203297087071138</v>
      </c>
      <c r="AJ20" s="22">
        <v>0.17116486434448136</v>
      </c>
      <c r="AK20" s="22">
        <v>0.17156774471746392</v>
      </c>
      <c r="AL20" s="22">
        <v>0.17953026059837682</v>
      </c>
      <c r="AM20" s="22">
        <v>0.17162408207599966</v>
      </c>
      <c r="AN20" s="22">
        <v>0.17367087796579372</v>
      </c>
      <c r="AO20" s="22">
        <v>0.18209930301704563</v>
      </c>
      <c r="AP20" s="22"/>
      <c r="AQ20" s="22"/>
      <c r="AR20" s="22"/>
      <c r="AS20" s="22"/>
      <c r="AT20" s="22"/>
      <c r="AU20" s="22"/>
      <c r="AV20" s="22"/>
      <c r="AW20" s="22"/>
    </row>
    <row r="21" spans="1:49" x14ac:dyDescent="0.55000000000000004">
      <c r="A21" s="16">
        <v>2</v>
      </c>
      <c r="B21" s="17">
        <v>2.0689384000000002E-2</v>
      </c>
      <c r="C21" s="16">
        <v>2</v>
      </c>
      <c r="D21" s="17">
        <v>2.0689384000000002E-2</v>
      </c>
      <c r="F21" s="16"/>
      <c r="G21" s="19"/>
      <c r="H21" s="16"/>
      <c r="I21" s="17"/>
      <c r="K21" s="21">
        <v>1</v>
      </c>
      <c r="L21" s="22">
        <v>0.13402</v>
      </c>
      <c r="M21" s="22">
        <v>0.14104</v>
      </c>
      <c r="N21" s="22">
        <v>0.14266999999999999</v>
      </c>
      <c r="O21" s="22">
        <v>0.14749000000000001</v>
      </c>
      <c r="P21" s="22">
        <v>0.15106</v>
      </c>
      <c r="Q21" s="22">
        <v>0.15182000000000001</v>
      </c>
      <c r="R21" s="22">
        <v>0.15537000000000001</v>
      </c>
      <c r="S21" s="22">
        <v>0.15823000000000001</v>
      </c>
      <c r="T21" s="22">
        <v>0.15916</v>
      </c>
      <c r="U21" s="22">
        <v>0.16161</v>
      </c>
      <c r="V21" s="22"/>
      <c r="W21" s="22"/>
      <c r="X21" s="22"/>
      <c r="Y21" s="22"/>
      <c r="Z21" s="22"/>
      <c r="AA21" s="22"/>
      <c r="AB21" s="22"/>
      <c r="AC21" s="22"/>
      <c r="AD21" s="26"/>
      <c r="AE21" s="21">
        <v>1</v>
      </c>
      <c r="AF21" s="22">
        <v>0.1416003852584462</v>
      </c>
      <c r="AG21" s="22">
        <v>0.14093854293620572</v>
      </c>
      <c r="AH21" s="22">
        <v>0.14108570190116781</v>
      </c>
      <c r="AI21" s="22">
        <v>0.15190934651271681</v>
      </c>
      <c r="AJ21" s="22">
        <v>0.15256694751821617</v>
      </c>
      <c r="AK21" s="22">
        <v>0.15704143178210087</v>
      </c>
      <c r="AL21" s="22">
        <v>0.16796575315975054</v>
      </c>
      <c r="AM21" s="22">
        <v>0.16413006726229012</v>
      </c>
      <c r="AN21" s="22">
        <v>0.16449271916896566</v>
      </c>
      <c r="AO21" s="22">
        <v>0.17281731744382769</v>
      </c>
      <c r="AP21" s="22"/>
      <c r="AQ21" s="22"/>
      <c r="AR21" s="22"/>
      <c r="AS21" s="22"/>
      <c r="AT21" s="22"/>
      <c r="AU21" s="22"/>
      <c r="AV21" s="22"/>
      <c r="AW21" s="22"/>
    </row>
    <row r="22" spans="1:49" x14ac:dyDescent="0.55000000000000004">
      <c r="A22" s="16">
        <v>3</v>
      </c>
      <c r="B22" s="17">
        <v>2.16750437E-2</v>
      </c>
      <c r="C22" s="16">
        <v>3</v>
      </c>
      <c r="D22" s="17">
        <v>2.16750437E-2</v>
      </c>
      <c r="F22" s="16"/>
      <c r="G22" s="19"/>
      <c r="H22" s="16"/>
      <c r="I22" s="17"/>
      <c r="K22" s="21">
        <v>1.1000000000000001</v>
      </c>
      <c r="L22" s="22">
        <v>0.10327</v>
      </c>
      <c r="M22" s="22">
        <v>0.11413</v>
      </c>
      <c r="N22" s="22">
        <v>0.12809999999999999</v>
      </c>
      <c r="O22" s="22">
        <v>0.13346</v>
      </c>
      <c r="P22" s="22">
        <v>0.13786000000000001</v>
      </c>
      <c r="Q22" s="22">
        <v>0.14172999999999999</v>
      </c>
      <c r="R22" s="22">
        <v>0.14682000000000001</v>
      </c>
      <c r="S22" s="22">
        <v>0.15109</v>
      </c>
      <c r="T22" s="22">
        <v>0.15386</v>
      </c>
      <c r="U22" s="22">
        <v>0.15673000000000001</v>
      </c>
      <c r="V22" s="22"/>
      <c r="W22" s="22"/>
      <c r="X22" s="22"/>
      <c r="Y22" s="22"/>
      <c r="Z22" s="22"/>
      <c r="AA22" s="22"/>
      <c r="AB22" s="22"/>
      <c r="AC22" s="22"/>
      <c r="AD22" s="26"/>
      <c r="AE22" s="21">
        <v>1.1000000000000001</v>
      </c>
      <c r="AF22" s="22">
        <v>0.10203168619801845</v>
      </c>
      <c r="AG22" s="22">
        <v>0.11144910678989474</v>
      </c>
      <c r="AH22" s="22">
        <v>0.13157414608608631</v>
      </c>
      <c r="AI22" s="22">
        <v>0.13195535998042041</v>
      </c>
      <c r="AJ22" s="22">
        <v>0.13596596554216459</v>
      </c>
      <c r="AK22" s="22">
        <v>0.1473288883917353</v>
      </c>
      <c r="AL22" s="22">
        <v>0.15624364851681349</v>
      </c>
      <c r="AM22" s="22">
        <v>0.15704142126740042</v>
      </c>
      <c r="AN22" s="22">
        <v>0.15965241780254619</v>
      </c>
      <c r="AO22" s="22">
        <v>0.16189698946780809</v>
      </c>
      <c r="AP22" s="22"/>
      <c r="AQ22" s="22"/>
      <c r="AR22" s="22"/>
      <c r="AS22" s="22"/>
      <c r="AT22" s="22"/>
      <c r="AU22" s="22"/>
      <c r="AV22" s="22"/>
      <c r="AW22" s="22"/>
    </row>
    <row r="23" spans="1:49" x14ac:dyDescent="0.55000000000000004">
      <c r="A23" s="16">
        <v>4</v>
      </c>
      <c r="B23" s="17">
        <v>2.19994027E-2</v>
      </c>
      <c r="C23" s="16">
        <v>4</v>
      </c>
      <c r="D23" s="17">
        <v>2.19994027E-2</v>
      </c>
      <c r="K23" s="21">
        <v>1.2</v>
      </c>
      <c r="L23" s="22">
        <v>0.10983999999999999</v>
      </c>
      <c r="M23" s="22">
        <v>0.10829999999999999</v>
      </c>
      <c r="N23" s="22">
        <v>0.12136</v>
      </c>
      <c r="O23" s="22">
        <v>0.12608</v>
      </c>
      <c r="P23" s="22">
        <v>0.13128000000000001</v>
      </c>
      <c r="Q23" s="22">
        <v>0.13700000000000001</v>
      </c>
      <c r="R23" s="22">
        <v>0.14288000000000001</v>
      </c>
      <c r="S23" s="22">
        <v>0.14802000000000001</v>
      </c>
      <c r="T23" s="22">
        <v>0.15206</v>
      </c>
      <c r="U23" s="22">
        <v>0.15514</v>
      </c>
      <c r="V23" s="22"/>
      <c r="W23" s="22"/>
      <c r="X23" s="22"/>
      <c r="Y23" s="22"/>
      <c r="Z23" s="22"/>
      <c r="AA23" s="22"/>
      <c r="AB23" s="22"/>
      <c r="AC23" s="22"/>
      <c r="AD23" s="26"/>
      <c r="AE23" s="21">
        <v>1.2</v>
      </c>
      <c r="AF23" s="22">
        <v>0.12114322487074866</v>
      </c>
      <c r="AG23" s="22">
        <v>0.11938180597611613</v>
      </c>
      <c r="AH23" s="22">
        <v>0.12669157979996057</v>
      </c>
      <c r="AI23" s="22">
        <v>0.12684683397035329</v>
      </c>
      <c r="AJ23" s="22">
        <v>0.13644035783556105</v>
      </c>
      <c r="AK23" s="22">
        <v>0.15216781645504351</v>
      </c>
      <c r="AL23" s="22">
        <v>0.16082860437271373</v>
      </c>
      <c r="AM23" s="22">
        <v>0.16441317496073085</v>
      </c>
      <c r="AN23" s="22">
        <v>0.1671297050877093</v>
      </c>
      <c r="AO23" s="22">
        <v>0.16543957145796667</v>
      </c>
      <c r="AP23" s="22"/>
      <c r="AQ23" s="22"/>
      <c r="AR23" s="22"/>
      <c r="AS23" s="22"/>
      <c r="AT23" s="22"/>
      <c r="AU23" s="22"/>
      <c r="AV23" s="22"/>
      <c r="AW23" s="22"/>
    </row>
    <row r="24" spans="1:49" x14ac:dyDescent="0.55000000000000004">
      <c r="A24" s="16">
        <v>5</v>
      </c>
      <c r="B24" s="17">
        <v>2.2199215299999998E-2</v>
      </c>
      <c r="C24" s="16">
        <v>5</v>
      </c>
      <c r="D24" s="17">
        <v>2.2199215299999998E-2</v>
      </c>
      <c r="K24" s="21">
        <v>1.3</v>
      </c>
      <c r="L24" s="22">
        <v>0.11482000000000001</v>
      </c>
      <c r="M24" s="22">
        <v>0.1139</v>
      </c>
      <c r="N24" s="22">
        <v>0.11792999999999999</v>
      </c>
      <c r="O24" s="22">
        <v>0.12475</v>
      </c>
      <c r="P24" s="22">
        <v>0.13103000000000001</v>
      </c>
      <c r="Q24" s="22">
        <v>0.13549</v>
      </c>
      <c r="R24" s="22">
        <v>0.14180000000000001</v>
      </c>
      <c r="S24" s="22">
        <v>0.14774999999999999</v>
      </c>
      <c r="T24" s="22">
        <v>0.15260000000000001</v>
      </c>
      <c r="U24" s="22">
        <v>0.15597</v>
      </c>
      <c r="V24" s="22"/>
      <c r="W24" s="22"/>
      <c r="X24" s="22"/>
      <c r="Y24" s="22"/>
      <c r="Z24" s="22"/>
      <c r="AA24" s="22"/>
      <c r="AB24" s="22"/>
      <c r="AC24" s="22"/>
      <c r="AD24" s="26"/>
      <c r="AE24" s="21">
        <v>1.3</v>
      </c>
      <c r="AF24" s="22">
        <v>0.13282539320792153</v>
      </c>
      <c r="AG24" s="22">
        <v>0.13201872469819381</v>
      </c>
      <c r="AH24" s="22">
        <v>0.11958307838487381</v>
      </c>
      <c r="AI24" s="22">
        <v>0.13421762411635862</v>
      </c>
      <c r="AJ24" s="22">
        <v>0.14025677036377787</v>
      </c>
      <c r="AK24" s="22">
        <v>0.15096652984561063</v>
      </c>
      <c r="AL24" s="22">
        <v>0.16462876657674205</v>
      </c>
      <c r="AM24" s="22">
        <v>0.17130868978853292</v>
      </c>
      <c r="AN24" s="22">
        <v>0.17409788380702931</v>
      </c>
      <c r="AO24" s="22">
        <v>0.1713301036532355</v>
      </c>
      <c r="AP24" s="22"/>
      <c r="AQ24" s="22"/>
      <c r="AR24" s="22"/>
      <c r="AS24" s="22"/>
      <c r="AT24" s="22"/>
      <c r="AU24" s="22"/>
      <c r="AV24" s="22"/>
      <c r="AW24" s="22"/>
    </row>
    <row r="25" spans="1:49" x14ac:dyDescent="0.55000000000000004">
      <c r="A25" s="16">
        <v>7</v>
      </c>
      <c r="B25" s="17">
        <v>2.2158577200000001E-2</v>
      </c>
      <c r="C25" s="16">
        <v>7</v>
      </c>
      <c r="D25" s="17">
        <v>2.2158577200000001E-2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</row>
    <row r="26" spans="1:49" x14ac:dyDescent="0.55000000000000004">
      <c r="A26" s="16">
        <v>10</v>
      </c>
      <c r="B26" s="17">
        <v>2.2148508000000001E-2</v>
      </c>
      <c r="C26" s="16">
        <v>10</v>
      </c>
      <c r="D26" s="17">
        <v>2.2148508000000001E-2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3"/>
      <c r="AE26" s="21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</row>
    <row r="27" spans="1:49" x14ac:dyDescent="0.55000000000000004"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</row>
    <row r="28" spans="1:49" x14ac:dyDescent="0.55000000000000004"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/>
      <c r="AE28" s="21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</row>
    <row r="29" spans="1:49" x14ac:dyDescent="0.55000000000000004">
      <c r="K29" s="21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</row>
    <row r="30" spans="1:49" x14ac:dyDescent="0.55000000000000004">
      <c r="K30" s="21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3"/>
      <c r="AE30" s="21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</row>
    <row r="31" spans="1:49" x14ac:dyDescent="0.55000000000000004"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</row>
    <row r="32" spans="1:49" x14ac:dyDescent="0.55000000000000004">
      <c r="K32" s="21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3"/>
      <c r="AE32" s="21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</row>
    <row r="33" spans="11:49" x14ac:dyDescent="0.55000000000000004">
      <c r="K33" s="21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</row>
    <row r="34" spans="11:49" x14ac:dyDescent="0.55000000000000004">
      <c r="K34" s="21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5"/>
      <c r="AE34" s="21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</row>
    <row r="35" spans="11:49" x14ac:dyDescent="0.55000000000000004"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6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</row>
    <row r="36" spans="11:49" x14ac:dyDescent="0.55000000000000004">
      <c r="K36" s="21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6"/>
      <c r="AE36" s="21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</row>
    <row r="37" spans="11:49" x14ac:dyDescent="0.55000000000000004">
      <c r="K37" s="21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6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</row>
    <row r="38" spans="11:49" x14ac:dyDescent="0.55000000000000004">
      <c r="K38" s="21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6"/>
      <c r="AE38" s="21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</row>
    <row r="39" spans="11:49" x14ac:dyDescent="0.55000000000000004"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6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</row>
  </sheetData>
  <mergeCells count="39">
    <mergeCell ref="A13:D13"/>
    <mergeCell ref="A14:B15"/>
    <mergeCell ref="C14:D15"/>
    <mergeCell ref="F12:G13"/>
    <mergeCell ref="H12:I13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A11:B11"/>
    <mergeCell ref="C11:D11"/>
    <mergeCell ref="A6:B6"/>
    <mergeCell ref="C6:D6"/>
    <mergeCell ref="A7:B7"/>
    <mergeCell ref="C7:D7"/>
    <mergeCell ref="A8:B8"/>
    <mergeCell ref="C8:D8"/>
    <mergeCell ref="A9:B9"/>
    <mergeCell ref="C9:D9"/>
    <mergeCell ref="S5:V6"/>
    <mergeCell ref="Q5:R5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28575</xdr:rowOff>
                  </from>
                  <to>
                    <xdr:col>11</xdr:col>
                    <xdr:colOff>476250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KDB</cp:lastModifiedBy>
  <dcterms:created xsi:type="dcterms:W3CDTF">2022-04-01T01:32:47Z</dcterms:created>
  <dcterms:modified xsi:type="dcterms:W3CDTF">2022-09-01T05:43:00Z</dcterms:modified>
</cp:coreProperties>
</file>