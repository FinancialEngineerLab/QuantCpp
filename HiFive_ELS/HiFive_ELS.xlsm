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DB\github5\HiFive_ELS\"/>
    </mc:Choice>
  </mc:AlternateContent>
  <bookViews>
    <workbookView xWindow="0" yWindow="0" windowWidth="28800" windowHeight="12255"/>
  </bookViews>
  <sheets>
    <sheet name="HiFive_EL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H2" i="1" l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AX2" i="1" l="1"/>
  <c r="AY2" i="1" s="1"/>
  <c r="AZ2" i="1" s="1"/>
  <c r="BA2" i="1" s="1"/>
  <c r="BB2" i="1" s="1"/>
  <c r="BC2" i="1" s="1"/>
  <c r="BD2" i="1" s="1"/>
  <c r="BE2" i="1" s="1"/>
  <c r="BF2" i="1" s="1"/>
  <c r="BG2" i="1" s="1"/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B2" i="1"/>
  <c r="A2" i="1"/>
</calcChain>
</file>

<file path=xl/comments1.xml><?xml version="1.0" encoding="utf-8"?>
<comments xmlns="http://schemas.openxmlformats.org/spreadsheetml/2006/main">
  <authors>
    <author>Finance-KIS</author>
    <author>CertesDefinist</author>
    <author>임 대선</author>
    <author>DAESUN IM</author>
  </authors>
  <commentList>
    <comment ref="F4" authorId="0" shapeId="0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68" authorId="3" shapeId="0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P15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68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<sst xmlns="http://schemas.openxmlformats.org/spreadsheetml/2006/main" count="205" uniqueCount="88">
  <si>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</si>
  <si>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</si>
  <si>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</si>
  <si>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</si>
  <si>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</si>
  <si>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</si>
  <si>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</si>
  <si>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</si>
  <si>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</si>
  <si>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</si>
  <si>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</si>
  <si>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</si>
  <si>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</si>
  <si>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</si>
  <si>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</si>
  <si>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</si>
  <si>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</si>
  <si>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</si>
  <si>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</si>
  <si>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</si>
  <si>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</si>
  <si>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</si>
  <si>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</si>
  <si>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</si>
  <si>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</si>
  <si>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</si>
  <si>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</si>
  <si>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</si>
  <si>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</si>
  <si>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</si>
  <si>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</si>
  <si>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금리관련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</si>
  <si>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</si>
  <si>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</si>
  <si>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</si>
  <si>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</si>
  <si>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</si>
  <si>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</si>
  <si>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</si>
  <si>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</si>
  <si>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Quanto관련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</si>
  <si>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</si>
  <si>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</si>
  <si>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</si>
  <si>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</si>
  <si>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</si>
  <si>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</si>
  <si>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</si>
  <si>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</si>
  <si>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</si>
  <si>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</si>
  <si>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</si>
  <si>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</si>
  <si>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</si>
  <si>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</si>
  <si>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</si>
  <si>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</si>
  <si>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</si>
  <si>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</si>
  <si>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</si>
  <si>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</si>
  <si>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</si>
  <si>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</si>
  <si>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</si>
  <si>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</si>
  <si>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</si>
  <si>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</si>
  <si>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</si>
  <si>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</si>
  <si>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</si>
  <si>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</si>
  <si>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</si>
  <si>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</si>
  <si>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</si>
  <si>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</si>
  <si>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</si>
  <si>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</si>
  <si>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</si>
  <si>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</si>
  <si>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</si>
  <si>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</si>
  <si>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</si>
  <si>
    <t>SABR Implied Volatility</t>
    <phoneticPr fontId="3" type="noConversion"/>
  </si>
  <si>
    <t>Alpha</t>
    <phoneticPr fontId="3" type="noConversion"/>
  </si>
  <si>
    <t>Vega</t>
    <phoneticPr fontId="3" type="noConversion"/>
  </si>
  <si>
    <t>Rho</t>
    <phoneticPr fontId="3" type="noConversion"/>
  </si>
  <si>
    <t>Term</t>
    <phoneticPr fontId="3" type="noConversion"/>
  </si>
  <si>
    <t>SABR Parameter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</si>
</sst>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6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176" fontId="4" fillId="3" borderId="0" xfId="0" applyNumberFormat="1" applyFont="1" applyFill="1" applyProtection="1">
      <alignment vertical="center"/>
    </xf>
    <xf numFmtId="0" fontId="4" fillId="3" borderId="0" xfId="0" applyFont="1" applyFill="1" applyProtection="1">
      <alignment vertical="center"/>
    </xf>
    <xf numFmtId="0" fontId="4" fillId="6" borderId="0" xfId="0" applyFont="1" applyFill="1" applyProtection="1">
      <alignment vertical="center"/>
    </xf>
    <xf numFmtId="0" fontId="5" fillId="7" borderId="5" xfId="0" applyFont="1" applyFill="1" applyBorder="1" applyAlignment="1" applyProtection="1">
      <alignment horizontal="center" vertical="center"/>
    </xf>
    <xf numFmtId="177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178" fontId="4" fillId="5" borderId="6" xfId="0" applyNumberFormat="1" applyFont="1" applyFill="1" applyBorder="1" applyProtection="1">
      <alignment vertical="center"/>
    </xf>
    <xf numFmtId="0" fontId="4" fillId="3" borderId="0" xfId="0" applyFont="1" applyFill="1" applyBorder="1" applyProtection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 applyProtection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 applyProtection="1">
      <alignment vertical="center"/>
    </xf>
    <xf numFmtId="0" fontId="4" fillId="5" borderId="3" xfId="0" applyFont="1" applyFill="1" applyBorder="1" applyProtection="1">
      <alignment vertical="center"/>
    </xf>
    <xf numFmtId="0" fontId="4" fillId="5" borderId="13" xfId="0" applyFont="1" applyFill="1" applyBorder="1" applyProtection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 applyProtection="1">
      <alignment vertical="center"/>
    </xf>
    <xf numFmtId="176" fontId="4" fillId="10" borderId="0" xfId="0" applyNumberFormat="1" applyFont="1" applyFill="1" applyBorder="1" applyProtection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Protection="1">
      <alignment vertical="center"/>
    </xf>
    <xf numFmtId="0" fontId="5" fillId="9" borderId="20" xfId="0" applyFont="1" applyFill="1" applyBorder="1" applyAlignment="1" applyProtection="1">
      <alignment horizontal="center" vertical="center"/>
    </xf>
    <xf numFmtId="0" fontId="4" fillId="9" borderId="20" xfId="0" applyFont="1" applyFill="1" applyBorder="1" applyProtection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 applyProtection="1">
      <alignment vertical="center"/>
    </xf>
    <xf numFmtId="9" fontId="6" fillId="5" borderId="1" xfId="1" applyNumberFormat="1" applyFont="1" applyFill="1" applyBorder="1" applyAlignment="1" applyProtection="1">
      <alignment vertical="center"/>
    </xf>
    <xf numFmtId="9" fontId="4" fillId="5" borderId="1" xfId="0" applyNumberFormat="1" applyFont="1" applyFill="1" applyBorder="1" applyProtection="1">
      <alignment vertical="center"/>
    </xf>
    <xf numFmtId="9" fontId="7" fillId="5" borderId="17" xfId="0" applyNumberFormat="1" applyFont="1" applyFill="1" applyBorder="1" applyAlignment="1" applyProtection="1">
      <alignment vertical="center"/>
    </xf>
    <xf numFmtId="0" fontId="7" fillId="5" borderId="17" xfId="0" applyFont="1" applyFill="1" applyBorder="1" applyAlignment="1" applyProtection="1">
      <alignment vertical="center"/>
    </xf>
    <xf numFmtId="176" fontId="7" fillId="5" borderId="0" xfId="0" applyNumberFormat="1" applyFont="1" applyFill="1" applyBorder="1" applyAlignment="1" applyProtection="1">
      <alignment vertical="center"/>
    </xf>
    <xf numFmtId="0" fontId="7" fillId="13" borderId="0" xfId="0" applyFont="1" applyFill="1" applyBorder="1" applyAlignment="1" applyProtection="1">
      <alignment vertical="center"/>
    </xf>
    <xf numFmtId="0" fontId="7" fillId="13" borderId="17" xfId="0" applyFont="1" applyFill="1" applyBorder="1" applyAlignment="1" applyProtection="1">
      <alignment vertical="center"/>
    </xf>
    <xf numFmtId="0" fontId="4" fillId="4" borderId="0" xfId="0" applyFont="1" applyFill="1" applyProtection="1">
      <alignment vertical="center"/>
    </xf>
    <xf numFmtId="182" fontId="5" fillId="4" borderId="1" xfId="0" applyNumberFormat="1" applyFont="1" applyFill="1" applyBorder="1" applyAlignment="1" applyProtection="1">
      <alignment horizontal="center" vertical="center"/>
    </xf>
    <xf numFmtId="180" fontId="6" fillId="5" borderId="1" xfId="0" applyNumberFormat="1" applyFont="1" applyFill="1" applyBorder="1" applyProtection="1">
      <alignment vertical="center"/>
    </xf>
    <xf numFmtId="0" fontId="4" fillId="11" borderId="1" xfId="0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>
      <alignment vertical="center"/>
    </xf>
    <xf numFmtId="10" fontId="6" fillId="2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/>
    <xf numFmtId="0" fontId="4" fillId="12" borderId="1" xfId="0" applyFont="1" applyFill="1" applyBorder="1" applyProtection="1">
      <alignment vertical="center"/>
    </xf>
    <xf numFmtId="0" fontId="4" fillId="13" borderId="1" xfId="0" applyFont="1" applyFill="1" applyBorder="1" applyProtection="1">
      <alignment vertical="center"/>
    </xf>
    <xf numFmtId="176" fontId="6" fillId="13" borderId="1" xfId="0" applyNumberFormat="1" applyFont="1" applyFill="1" applyBorder="1" applyProtection="1">
      <alignment vertical="center"/>
    </xf>
    <xf numFmtId="176" fontId="6" fillId="13" borderId="1" xfId="0" applyNumberFormat="1" applyFont="1" applyFill="1" applyBorder="1" applyAlignment="1" applyProtection="1">
      <alignment vertical="center"/>
    </xf>
    <xf numFmtId="180" fontId="6" fillId="13" borderId="1" xfId="0" applyNumberFormat="1" applyFont="1" applyFill="1" applyBorder="1" applyAlignment="1" applyProtection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 applyProtection="1">
      <alignment vertical="center"/>
    </xf>
    <xf numFmtId="0" fontId="4" fillId="5" borderId="17" xfId="0" applyFont="1" applyFill="1" applyBorder="1" applyProtection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 applyProtection="1">
      <alignment vertical="center"/>
    </xf>
    <xf numFmtId="0" fontId="4" fillId="5" borderId="19" xfId="0" applyFont="1" applyFill="1" applyBorder="1" applyProtection="1">
      <alignment vertical="center"/>
    </xf>
    <xf numFmtId="0" fontId="4" fillId="5" borderId="20" xfId="0" applyFont="1" applyFill="1" applyBorder="1" applyProtection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 applyProtection="1">
      <alignment vertical="center"/>
    </xf>
    <xf numFmtId="176" fontId="4" fillId="5" borderId="3" xfId="0" applyNumberFormat="1" applyFont="1" applyFill="1" applyBorder="1" applyProtection="1">
      <alignment vertical="center"/>
    </xf>
    <xf numFmtId="176" fontId="4" fillId="5" borderId="1" xfId="0" applyNumberFormat="1" applyFont="1" applyFill="1" applyBorder="1" applyProtection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 applyProtection="1">
      <alignment vertical="center"/>
    </xf>
    <xf numFmtId="14" fontId="4" fillId="5" borderId="3" xfId="0" applyNumberFormat="1" applyFont="1" applyFill="1" applyBorder="1" applyProtection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vertical="center"/>
    </xf>
    <xf numFmtId="0" fontId="5" fillId="4" borderId="19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4" fillId="5" borderId="0" xfId="0" applyFont="1" applyFill="1" applyBorder="1" applyProtection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 applyBorder="1" applyProtection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 applyProtection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1" borderId="1" xfId="0" applyFont="1" applyFill="1" applyBorder="1">
      <alignment vertical="center"/>
    </xf>
    <xf numFmtId="0" fontId="4" fillId="14" borderId="6" xfId="0" applyFont="1" applyFill="1" applyBorder="1" applyProtection="1">
      <alignment vertical="center"/>
    </xf>
    <xf numFmtId="186" fontId="6" fillId="14" borderId="1" xfId="0" applyNumberFormat="1" applyFont="1" applyFill="1" applyBorder="1" applyAlignment="1" applyProtection="1"/>
    <xf numFmtId="10" fontId="6" fillId="14" borderId="1" xfId="0" applyNumberFormat="1" applyFont="1" applyFill="1" applyBorder="1" applyAlignment="1" applyProtection="1"/>
    <xf numFmtId="0" fontId="5" fillId="4" borderId="16" xfId="0" applyFont="1" applyFill="1" applyBorder="1" applyAlignment="1" applyProtection="1">
      <alignment horizontal="center" vertical="center" wrapText="1"/>
    </xf>
    <xf numFmtId="0" fontId="5" fillId="4" borderId="20" xfId="0" applyFont="1" applyFill="1" applyBorder="1" applyAlignment="1" applyProtection="1">
      <alignment horizontal="center" vertical="center" wrapText="1"/>
    </xf>
    <xf numFmtId="0" fontId="2" fillId="4" borderId="19" xfId="0" applyFont="1" applyFill="1" applyBorder="1" applyAlignment="1" applyProtection="1">
      <alignment horizontal="center" vertical="center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5" fillId="4" borderId="15" xfId="0" applyFont="1" applyFill="1" applyBorder="1" applyAlignment="1" applyProtection="1">
      <alignment horizontal="center" vertical="center"/>
    </xf>
    <xf numFmtId="0" fontId="5" fillId="4" borderId="21" xfId="0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5" fillId="4" borderId="3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0" fontId="5" fillId="8" borderId="8" xfId="0" applyFont="1" applyFill="1" applyBorder="1" applyAlignment="1" applyProtection="1">
      <alignment horizontal="center" vertical="center"/>
    </xf>
    <xf numFmtId="14" fontId="4" fillId="5" borderId="8" xfId="0" applyNumberFormat="1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179" fontId="4" fillId="5" borderId="6" xfId="0" applyNumberFormat="1" applyFont="1" applyFill="1" applyBorder="1" applyAlignment="1" applyProtection="1">
      <alignment horizontal="center" vertical="center"/>
    </xf>
    <xf numFmtId="180" fontId="5" fillId="8" borderId="10" xfId="0" applyNumberFormat="1" applyFont="1" applyFill="1" applyBorder="1" applyAlignment="1" applyProtection="1">
      <alignment horizontal="center" vertical="center"/>
    </xf>
    <xf numFmtId="180" fontId="5" fillId="8" borderId="11" xfId="0" applyNumberFormat="1" applyFont="1" applyFill="1" applyBorder="1" applyAlignment="1" applyProtection="1">
      <alignment horizontal="center" vertical="center"/>
    </xf>
    <xf numFmtId="176" fontId="4" fillId="5" borderId="11" xfId="0" applyNumberFormat="1" applyFont="1" applyFill="1" applyBorder="1" applyAlignment="1" applyProtection="1">
      <alignment horizontal="center" vertical="center"/>
    </xf>
    <xf numFmtId="176" fontId="4" fillId="5" borderId="12" xfId="0" applyNumberFormat="1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6" fillId="5" borderId="22" xfId="0" applyNumberFormat="1" applyFont="1" applyFill="1" applyBorder="1" applyAlignment="1" applyProtection="1">
      <alignment horizontal="center" vertical="center"/>
    </xf>
    <xf numFmtId="176" fontId="6" fillId="5" borderId="23" xfId="0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176" fontId="4" fillId="5" borderId="25" xfId="1" applyNumberFormat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NumberFormat="1" applyFont="1" applyFill="1" applyBorder="1" applyAlignment="1" applyProtection="1">
      <alignment horizontal="center" vertical="center"/>
    </xf>
    <xf numFmtId="9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78" fontId="4" fillId="5" borderId="0" xfId="0" applyNumberFormat="1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2" fillId="15" borderId="0" xfId="0" applyFont="1" applyFill="1" applyAlignment="1" applyProtection="1">
      <alignment horizontal="left" vertical="center"/>
    </xf>
    <xf numFmtId="184" fontId="6" fillId="14" borderId="1" xfId="0" applyNumberFormat="1" applyFont="1" applyFill="1" applyBorder="1" applyAlignment="1" applyProtection="1"/>
    <xf numFmtId="184" fontId="4" fillId="6" borderId="0" xfId="0" applyNumberFormat="1" applyFont="1" applyFill="1" applyProtection="1">
      <alignment vertical="center"/>
    </xf>
    <xf numFmtId="0" fontId="15" fillId="15" borderId="0" xfId="0" applyFont="1" applyFill="1" applyAlignment="1" applyProtection="1">
      <alignment horizontal="center" vertical="center"/>
    </xf>
    <xf numFmtId="0" fontId="15" fillId="15" borderId="19" xfId="0" applyFont="1" applyFill="1" applyBorder="1" applyAlignment="1" applyProtection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866775</xdr:colOff>
          <xdr:row>2</xdr:row>
          <xdr:rowOff>114300</xdr:rowOff>
        </xdr:from>
        <xdr:to>
          <xdr:col>10</xdr:col>
          <xdr:colOff>785813</xdr:colOff>
          <xdr:row>5</xdr:row>
          <xdr:rowOff>104775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G214"/>
  <sheetViews>
    <sheetView tabSelected="1" topLeftCell="AG54" zoomScale="80" zoomScaleNormal="80" workbookViewId="0">
      <selection activeCell="A68" sqref="A68"/>
    </sheetView>
  </sheetViews>
  <sheetFormatPr defaultColWidth="13.6875" defaultRowHeight="21" customHeight="1" x14ac:dyDescent="0.6"/>
  <cols>
    <col min="1" max="6" width="13.6875" style="1"/>
    <col min="7" max="7" width="13.6875" style="1" customWidth="1"/>
    <col min="8" max="16384" width="13.6875" style="1"/>
  </cols>
  <sheetData>
    <row r="1" spans="1:82" ht="21" customHeight="1" x14ac:dyDescent="0.6">
      <c r="A1" s="101" t="s">
        <v>0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</row>
    <row r="2" spans="1:82" ht="21" customHeight="1" x14ac:dyDescent="0.6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ref="AX2" si="1">AW2+1</f>
        <v>50</v>
      </c>
      <c r="AY2" s="1">
        <f t="shared" ref="AY2" si="2">AX2+1</f>
        <v>51</v>
      </c>
      <c r="AZ2" s="1">
        <f t="shared" ref="AZ2" si="3">AY2+1</f>
        <v>52</v>
      </c>
      <c r="BA2" s="1">
        <f t="shared" ref="BA2" si="4">AZ2+1</f>
        <v>53</v>
      </c>
      <c r="BB2" s="1">
        <f t="shared" ref="BB2" si="5">BA2+1</f>
        <v>54</v>
      </c>
      <c r="BC2" s="1">
        <f t="shared" ref="BC2" si="6">BB2+1</f>
        <v>55</v>
      </c>
      <c r="BD2" s="1">
        <f t="shared" ref="BD2" si="7">BC2+1</f>
        <v>56</v>
      </c>
      <c r="BE2" s="1">
        <f t="shared" ref="BE2" si="8">BD2+1</f>
        <v>57</v>
      </c>
      <c r="BF2" s="1">
        <f t="shared" ref="BF2" si="9">BE2+1</f>
        <v>58</v>
      </c>
      <c r="BG2" s="1">
        <f t="shared" ref="BG2" si="10">BF2+1</f>
        <v>59</v>
      </c>
      <c r="BH2" s="1">
        <f t="shared" ref="BH2" si="11">BG2+1</f>
        <v>60</v>
      </c>
      <c r="BI2" s="1">
        <f t="shared" ref="BI2" si="12">BH2+1</f>
        <v>61</v>
      </c>
      <c r="BJ2" s="1">
        <f t="shared" ref="BJ2" si="13">BI2+1</f>
        <v>62</v>
      </c>
      <c r="BK2" s="1">
        <f t="shared" ref="BK2" si="14">BJ2+1</f>
        <v>63</v>
      </c>
      <c r="BL2" s="1">
        <f t="shared" ref="BL2" si="15">BK2+1</f>
        <v>64</v>
      </c>
      <c r="BM2" s="1">
        <f t="shared" ref="BM2" si="16">BL2+1</f>
        <v>65</v>
      </c>
      <c r="BN2" s="1">
        <f t="shared" ref="BN2" si="17">BM2+1</f>
        <v>66</v>
      </c>
      <c r="BO2" s="1">
        <f t="shared" ref="BO2" si="18">BN2+1</f>
        <v>67</v>
      </c>
      <c r="BP2" s="1">
        <f t="shared" ref="BP2" si="19">BO2+1</f>
        <v>68</v>
      </c>
      <c r="BQ2" s="1">
        <f t="shared" ref="BQ2" si="20">BP2+1</f>
        <v>69</v>
      </c>
      <c r="BR2" s="1">
        <f t="shared" ref="BR2" si="21">BQ2+1</f>
        <v>70</v>
      </c>
      <c r="BS2" s="1">
        <f t="shared" ref="BS2" si="22">BR2+1</f>
        <v>71</v>
      </c>
      <c r="BT2" s="1">
        <f t="shared" ref="BT2" si="23">BS2+1</f>
        <v>72</v>
      </c>
      <c r="BU2" s="1">
        <f t="shared" ref="BU2" si="24">BT2+1</f>
        <v>73</v>
      </c>
      <c r="BV2" s="1">
        <f t="shared" ref="BV2" si="25">BU2+1</f>
        <v>74</v>
      </c>
      <c r="BW2" s="1">
        <f t="shared" ref="BW2" si="26">BV2+1</f>
        <v>75</v>
      </c>
      <c r="BX2" s="1">
        <f t="shared" ref="BX2" si="27">BW2+1</f>
        <v>76</v>
      </c>
      <c r="BY2" s="1">
        <f t="shared" ref="BY2" si="28">BX2+1</f>
        <v>77</v>
      </c>
      <c r="BZ2" s="1">
        <f t="shared" ref="BZ2" si="29">BY2+1</f>
        <v>78</v>
      </c>
      <c r="CA2" s="1">
        <f t="shared" ref="CA2" si="30">BZ2+1</f>
        <v>79</v>
      </c>
      <c r="CB2" s="1">
        <f t="shared" ref="CB2" si="31">CA2+1</f>
        <v>80</v>
      </c>
      <c r="CC2" s="1">
        <f t="shared" ref="CC2" si="32">CB2+1</f>
        <v>81</v>
      </c>
      <c r="CD2" s="1">
        <f t="shared" ref="CD2" si="33">CC2+1</f>
        <v>82</v>
      </c>
    </row>
    <row r="3" spans="1:82" s="3" customFormat="1" ht="21" customHeight="1" x14ac:dyDescent="0.6">
      <c r="A3" s="2"/>
      <c r="C3" s="2"/>
      <c r="D3" s="2"/>
      <c r="F3" s="117" t="s">
        <v>1</v>
      </c>
      <c r="G3" s="117"/>
      <c r="H3" s="118">
        <v>100000</v>
      </c>
      <c r="I3" s="119"/>
    </row>
    <row r="4" spans="1:82" s="3" customFormat="1" ht="21" customHeight="1" x14ac:dyDescent="0.6">
      <c r="A4" s="105" t="s">
        <v>2</v>
      </c>
      <c r="B4" s="106"/>
      <c r="C4" s="125">
        <v>10000</v>
      </c>
      <c r="D4" s="126"/>
      <c r="F4" s="117" t="s">
        <v>3</v>
      </c>
      <c r="G4" s="117"/>
      <c r="H4" s="118">
        <v>1</v>
      </c>
      <c r="I4" s="119"/>
      <c r="M4" s="4"/>
      <c r="N4" s="5" t="s">
        <v>4</v>
      </c>
      <c r="O4" s="6" t="s">
        <v>5</v>
      </c>
      <c r="P4" s="5" t="s">
        <v>6</v>
      </c>
      <c r="R4" s="90" t="s">
        <v>79</v>
      </c>
      <c r="S4" s="124">
        <v>1</v>
      </c>
      <c r="T4" s="124"/>
    </row>
    <row r="5" spans="1:82" s="3" customFormat="1" ht="21" customHeight="1" thickBot="1" x14ac:dyDescent="0.65">
      <c r="A5" s="105" t="s">
        <v>7</v>
      </c>
      <c r="B5" s="106"/>
      <c r="C5" s="127">
        <v>1</v>
      </c>
      <c r="D5" s="128"/>
      <c r="M5" s="7" t="s">
        <v>8</v>
      </c>
      <c r="N5" s="8"/>
      <c r="O5" s="8"/>
      <c r="P5" s="8"/>
      <c r="R5" s="90" t="s">
        <v>77</v>
      </c>
      <c r="S5" s="122">
        <v>44806.738275462965</v>
      </c>
      <c r="T5" s="122"/>
    </row>
    <row r="6" spans="1:82" s="3" customFormat="1" ht="21" customHeight="1" thickBot="1" x14ac:dyDescent="0.65">
      <c r="A6" s="107" t="s">
        <v>9</v>
      </c>
      <c r="B6" s="108"/>
      <c r="C6" s="109">
        <v>42919</v>
      </c>
      <c r="D6" s="110"/>
      <c r="E6" s="2"/>
      <c r="F6" s="111" t="s">
        <v>10</v>
      </c>
      <c r="G6" s="111"/>
      <c r="H6" s="112">
        <v>10000</v>
      </c>
      <c r="I6" s="112"/>
      <c r="M6" s="7" t="s">
        <v>11</v>
      </c>
      <c r="N6" s="8"/>
      <c r="O6" s="8"/>
      <c r="P6" s="8"/>
      <c r="R6" s="90" t="s">
        <v>78</v>
      </c>
      <c r="S6" s="122">
        <v>44806.738287037035</v>
      </c>
      <c r="T6" s="122"/>
    </row>
    <row r="7" spans="1:82" s="3" customFormat="1" ht="21" customHeight="1" thickBot="1" x14ac:dyDescent="0.65">
      <c r="A7" s="107" t="s">
        <v>23</v>
      </c>
      <c r="B7" s="108"/>
      <c r="C7" s="120">
        <v>3</v>
      </c>
      <c r="D7" s="121"/>
      <c r="F7" s="113" t="s">
        <v>12</v>
      </c>
      <c r="G7" s="114"/>
      <c r="H7" s="115">
        <v>0</v>
      </c>
      <c r="I7" s="116"/>
      <c r="M7" s="7" t="s">
        <v>13</v>
      </c>
      <c r="N7" s="8"/>
      <c r="O7" s="8"/>
      <c r="P7" s="8"/>
      <c r="R7" s="90"/>
      <c r="S7" s="123"/>
      <c r="T7" s="123"/>
    </row>
    <row r="8" spans="1:82" s="3" customFormat="1" ht="21" customHeight="1" x14ac:dyDescent="0.6">
      <c r="A8" s="9"/>
      <c r="B8" s="9"/>
      <c r="C8" s="9"/>
      <c r="M8" s="7" t="s">
        <v>48</v>
      </c>
      <c r="N8" s="8"/>
      <c r="O8" s="8"/>
      <c r="P8" s="8"/>
    </row>
    <row r="9" spans="1:82" s="3" customFormat="1" ht="21" customHeight="1" x14ac:dyDescent="0.6">
      <c r="A9" s="9"/>
      <c r="B9" s="9"/>
      <c r="C9" s="9"/>
      <c r="M9" s="7" t="s">
        <v>49</v>
      </c>
      <c r="N9" s="8"/>
      <c r="O9" s="8"/>
      <c r="P9" s="8"/>
    </row>
    <row r="10" spans="1:82" s="3" customFormat="1" ht="21" hidden="1" customHeight="1" x14ac:dyDescent="0.6">
      <c r="A10" s="9"/>
      <c r="B10" s="9"/>
      <c r="C10" s="9"/>
    </row>
    <row r="11" spans="1:82" s="3" customFormat="1" ht="21" hidden="1" customHeight="1" x14ac:dyDescent="0.6">
      <c r="A11" s="9"/>
      <c r="B11" s="9"/>
      <c r="C11" s="9"/>
    </row>
    <row r="12" spans="1:82" s="3" customFormat="1" ht="21" hidden="1" customHeight="1" x14ac:dyDescent="0.6">
      <c r="A12" s="9"/>
      <c r="B12" s="9"/>
      <c r="C12" s="9"/>
    </row>
    <row r="13" spans="1:82" s="3" customFormat="1" ht="21" hidden="1" customHeight="1" x14ac:dyDescent="0.6">
      <c r="A13" s="9"/>
      <c r="B13" s="9"/>
      <c r="C13" s="9"/>
    </row>
    <row r="14" spans="1:82" s="3" customFormat="1" ht="21" hidden="1" customHeight="1" x14ac:dyDescent="0.6">
      <c r="A14" s="9"/>
      <c r="B14" s="9"/>
      <c r="C14" s="9"/>
    </row>
    <row r="15" spans="1:82" s="3" customFormat="1" ht="21" hidden="1" customHeight="1" x14ac:dyDescent="0.6">
      <c r="A15" s="9"/>
      <c r="B15" s="9"/>
      <c r="C15" s="9"/>
    </row>
    <row r="16" spans="1:82" s="3" customFormat="1" ht="21" customHeight="1" thickBot="1" x14ac:dyDescent="0.65">
      <c r="Q16" s="3">
        <f t="shared" ref="Q16:X16" si="34">Q17/Q18</f>
        <v>10250.000000000313</v>
      </c>
      <c r="R16" s="3">
        <f t="shared" si="34"/>
        <v>10499.9999999996</v>
      </c>
      <c r="S16" s="3">
        <f t="shared" si="34"/>
        <v>10749.999999999935</v>
      </c>
      <c r="T16" s="3">
        <f t="shared" si="34"/>
        <v>11000.000000000029</v>
      </c>
      <c r="U16" s="3">
        <f t="shared" si="34"/>
        <v>11250.000000000045</v>
      </c>
      <c r="V16" s="3">
        <f t="shared" si="34"/>
        <v>11500.000000000029</v>
      </c>
      <c r="W16" s="3">
        <f t="shared" si="34"/>
        <v>11500.000000000062</v>
      </c>
      <c r="X16" s="3">
        <f t="shared" si="34"/>
        <v>4386.1310287411052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65">
      <c r="A17" s="117" t="s">
        <v>81</v>
      </c>
      <c r="B17" s="117"/>
      <c r="C17" s="135">
        <v>6</v>
      </c>
      <c r="D17" s="134"/>
      <c r="F17" s="105" t="s">
        <v>51</v>
      </c>
      <c r="G17" s="106"/>
      <c r="H17" s="135">
        <v>0</v>
      </c>
      <c r="I17" s="134"/>
      <c r="K17" s="136" t="s">
        <v>14</v>
      </c>
      <c r="L17" s="136"/>
      <c r="M17" s="137">
        <v>9485.3639063285118</v>
      </c>
      <c r="N17" s="137"/>
      <c r="O17" s="129" t="s">
        <v>76</v>
      </c>
      <c r="P17" s="130"/>
      <c r="Q17" s="86">
        <v>5607.7749999997204</v>
      </c>
      <c r="R17" s="86">
        <v>1384.9499999999662</v>
      </c>
      <c r="S17" s="86">
        <v>731.00000000000546</v>
      </c>
      <c r="T17" s="86">
        <v>484.00000000000381</v>
      </c>
      <c r="U17" s="86">
        <v>309.375</v>
      </c>
      <c r="V17" s="86">
        <v>327.74999999999949</v>
      </c>
      <c r="W17" s="86">
        <v>279.45000000000044</v>
      </c>
      <c r="X17" s="86">
        <v>564.4950633989896</v>
      </c>
    </row>
    <row r="18" spans="1:111" s="3" customFormat="1" ht="21" customHeight="1" thickBot="1" x14ac:dyDescent="0.65">
      <c r="F18" s="117" t="s">
        <v>16</v>
      </c>
      <c r="G18" s="117"/>
      <c r="H18" s="131">
        <v>1</v>
      </c>
      <c r="I18" s="132"/>
      <c r="K18" s="136"/>
      <c r="L18" s="136"/>
      <c r="M18" s="137"/>
      <c r="N18" s="137"/>
      <c r="O18" s="129" t="s">
        <v>15</v>
      </c>
      <c r="P18" s="130"/>
      <c r="Q18" s="10">
        <v>0.54709999999995607</v>
      </c>
      <c r="R18" s="10">
        <v>0.13190000000000179</v>
      </c>
      <c r="S18" s="10">
        <v>6.8000000000000921E-2</v>
      </c>
      <c r="T18" s="10">
        <v>4.4000000000000233E-2</v>
      </c>
      <c r="U18" s="10">
        <v>2.7499999999999889E-2</v>
      </c>
      <c r="V18" s="10">
        <v>2.8499999999999883E-2</v>
      </c>
      <c r="W18" s="10">
        <v>2.4299999999999908E-2</v>
      </c>
      <c r="X18" s="10">
        <v>0.12870000000000215</v>
      </c>
    </row>
    <row r="19" spans="1:111" s="3" customFormat="1" ht="21" customHeight="1" x14ac:dyDescent="0.6">
      <c r="A19" s="117" t="s">
        <v>17</v>
      </c>
      <c r="B19" s="117"/>
      <c r="C19" s="133">
        <v>0.5</v>
      </c>
      <c r="D19" s="134"/>
      <c r="K19" s="138" t="s">
        <v>80</v>
      </c>
      <c r="L19" s="138"/>
      <c r="M19" s="138"/>
      <c r="N19" s="138"/>
      <c r="X19" s="87">
        <f>SUM(Q18:Z18)</f>
        <v>0.99999999999996081</v>
      </c>
    </row>
    <row r="20" spans="1:111" s="3" customFormat="1" ht="21" customHeight="1" x14ac:dyDescent="0.6">
      <c r="A20" s="9"/>
      <c r="B20" s="9"/>
      <c r="C20" s="9"/>
    </row>
    <row r="21" spans="1:111" s="3" customFormat="1" ht="21" hidden="1" customHeight="1" x14ac:dyDescent="0.6">
      <c r="A21" s="9"/>
      <c r="B21" s="9"/>
      <c r="C21" s="9"/>
    </row>
    <row r="22" spans="1:111" s="3" customFormat="1" ht="21" hidden="1" customHeight="1" x14ac:dyDescent="0.6">
      <c r="A22" s="9"/>
      <c r="B22" s="9"/>
      <c r="C22" s="9"/>
    </row>
    <row r="23" spans="1:111" s="3" customFormat="1" ht="21" hidden="1" customHeight="1" x14ac:dyDescent="0.6">
      <c r="A23" s="9"/>
      <c r="B23" s="9"/>
      <c r="C23" s="9"/>
    </row>
    <row r="24" spans="1:111" s="3" customFormat="1" ht="21" hidden="1" customHeight="1" x14ac:dyDescent="0.6">
      <c r="A24" s="9"/>
      <c r="B24" s="9"/>
      <c r="C24" s="9"/>
    </row>
    <row r="25" spans="1:111" s="3" customFormat="1" ht="21" hidden="1" customHeight="1" x14ac:dyDescent="0.6">
      <c r="A25" s="9"/>
      <c r="B25" s="9"/>
      <c r="C25" s="9"/>
    </row>
    <row r="26" spans="1:111" s="11" customFormat="1" ht="21" customHeight="1" x14ac:dyDescent="0.6">
      <c r="A26" s="9"/>
      <c r="B26" s="9"/>
      <c r="C26" s="11">
        <v>1</v>
      </c>
      <c r="D26" s="11">
        <v>2</v>
      </c>
      <c r="E26" s="11">
        <v>3</v>
      </c>
      <c r="F26" s="11">
        <v>4</v>
      </c>
      <c r="G26" s="11">
        <v>5</v>
      </c>
      <c r="H26" s="11">
        <v>6</v>
      </c>
      <c r="I26" s="11">
        <v>7</v>
      </c>
      <c r="J26" s="11">
        <v>8</v>
      </c>
      <c r="K26" s="11">
        <v>9</v>
      </c>
      <c r="L26" s="11">
        <v>10</v>
      </c>
      <c r="M26" s="11">
        <v>11</v>
      </c>
      <c r="N26" s="11">
        <v>12</v>
      </c>
      <c r="O26" s="11">
        <v>13</v>
      </c>
      <c r="P26" s="11">
        <v>14</v>
      </c>
      <c r="Q26" s="11">
        <v>15</v>
      </c>
      <c r="R26" s="11">
        <v>16</v>
      </c>
      <c r="S26" s="11">
        <v>17</v>
      </c>
      <c r="T26" s="11">
        <v>18</v>
      </c>
      <c r="U26" s="11">
        <v>19</v>
      </c>
      <c r="V26" s="11">
        <v>20</v>
      </c>
    </row>
    <row r="27" spans="1:111" s="16" customFormat="1" ht="21" customHeight="1" x14ac:dyDescent="0.6">
      <c r="A27" s="105" t="s">
        <v>18</v>
      </c>
      <c r="B27" s="106"/>
      <c r="C27" s="12">
        <v>43103</v>
      </c>
      <c r="D27" s="12">
        <v>43284</v>
      </c>
      <c r="E27" s="13">
        <v>43468</v>
      </c>
      <c r="F27" s="14">
        <v>43649</v>
      </c>
      <c r="G27" s="12">
        <v>43833</v>
      </c>
      <c r="H27" s="12">
        <v>44015</v>
      </c>
      <c r="I27" s="15"/>
    </row>
    <row r="28" spans="1:111" s="16" customFormat="1" ht="21" customHeight="1" x14ac:dyDescent="0.6">
      <c r="A28" s="105" t="s">
        <v>19</v>
      </c>
      <c r="B28" s="106"/>
      <c r="C28" s="12">
        <v>43108</v>
      </c>
      <c r="D28" s="12">
        <v>43287</v>
      </c>
      <c r="E28" s="13">
        <v>43473</v>
      </c>
      <c r="F28" s="14">
        <v>43654</v>
      </c>
      <c r="G28" s="12">
        <v>43838</v>
      </c>
      <c r="H28" s="12">
        <v>44020</v>
      </c>
      <c r="I28" s="15"/>
    </row>
    <row r="29" spans="1:111" s="16" customFormat="1" ht="21" customHeight="1" x14ac:dyDescent="0.6">
      <c r="A29" s="105" t="s">
        <v>43</v>
      </c>
      <c r="B29" s="106"/>
      <c r="C29" s="15">
        <v>0.9</v>
      </c>
      <c r="D29" s="15">
        <v>0.85</v>
      </c>
      <c r="E29" s="15">
        <v>0.8</v>
      </c>
      <c r="F29" s="15">
        <v>0.75</v>
      </c>
      <c r="G29" s="15">
        <v>0.7</v>
      </c>
      <c r="H29" s="15">
        <v>0.65</v>
      </c>
      <c r="I29" s="17"/>
      <c r="K29" s="18"/>
    </row>
    <row r="30" spans="1:111" s="16" customFormat="1" ht="21" hidden="1" customHeight="1" x14ac:dyDescent="0.6">
      <c r="A30" s="105" t="s">
        <v>53</v>
      </c>
      <c r="B30" s="106"/>
      <c r="C30" s="15"/>
      <c r="D30" s="15"/>
      <c r="E30" s="15"/>
      <c r="F30" s="15"/>
      <c r="G30" s="15"/>
      <c r="H30" s="15"/>
      <c r="I30" s="17"/>
      <c r="J30" s="19"/>
      <c r="K30" s="20"/>
      <c r="L30" s="19"/>
      <c r="M30" s="19"/>
      <c r="N30" s="19"/>
      <c r="O30" s="19"/>
      <c r="P30" s="19"/>
      <c r="Q30" s="19"/>
      <c r="R30" s="19"/>
      <c r="S30" s="19"/>
    </row>
    <row r="31" spans="1:111" s="16" customFormat="1" ht="21" hidden="1" customHeight="1" x14ac:dyDescent="0.6">
      <c r="A31" s="105" t="s">
        <v>54</v>
      </c>
      <c r="B31" s="106"/>
      <c r="C31" s="15"/>
      <c r="D31" s="15"/>
      <c r="E31" s="15"/>
      <c r="F31" s="15"/>
      <c r="G31" s="15"/>
      <c r="H31" s="15"/>
      <c r="I31" s="58"/>
      <c r="J31" s="59"/>
      <c r="K31" s="60"/>
      <c r="L31" s="59"/>
      <c r="M31" s="59"/>
      <c r="N31" s="59"/>
      <c r="O31" s="59"/>
      <c r="P31" s="59"/>
      <c r="Q31" s="59"/>
      <c r="R31" s="59"/>
      <c r="S31" s="59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</row>
    <row r="32" spans="1:111" s="83" customFormat="1" ht="21" hidden="1" customHeight="1" x14ac:dyDescent="0.6">
      <c r="A32" s="105"/>
      <c r="B32" s="10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</row>
    <row r="33" spans="1:111" s="16" customFormat="1" ht="21" hidden="1" customHeight="1" x14ac:dyDescent="0.6">
      <c r="A33" s="105"/>
      <c r="B33" s="106"/>
      <c r="C33" s="15"/>
      <c r="D33" s="61"/>
      <c r="E33" s="61"/>
      <c r="F33" s="61"/>
      <c r="G33" s="61"/>
      <c r="H33" s="61"/>
      <c r="I33" s="62"/>
      <c r="J33" s="63"/>
      <c r="K33" s="64"/>
      <c r="L33" s="63"/>
      <c r="M33" s="63"/>
      <c r="N33" s="63"/>
      <c r="O33" s="63"/>
      <c r="P33" s="63"/>
      <c r="Q33" s="63"/>
      <c r="R33" s="63"/>
      <c r="S33" s="63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  <c r="AT33" s="65"/>
      <c r="AU33" s="65"/>
      <c r="AV33" s="65"/>
      <c r="AW33" s="65"/>
      <c r="AX33" s="65"/>
      <c r="AY33" s="65"/>
      <c r="AZ33" s="65"/>
      <c r="BA33" s="65"/>
      <c r="BB33" s="65"/>
      <c r="BC33" s="65"/>
      <c r="BD33" s="65"/>
      <c r="BE33" s="65"/>
      <c r="BF33" s="65"/>
      <c r="BG33" s="65"/>
      <c r="BH33" s="65"/>
      <c r="BI33" s="65"/>
      <c r="BJ33" s="65"/>
      <c r="BK33" s="65"/>
      <c r="BL33" s="65"/>
      <c r="BM33" s="65"/>
      <c r="BN33" s="65"/>
      <c r="BO33" s="65"/>
      <c r="BP33" s="65"/>
      <c r="BQ33" s="65"/>
      <c r="BR33" s="65"/>
      <c r="BS33" s="65"/>
      <c r="BT33" s="65"/>
      <c r="BU33" s="65"/>
      <c r="BV33" s="65"/>
      <c r="BW33" s="65"/>
      <c r="BX33" s="65"/>
      <c r="BY33" s="65"/>
      <c r="BZ33" s="65"/>
      <c r="CA33" s="65"/>
      <c r="CB33" s="65"/>
      <c r="CC33" s="65"/>
      <c r="CD33" s="65"/>
      <c r="CE33" s="65"/>
      <c r="CF33" s="65"/>
      <c r="CG33" s="65"/>
      <c r="CH33" s="65"/>
      <c r="CI33" s="65"/>
      <c r="CJ33" s="65"/>
      <c r="CK33" s="65"/>
      <c r="CL33" s="65"/>
      <c r="CM33" s="65"/>
      <c r="CN33" s="65"/>
      <c r="CO33" s="65"/>
      <c r="CP33" s="65"/>
      <c r="CQ33" s="65"/>
      <c r="CR33" s="65"/>
      <c r="CS33" s="65"/>
      <c r="CT33" s="65"/>
      <c r="CU33" s="65"/>
      <c r="CV33" s="65"/>
      <c r="CW33" s="65"/>
      <c r="CX33" s="65"/>
      <c r="CY33" s="65"/>
      <c r="CZ33" s="65"/>
      <c r="DA33" s="65"/>
      <c r="DB33" s="65"/>
      <c r="DC33" s="65"/>
      <c r="DD33" s="65"/>
      <c r="DE33" s="65"/>
      <c r="DF33" s="65"/>
      <c r="DG33" s="65"/>
    </row>
    <row r="34" spans="1:111" s="16" customFormat="1" ht="21" customHeight="1" x14ac:dyDescent="0.6">
      <c r="A34" s="105" t="s">
        <v>20</v>
      </c>
      <c r="B34" s="106"/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2">
        <v>0</v>
      </c>
      <c r="J34" s="22">
        <v>1</v>
      </c>
      <c r="K34" s="20"/>
      <c r="L34" s="19"/>
      <c r="M34" s="19"/>
      <c r="N34" s="19"/>
      <c r="O34" s="19"/>
      <c r="P34" s="19"/>
      <c r="Q34" s="19"/>
      <c r="R34" s="19"/>
      <c r="S34" s="19"/>
    </row>
    <row r="35" spans="1:111" s="16" customFormat="1" ht="21" hidden="1" customHeight="1" x14ac:dyDescent="0.6">
      <c r="A35" s="105" t="s">
        <v>55</v>
      </c>
      <c r="B35" s="106"/>
      <c r="C35" s="21"/>
      <c r="D35" s="21"/>
      <c r="E35" s="21"/>
      <c r="F35" s="21"/>
      <c r="G35" s="21"/>
      <c r="H35" s="21"/>
      <c r="I35" s="22"/>
      <c r="J35" s="22"/>
      <c r="K35" s="20"/>
      <c r="L35" s="19"/>
      <c r="M35" s="19"/>
      <c r="N35" s="19"/>
      <c r="O35" s="19"/>
      <c r="P35" s="19"/>
      <c r="Q35" s="19"/>
      <c r="R35" s="19"/>
      <c r="S35" s="19"/>
    </row>
    <row r="36" spans="1:111" s="16" customFormat="1" ht="21" hidden="1" customHeight="1" x14ac:dyDescent="0.6">
      <c r="A36" s="105" t="s">
        <v>56</v>
      </c>
      <c r="B36" s="106"/>
      <c r="C36" s="56"/>
      <c r="D36" s="56"/>
      <c r="E36" s="56"/>
      <c r="F36" s="56"/>
      <c r="G36" s="56"/>
      <c r="H36" s="56"/>
      <c r="I36" s="57"/>
      <c r="J36" s="57"/>
      <c r="K36" s="20"/>
      <c r="L36" s="19"/>
      <c r="M36" s="19"/>
      <c r="N36" s="19"/>
      <c r="O36" s="19"/>
      <c r="P36" s="19"/>
      <c r="Q36" s="19"/>
      <c r="R36" s="19"/>
      <c r="S36" s="19"/>
    </row>
    <row r="37" spans="1:111" s="16" customFormat="1" ht="21" customHeight="1" x14ac:dyDescent="0.6">
      <c r="A37" s="105" t="s">
        <v>21</v>
      </c>
      <c r="B37" s="106"/>
      <c r="C37" s="23">
        <v>2.5000000000000001E-2</v>
      </c>
      <c r="D37" s="23">
        <v>0.05</v>
      </c>
      <c r="E37" s="23">
        <v>7.4999999999999997E-2</v>
      </c>
      <c r="F37" s="23">
        <v>0.1</v>
      </c>
      <c r="G37" s="24">
        <v>0.125</v>
      </c>
      <c r="H37" s="23">
        <v>0.15</v>
      </c>
      <c r="I37" s="23">
        <v>0.15</v>
      </c>
      <c r="J37" s="23">
        <v>0</v>
      </c>
      <c r="K37" s="22"/>
      <c r="L37" s="22"/>
      <c r="M37" s="22"/>
      <c r="N37" s="22"/>
      <c r="O37" s="22"/>
      <c r="P37" s="22"/>
      <c r="Q37" s="22"/>
      <c r="R37" s="22"/>
      <c r="S37" s="22"/>
    </row>
    <row r="38" spans="1:111" s="25" customFormat="1" ht="21" hidden="1" customHeight="1" x14ac:dyDescent="0.6">
      <c r="A38" s="97" t="s">
        <v>57</v>
      </c>
      <c r="B38" s="98"/>
      <c r="C38" s="23"/>
      <c r="D38" s="23"/>
      <c r="E38" s="23"/>
      <c r="F38" s="23"/>
      <c r="G38" s="24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11" s="16" customFormat="1" ht="21" hidden="1" customHeight="1" x14ac:dyDescent="0.6">
      <c r="A39" s="97" t="s">
        <v>58</v>
      </c>
      <c r="B39" s="98"/>
      <c r="C39" s="23"/>
      <c r="D39" s="23"/>
      <c r="E39" s="23"/>
      <c r="F39" s="23"/>
      <c r="G39" s="24"/>
      <c r="H39" s="23"/>
      <c r="I39" s="23"/>
      <c r="J39" s="23"/>
      <c r="K39" s="20"/>
      <c r="L39" s="19"/>
      <c r="M39" s="19"/>
      <c r="N39" s="19"/>
      <c r="O39" s="19"/>
      <c r="P39" s="19"/>
      <c r="Q39" s="19"/>
      <c r="R39" s="19"/>
      <c r="S39" s="19"/>
    </row>
    <row r="40" spans="1:111" s="71" customFormat="1" ht="21" customHeight="1" x14ac:dyDescent="0.6">
      <c r="A40" s="97" t="s">
        <v>59</v>
      </c>
      <c r="B40" s="98"/>
      <c r="C40" s="67">
        <v>1</v>
      </c>
      <c r="D40" s="67">
        <v>1</v>
      </c>
      <c r="E40" s="67"/>
      <c r="F40" s="67"/>
      <c r="G40" s="68"/>
      <c r="H40" s="67"/>
      <c r="I40" s="67"/>
      <c r="J40" s="67"/>
      <c r="K40" s="69"/>
      <c r="L40" s="70"/>
      <c r="M40" s="70"/>
      <c r="N40" s="70"/>
      <c r="O40" s="70"/>
      <c r="P40" s="70"/>
      <c r="Q40" s="70"/>
      <c r="R40" s="70"/>
      <c r="S40" s="70"/>
    </row>
    <row r="41" spans="1:111" s="33" customFormat="1" ht="21" customHeight="1" x14ac:dyDescent="0.6">
      <c r="A41" s="97" t="s">
        <v>63</v>
      </c>
      <c r="B41" s="98"/>
      <c r="C41" s="72">
        <v>42919</v>
      </c>
      <c r="D41" s="72">
        <v>43103</v>
      </c>
      <c r="E41" s="72"/>
      <c r="F41" s="72"/>
      <c r="G41" s="73"/>
      <c r="H41" s="72"/>
      <c r="I41" s="72"/>
      <c r="J41" s="72"/>
      <c r="K41" s="74"/>
      <c r="L41" s="75"/>
      <c r="M41" s="75"/>
      <c r="N41" s="75"/>
      <c r="O41" s="75"/>
      <c r="P41" s="75"/>
      <c r="Q41" s="75"/>
      <c r="R41" s="75"/>
      <c r="S41" s="75"/>
    </row>
    <row r="42" spans="1:111" s="33" customFormat="1" ht="21" customHeight="1" x14ac:dyDescent="0.6">
      <c r="A42" s="97" t="s">
        <v>62</v>
      </c>
      <c r="B42" s="98"/>
      <c r="C42" s="72">
        <v>43103</v>
      </c>
      <c r="D42" s="72">
        <v>43284</v>
      </c>
      <c r="E42" s="72"/>
      <c r="F42" s="72"/>
      <c r="G42" s="73"/>
      <c r="H42" s="72"/>
      <c r="I42" s="72"/>
      <c r="J42" s="72"/>
      <c r="K42" s="74"/>
      <c r="L42" s="75"/>
      <c r="M42" s="75"/>
      <c r="N42" s="75"/>
      <c r="O42" s="75"/>
      <c r="P42" s="75"/>
      <c r="Q42" s="75"/>
      <c r="R42" s="75"/>
      <c r="S42" s="75"/>
    </row>
    <row r="43" spans="1:111" s="16" customFormat="1" ht="21" customHeight="1" x14ac:dyDescent="0.6">
      <c r="A43" s="97" t="s">
        <v>61</v>
      </c>
      <c r="B43" s="98"/>
      <c r="C43" s="23">
        <v>0.8</v>
      </c>
      <c r="D43" s="23">
        <v>0.75</v>
      </c>
      <c r="E43" s="23"/>
      <c r="F43" s="23"/>
      <c r="G43" s="24"/>
      <c r="H43" s="23"/>
      <c r="I43" s="23"/>
      <c r="J43" s="23"/>
      <c r="K43" s="20"/>
      <c r="L43" s="19"/>
      <c r="M43" s="19"/>
      <c r="N43" s="19"/>
      <c r="O43" s="19"/>
      <c r="P43" s="19"/>
      <c r="Q43" s="19"/>
      <c r="R43" s="19"/>
      <c r="S43" s="19"/>
    </row>
    <row r="44" spans="1:111" s="71" customFormat="1" ht="21" customHeight="1" x14ac:dyDescent="0.6">
      <c r="A44" s="97" t="s">
        <v>60</v>
      </c>
      <c r="B44" s="98"/>
      <c r="C44" s="67">
        <v>0</v>
      </c>
      <c r="D44" s="67">
        <v>0</v>
      </c>
      <c r="E44" s="67"/>
      <c r="F44" s="67"/>
      <c r="G44" s="68"/>
      <c r="H44" s="67"/>
      <c r="I44" s="67"/>
      <c r="J44" s="67"/>
      <c r="K44" s="69"/>
      <c r="L44" s="70"/>
      <c r="M44" s="70"/>
      <c r="N44" s="70"/>
      <c r="O44" s="70"/>
      <c r="P44" s="70"/>
      <c r="Q44" s="70"/>
      <c r="R44" s="70"/>
      <c r="S44" s="70"/>
    </row>
    <row r="45" spans="1:111" s="85" customFormat="1" ht="21" customHeight="1" x14ac:dyDescent="0.6">
      <c r="A45" s="97" t="s">
        <v>72</v>
      </c>
      <c r="B45" s="98"/>
      <c r="C45" s="84">
        <v>3.5000000000000003E-2</v>
      </c>
      <c r="D45" s="84">
        <v>7.0000000000000007E-2</v>
      </c>
      <c r="E45" s="84"/>
      <c r="F45" s="84"/>
      <c r="G45" s="84"/>
      <c r="H45" s="84"/>
      <c r="I45" s="84"/>
      <c r="J45" s="84"/>
    </row>
    <row r="46" spans="1:111" s="29" customFormat="1" ht="21" customHeight="1" x14ac:dyDescent="0.6">
      <c r="A46" s="97" t="s">
        <v>64</v>
      </c>
      <c r="B46" s="98"/>
      <c r="C46" s="76">
        <v>0</v>
      </c>
      <c r="D46" s="27"/>
      <c r="E46" s="27"/>
      <c r="F46" s="27"/>
      <c r="G46" s="27"/>
      <c r="H46" s="27"/>
      <c r="I46" s="27"/>
      <c r="J46" s="27"/>
    </row>
    <row r="47" spans="1:111" s="26" customFormat="1" ht="21" customHeight="1" x14ac:dyDescent="0.6">
      <c r="A47" s="102"/>
      <c r="B47" s="102"/>
      <c r="C47" s="96" t="str">
        <f t="shared" ref="C47:AH47" si="35">IFERROR(IF(AND(C29="",D29="",B29&lt;&gt;"",C34&lt;&gt;""),"Not Autocalled Not KI Payoff",IF(AND(C29="",B29="",A29&lt;&gt;""),"Not Autocalled KI Payoff","")), "")</f>
        <v/>
      </c>
      <c r="D47" s="96" t="str">
        <f t="shared" si="35"/>
        <v/>
      </c>
      <c r="E47" s="96" t="str">
        <f t="shared" si="35"/>
        <v/>
      </c>
      <c r="F47" s="96" t="str">
        <f t="shared" si="35"/>
        <v/>
      </c>
      <c r="G47" s="96" t="str">
        <f t="shared" si="35"/>
        <v/>
      </c>
      <c r="H47" s="96" t="str">
        <f t="shared" si="35"/>
        <v/>
      </c>
      <c r="I47" s="96" t="str">
        <f t="shared" si="35"/>
        <v>Not Autocalled Not KI Payoff</v>
      </c>
      <c r="J47" s="96" t="str">
        <f t="shared" si="35"/>
        <v>Not Autocalled KI Payoff</v>
      </c>
      <c r="K47" s="96" t="str">
        <f t="shared" si="35"/>
        <v/>
      </c>
      <c r="L47" s="96" t="str">
        <f t="shared" si="35"/>
        <v/>
      </c>
      <c r="M47" s="96" t="str">
        <f t="shared" si="35"/>
        <v/>
      </c>
      <c r="N47" s="96" t="str">
        <f t="shared" si="35"/>
        <v/>
      </c>
      <c r="O47" s="96" t="str">
        <f t="shared" si="35"/>
        <v/>
      </c>
      <c r="P47" s="96" t="str">
        <f t="shared" si="35"/>
        <v/>
      </c>
      <c r="Q47" s="96" t="str">
        <f t="shared" si="35"/>
        <v/>
      </c>
      <c r="R47" s="96" t="str">
        <f t="shared" si="35"/>
        <v/>
      </c>
      <c r="S47" s="96" t="str">
        <f t="shared" si="35"/>
        <v/>
      </c>
      <c r="T47" s="96" t="str">
        <f t="shared" si="35"/>
        <v/>
      </c>
      <c r="U47" s="96" t="str">
        <f t="shared" si="35"/>
        <v/>
      </c>
      <c r="V47" s="96" t="str">
        <f t="shared" si="35"/>
        <v/>
      </c>
      <c r="W47" s="96" t="str">
        <f t="shared" si="35"/>
        <v/>
      </c>
      <c r="X47" s="96" t="str">
        <f t="shared" si="35"/>
        <v/>
      </c>
      <c r="Y47" s="96" t="str">
        <f t="shared" si="35"/>
        <v/>
      </c>
      <c r="Z47" s="96" t="str">
        <f t="shared" si="35"/>
        <v/>
      </c>
      <c r="AA47" s="96" t="str">
        <f t="shared" si="35"/>
        <v/>
      </c>
      <c r="AB47" s="96" t="str">
        <f t="shared" si="35"/>
        <v/>
      </c>
      <c r="AC47" s="96" t="str">
        <f t="shared" si="35"/>
        <v/>
      </c>
      <c r="AD47" s="96" t="str">
        <f t="shared" si="35"/>
        <v/>
      </c>
      <c r="AE47" s="96" t="str">
        <f t="shared" si="35"/>
        <v/>
      </c>
      <c r="AF47" s="96" t="str">
        <f t="shared" si="35"/>
        <v/>
      </c>
      <c r="AG47" s="96" t="str">
        <f t="shared" si="35"/>
        <v/>
      </c>
      <c r="AH47" s="96" t="str">
        <f t="shared" si="35"/>
        <v/>
      </c>
      <c r="AI47" s="96" t="str">
        <f t="shared" ref="AI47:BN47" si="36">IFERROR(IF(AND(AI29="",AJ29="",AH29&lt;&gt;"",AI34&lt;&gt;""),"Not Autocalled Not KI Payoff",IF(AND(AI29="",AH29="",AG29&lt;&gt;""),"Not Autocalled KI Payoff","")), "")</f>
        <v/>
      </c>
      <c r="AJ47" s="96" t="str">
        <f t="shared" si="36"/>
        <v/>
      </c>
      <c r="AK47" s="96" t="str">
        <f t="shared" si="36"/>
        <v/>
      </c>
      <c r="AL47" s="96" t="str">
        <f t="shared" si="36"/>
        <v/>
      </c>
      <c r="AM47" s="96" t="str">
        <f t="shared" si="36"/>
        <v/>
      </c>
      <c r="AN47" s="96" t="str">
        <f t="shared" si="36"/>
        <v/>
      </c>
      <c r="AO47" s="96" t="str">
        <f t="shared" si="36"/>
        <v/>
      </c>
      <c r="AP47" s="96" t="str">
        <f t="shared" si="36"/>
        <v/>
      </c>
      <c r="AQ47" s="96" t="str">
        <f t="shared" si="36"/>
        <v/>
      </c>
      <c r="AR47" s="96" t="str">
        <f t="shared" si="36"/>
        <v/>
      </c>
      <c r="AS47" s="96" t="str">
        <f t="shared" si="36"/>
        <v/>
      </c>
      <c r="AT47" s="96" t="str">
        <f t="shared" si="36"/>
        <v/>
      </c>
      <c r="AU47" s="96" t="str">
        <f t="shared" si="36"/>
        <v/>
      </c>
      <c r="AV47" s="96" t="str">
        <f t="shared" si="36"/>
        <v/>
      </c>
      <c r="AW47" s="96" t="str">
        <f t="shared" si="36"/>
        <v/>
      </c>
      <c r="AX47" s="96" t="str">
        <f t="shared" si="36"/>
        <v/>
      </c>
      <c r="AY47" s="96" t="str">
        <f t="shared" si="36"/>
        <v/>
      </c>
      <c r="AZ47" s="96" t="str">
        <f t="shared" si="36"/>
        <v/>
      </c>
      <c r="BA47" s="96" t="str">
        <f t="shared" si="36"/>
        <v/>
      </c>
      <c r="BB47" s="96" t="str">
        <f t="shared" si="36"/>
        <v/>
      </c>
      <c r="BC47" s="96" t="str">
        <f t="shared" si="36"/>
        <v/>
      </c>
      <c r="BD47" s="96" t="str">
        <f t="shared" si="36"/>
        <v/>
      </c>
      <c r="BE47" s="96" t="str">
        <f t="shared" si="36"/>
        <v/>
      </c>
      <c r="BF47" s="96" t="str">
        <f t="shared" si="36"/>
        <v/>
      </c>
      <c r="BG47" s="96" t="str">
        <f t="shared" si="36"/>
        <v/>
      </c>
      <c r="BH47" s="96" t="str">
        <f t="shared" si="36"/>
        <v/>
      </c>
      <c r="BI47" s="96" t="str">
        <f t="shared" si="36"/>
        <v/>
      </c>
      <c r="BJ47" s="96" t="str">
        <f t="shared" si="36"/>
        <v/>
      </c>
      <c r="BK47" s="96" t="str">
        <f t="shared" si="36"/>
        <v/>
      </c>
      <c r="BL47" s="96" t="str">
        <f t="shared" si="36"/>
        <v/>
      </c>
      <c r="BM47" s="96" t="str">
        <f t="shared" si="36"/>
        <v/>
      </c>
      <c r="BN47" s="96" t="str">
        <f t="shared" si="36"/>
        <v/>
      </c>
      <c r="BO47" s="96" t="str">
        <f t="shared" ref="BO47:CT47" si="37">IFERROR(IF(AND(BO29="",BP29="",BN29&lt;&gt;"",BO34&lt;&gt;""),"Not Autocalled Not KI Payoff",IF(AND(BO29="",BN29="",BM29&lt;&gt;""),"Not Autocalled KI Payoff","")), "")</f>
        <v/>
      </c>
      <c r="BP47" s="96" t="str">
        <f t="shared" si="37"/>
        <v/>
      </c>
      <c r="BQ47" s="96" t="str">
        <f t="shared" si="37"/>
        <v/>
      </c>
      <c r="BR47" s="96" t="str">
        <f t="shared" si="37"/>
        <v/>
      </c>
      <c r="BS47" s="96" t="str">
        <f t="shared" si="37"/>
        <v/>
      </c>
      <c r="BT47" s="96" t="str">
        <f t="shared" si="37"/>
        <v/>
      </c>
      <c r="BU47" s="96" t="str">
        <f t="shared" si="37"/>
        <v/>
      </c>
      <c r="BV47" s="96" t="str">
        <f t="shared" si="37"/>
        <v/>
      </c>
      <c r="BW47" s="96" t="str">
        <f t="shared" si="37"/>
        <v/>
      </c>
      <c r="BX47" s="96" t="str">
        <f t="shared" si="37"/>
        <v/>
      </c>
      <c r="BY47" s="96" t="str">
        <f t="shared" si="37"/>
        <v/>
      </c>
      <c r="BZ47" s="96" t="str">
        <f t="shared" si="37"/>
        <v/>
      </c>
      <c r="CA47" s="96" t="str">
        <f t="shared" si="37"/>
        <v/>
      </c>
      <c r="CB47" s="96" t="str">
        <f t="shared" si="37"/>
        <v/>
      </c>
      <c r="CC47" s="96" t="str">
        <f t="shared" si="37"/>
        <v/>
      </c>
      <c r="CD47" s="96" t="str">
        <f t="shared" si="37"/>
        <v/>
      </c>
      <c r="CE47" s="96" t="str">
        <f t="shared" si="37"/>
        <v/>
      </c>
      <c r="CF47" s="96" t="str">
        <f t="shared" si="37"/>
        <v/>
      </c>
      <c r="CG47" s="96" t="str">
        <f t="shared" si="37"/>
        <v/>
      </c>
      <c r="CH47" s="96" t="str">
        <f t="shared" si="37"/>
        <v/>
      </c>
      <c r="CI47" s="96" t="str">
        <f t="shared" si="37"/>
        <v/>
      </c>
      <c r="CJ47" s="96" t="str">
        <f t="shared" si="37"/>
        <v/>
      </c>
      <c r="CK47" s="96" t="str">
        <f t="shared" si="37"/>
        <v/>
      </c>
      <c r="CL47" s="96" t="str">
        <f t="shared" si="37"/>
        <v/>
      </c>
      <c r="CM47" s="96" t="str">
        <f t="shared" si="37"/>
        <v/>
      </c>
      <c r="CN47" s="96" t="str">
        <f t="shared" si="37"/>
        <v/>
      </c>
      <c r="CO47" s="96" t="str">
        <f t="shared" si="37"/>
        <v/>
      </c>
      <c r="CP47" s="96" t="str">
        <f t="shared" si="37"/>
        <v/>
      </c>
      <c r="CQ47" s="96" t="str">
        <f t="shared" si="37"/>
        <v/>
      </c>
      <c r="CR47" s="96" t="str">
        <f t="shared" si="37"/>
        <v/>
      </c>
      <c r="CS47" s="96" t="str">
        <f t="shared" si="37"/>
        <v/>
      </c>
      <c r="CT47" s="96" t="str">
        <f t="shared" si="37"/>
        <v/>
      </c>
      <c r="CU47" s="96" t="str">
        <f t="shared" ref="CU47:DF47" si="38">IFERROR(IF(AND(CU29="",CV29="",CT29&lt;&gt;"",CU34&lt;&gt;""),"Not Autocalled Not KI Payoff",IF(AND(CU29="",CT29="",CS29&lt;&gt;""),"Not Autocalled KI Payoff","")), "")</f>
        <v/>
      </c>
      <c r="CV47" s="96" t="str">
        <f t="shared" si="38"/>
        <v/>
      </c>
      <c r="CW47" s="96" t="str">
        <f t="shared" si="38"/>
        <v/>
      </c>
      <c r="CX47" s="96" t="str">
        <f t="shared" si="38"/>
        <v/>
      </c>
      <c r="CY47" s="96" t="str">
        <f t="shared" si="38"/>
        <v/>
      </c>
      <c r="CZ47" s="96" t="str">
        <f t="shared" si="38"/>
        <v/>
      </c>
      <c r="DA47" s="96" t="str">
        <f t="shared" si="38"/>
        <v/>
      </c>
      <c r="DB47" s="96" t="str">
        <f t="shared" si="38"/>
        <v/>
      </c>
      <c r="DC47" s="96" t="str">
        <f t="shared" si="38"/>
        <v/>
      </c>
      <c r="DD47" s="96" t="str">
        <f t="shared" si="38"/>
        <v/>
      </c>
      <c r="DE47" s="96" t="str">
        <f t="shared" si="38"/>
        <v/>
      </c>
      <c r="DF47" s="96" t="str">
        <f t="shared" si="38"/>
        <v/>
      </c>
      <c r="DG47" s="96" t="str">
        <f>IFERROR(IF(AND(DG29="",#REF!="",DF29&lt;&gt;"",DG34&lt;&gt;""),"Not Autocalled Not KI Payoff",IF(AND(DG29="",DF29="",DE29&lt;&gt;""),"Not Autocalled KI Payoff","")), "")</f>
        <v/>
      </c>
    </row>
    <row r="48" spans="1:111" s="26" customFormat="1" ht="21" customHeight="1" x14ac:dyDescent="0.6">
      <c r="A48" s="102"/>
      <c r="B48" s="102"/>
      <c r="C48" s="96"/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6"/>
      <c r="AG48" s="96"/>
      <c r="AH48" s="96"/>
      <c r="AI48" s="96"/>
      <c r="AJ48" s="96"/>
      <c r="AK48" s="96"/>
      <c r="AL48" s="96"/>
      <c r="AM48" s="96"/>
      <c r="AN48" s="96"/>
      <c r="AO48" s="96"/>
      <c r="AP48" s="96"/>
      <c r="AQ48" s="96"/>
      <c r="AR48" s="96"/>
      <c r="AS48" s="96"/>
      <c r="AT48" s="96"/>
      <c r="AU48" s="96"/>
      <c r="AV48" s="96"/>
      <c r="AW48" s="96"/>
      <c r="AX48" s="96"/>
      <c r="AY48" s="96"/>
      <c r="AZ48" s="96"/>
      <c r="BA48" s="96"/>
      <c r="BB48" s="96"/>
      <c r="BC48" s="96"/>
      <c r="BD48" s="96"/>
      <c r="BE48" s="96"/>
      <c r="BF48" s="96"/>
      <c r="BG48" s="96"/>
      <c r="BH48" s="96"/>
      <c r="BI48" s="96"/>
      <c r="BJ48" s="96"/>
      <c r="BK48" s="96"/>
      <c r="BL48" s="96"/>
      <c r="BM48" s="96"/>
      <c r="BN48" s="96"/>
      <c r="BO48" s="96"/>
      <c r="BP48" s="96"/>
      <c r="BQ48" s="96"/>
      <c r="BR48" s="96"/>
      <c r="BS48" s="96"/>
      <c r="BT48" s="96"/>
      <c r="BU48" s="96"/>
      <c r="BV48" s="96"/>
      <c r="BW48" s="96"/>
      <c r="BX48" s="96"/>
      <c r="BY48" s="96"/>
      <c r="BZ48" s="96"/>
      <c r="CA48" s="96"/>
      <c r="CB48" s="96"/>
      <c r="CC48" s="96"/>
      <c r="CD48" s="96"/>
      <c r="CE48" s="96"/>
      <c r="CF48" s="96"/>
      <c r="CG48" s="96"/>
      <c r="CH48" s="96"/>
      <c r="CI48" s="96"/>
      <c r="CJ48" s="96"/>
      <c r="CK48" s="96"/>
      <c r="CL48" s="96"/>
      <c r="CM48" s="96"/>
      <c r="CN48" s="96"/>
      <c r="CO48" s="96"/>
      <c r="CP48" s="96"/>
      <c r="CQ48" s="96"/>
      <c r="CR48" s="96"/>
      <c r="CS48" s="96"/>
      <c r="CT48" s="96"/>
      <c r="CU48" s="96"/>
      <c r="CV48" s="96"/>
      <c r="CW48" s="96"/>
      <c r="CX48" s="96"/>
      <c r="CY48" s="96"/>
      <c r="CZ48" s="96"/>
      <c r="DA48" s="96"/>
      <c r="DB48" s="96"/>
      <c r="DC48" s="96"/>
      <c r="DD48" s="96"/>
      <c r="DE48" s="96"/>
      <c r="DF48" s="96"/>
      <c r="DG48" s="96"/>
    </row>
    <row r="49" spans="1:108" s="29" customFormat="1" ht="21" hidden="1" customHeight="1" x14ac:dyDescent="0.6">
      <c r="A49" s="102"/>
      <c r="B49" s="102"/>
      <c r="C49" s="27"/>
      <c r="D49" s="27"/>
      <c r="E49" s="27"/>
      <c r="F49" s="27"/>
      <c r="G49" s="27"/>
      <c r="H49" s="27"/>
      <c r="I49" s="27"/>
      <c r="J49" s="27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1:108" s="31" customFormat="1" ht="21" customHeight="1" x14ac:dyDescent="0.6">
      <c r="A50" s="102"/>
      <c r="B50" s="102"/>
      <c r="C50" s="30">
        <v>1</v>
      </c>
      <c r="D50" s="30">
        <v>2</v>
      </c>
      <c r="E50" s="30">
        <v>3</v>
      </c>
      <c r="F50" s="30">
        <v>4</v>
      </c>
      <c r="G50" s="30">
        <v>5</v>
      </c>
      <c r="H50" s="30">
        <v>6</v>
      </c>
      <c r="I50" s="30">
        <v>7</v>
      </c>
      <c r="J50" s="30">
        <v>8</v>
      </c>
      <c r="K50" s="30">
        <v>9</v>
      </c>
      <c r="L50" s="30">
        <v>10</v>
      </c>
      <c r="M50" s="30">
        <v>11</v>
      </c>
      <c r="N50" s="30">
        <v>12</v>
      </c>
      <c r="O50" s="30">
        <v>13</v>
      </c>
      <c r="P50" s="30">
        <v>14</v>
      </c>
      <c r="Q50" s="30">
        <v>15</v>
      </c>
      <c r="R50" s="30">
        <v>16</v>
      </c>
      <c r="S50" s="30">
        <v>17</v>
      </c>
      <c r="T50" s="30">
        <v>18</v>
      </c>
      <c r="U50" s="30">
        <v>19</v>
      </c>
      <c r="V50" s="30">
        <v>20</v>
      </c>
    </row>
    <row r="51" spans="1:108" s="33" customFormat="1" ht="21" customHeight="1" x14ac:dyDescent="0.6">
      <c r="A51" s="103" t="s">
        <v>46</v>
      </c>
      <c r="B51" s="103"/>
      <c r="C51" s="32">
        <v>43162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08" s="33" customFormat="1" ht="21" customHeight="1" x14ac:dyDescent="0.6">
      <c r="A52" s="139" t="s">
        <v>47</v>
      </c>
      <c r="B52" s="140"/>
      <c r="C52" s="32">
        <f>C51+2</f>
        <v>43164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08" s="35" customFormat="1" ht="21" customHeight="1" x14ac:dyDescent="0.6">
      <c r="A53" s="103" t="s">
        <v>44</v>
      </c>
      <c r="B53" s="103"/>
      <c r="C53" s="34">
        <v>0.5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</row>
    <row r="54" spans="1:108" s="35" customFormat="1" ht="21" customHeight="1" x14ac:dyDescent="0.6">
      <c r="A54" s="103" t="s">
        <v>45</v>
      </c>
      <c r="B54" s="103"/>
      <c r="C54" s="34">
        <v>1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108" s="37" customFormat="1" ht="21" customHeight="1" x14ac:dyDescent="0.6">
      <c r="A55" s="103" t="s">
        <v>50</v>
      </c>
      <c r="B55" s="103"/>
      <c r="C55" s="36">
        <v>0.05</v>
      </c>
    </row>
    <row r="56" spans="1:108" s="40" customFormat="1" ht="21" customHeight="1" x14ac:dyDescent="0.6">
      <c r="A56" s="103" t="s">
        <v>52</v>
      </c>
      <c r="B56" s="103"/>
      <c r="C56" s="38">
        <v>0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</row>
    <row r="57" spans="1:108" s="29" customFormat="1" ht="21" customHeight="1" x14ac:dyDescent="0.6">
      <c r="A57" s="102"/>
      <c r="B57" s="102"/>
      <c r="C57" s="27"/>
      <c r="D57" s="27"/>
      <c r="E57" s="27"/>
      <c r="F57" s="27"/>
      <c r="G57" s="27"/>
      <c r="H57" s="27"/>
      <c r="I57" s="27"/>
      <c r="J57" s="27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108" s="29" customFormat="1" ht="21" hidden="1" customHeight="1" x14ac:dyDescent="0.6">
      <c r="A58" s="102"/>
      <c r="B58" s="102"/>
      <c r="C58" s="1"/>
      <c r="D58" s="27"/>
      <c r="E58" s="27"/>
      <c r="F58" s="27"/>
      <c r="G58" s="27"/>
      <c r="H58" s="27"/>
      <c r="I58" s="27"/>
      <c r="J58" s="27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59" spans="1:108" s="29" customFormat="1" ht="21" hidden="1" customHeight="1" x14ac:dyDescent="0.6">
      <c r="A59" s="102"/>
      <c r="B59" s="102"/>
      <c r="C59" s="27"/>
      <c r="D59" s="27"/>
      <c r="E59" s="27"/>
      <c r="F59" s="27"/>
      <c r="G59" s="27"/>
      <c r="H59" s="27"/>
      <c r="I59" s="27"/>
      <c r="J59" s="27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</row>
    <row r="60" spans="1:108" s="29" customFormat="1" ht="21" hidden="1" customHeight="1" x14ac:dyDescent="0.6">
      <c r="A60" s="102"/>
      <c r="B60" s="102"/>
      <c r="C60" s="1"/>
      <c r="D60" s="27"/>
      <c r="E60" s="27"/>
      <c r="F60" s="27"/>
      <c r="G60" s="27"/>
      <c r="H60" s="27"/>
      <c r="I60" s="27"/>
      <c r="J60" s="27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</row>
    <row r="61" spans="1:108" s="29" customFormat="1" ht="21" hidden="1" customHeight="1" x14ac:dyDescent="0.6">
      <c r="A61" s="102"/>
      <c r="B61" s="102"/>
      <c r="C61" s="1"/>
      <c r="D61" s="27"/>
      <c r="E61" s="27"/>
      <c r="F61" s="27"/>
      <c r="G61" s="27"/>
      <c r="H61" s="27"/>
      <c r="I61" s="27"/>
      <c r="J61" s="27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</row>
    <row r="62" spans="1:108" ht="21" customHeight="1" x14ac:dyDescent="0.6">
      <c r="A62" s="101" t="s">
        <v>22</v>
      </c>
      <c r="B62" s="101"/>
      <c r="C62" s="101"/>
      <c r="D62" s="101"/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  <c r="AC62" s="101"/>
      <c r="AD62" s="101"/>
      <c r="AE62" s="101"/>
      <c r="AF62" s="101"/>
      <c r="AG62" s="101"/>
      <c r="AH62" s="101"/>
      <c r="AJ62" s="141" t="s">
        <v>71</v>
      </c>
      <c r="AK62" s="141"/>
      <c r="AL62" s="141"/>
      <c r="AM62" s="141"/>
      <c r="AN62" s="141"/>
      <c r="AO62" s="141"/>
      <c r="AP62" s="141"/>
      <c r="AQ62" s="141"/>
      <c r="AR62" s="141"/>
      <c r="AS62" s="141"/>
      <c r="AT62" s="141"/>
      <c r="AU62" s="141"/>
      <c r="AV62" s="141"/>
      <c r="AW62" s="141"/>
      <c r="AX62" s="141"/>
      <c r="AY62" s="141"/>
      <c r="AZ62" s="141"/>
      <c r="BA62" s="141"/>
      <c r="BB62" s="141"/>
      <c r="BD62" s="141" t="s">
        <v>82</v>
      </c>
      <c r="BE62" s="141"/>
      <c r="BF62" s="141"/>
      <c r="BG62" s="141"/>
      <c r="BH62" s="141"/>
      <c r="BI62" s="141"/>
      <c r="BJ62" s="141"/>
      <c r="BK62" s="141"/>
      <c r="BL62" s="141"/>
      <c r="BM62" s="141"/>
      <c r="BN62" s="141"/>
      <c r="BO62" s="141"/>
      <c r="BP62" s="141"/>
      <c r="BQ62" s="141"/>
      <c r="BR62" s="141"/>
      <c r="BS62" s="141"/>
      <c r="BT62" s="141"/>
      <c r="BU62" s="141"/>
      <c r="BV62" s="141"/>
    </row>
    <row r="63" spans="1:108" s="4" customFormat="1" ht="21" customHeight="1" x14ac:dyDescent="0.6">
      <c r="A63" s="82" t="s">
        <v>25</v>
      </c>
      <c r="B63" s="82"/>
      <c r="C63" s="82"/>
      <c r="D63" s="82"/>
      <c r="E63" s="82"/>
      <c r="F63" s="82"/>
      <c r="H63" s="80" t="s">
        <v>24</v>
      </c>
      <c r="I63" s="80"/>
      <c r="J63" s="80"/>
      <c r="K63" s="80"/>
      <c r="AJ63" s="141"/>
      <c r="AK63" s="141"/>
      <c r="AL63" s="141"/>
      <c r="AM63" s="141"/>
      <c r="AN63" s="141"/>
      <c r="AO63" s="141"/>
      <c r="AP63" s="141"/>
      <c r="AQ63" s="141"/>
      <c r="AR63" s="141"/>
      <c r="AS63" s="141"/>
      <c r="AT63" s="141"/>
      <c r="AU63" s="141"/>
      <c r="AV63" s="141"/>
      <c r="AW63" s="141"/>
      <c r="AX63" s="141"/>
      <c r="AY63" s="141"/>
      <c r="AZ63" s="141"/>
      <c r="BA63" s="141"/>
      <c r="BB63" s="141"/>
      <c r="BD63" s="141"/>
      <c r="BE63" s="141"/>
      <c r="BF63" s="141"/>
      <c r="BG63" s="141"/>
      <c r="BH63" s="141"/>
      <c r="BI63" s="141"/>
      <c r="BJ63" s="141"/>
      <c r="BK63" s="141"/>
      <c r="BL63" s="141"/>
      <c r="BM63" s="141"/>
      <c r="BN63" s="141"/>
      <c r="BO63" s="141"/>
      <c r="BP63" s="141"/>
      <c r="BQ63" s="141"/>
      <c r="BR63" s="141"/>
      <c r="BS63" s="141"/>
      <c r="BT63" s="141"/>
      <c r="BU63" s="141"/>
      <c r="BV63" s="141"/>
    </row>
    <row r="64" spans="1:108" s="4" customFormat="1" ht="21" customHeight="1" x14ac:dyDescent="0.6">
      <c r="A64" s="41"/>
      <c r="B64" s="81" t="s">
        <v>8</v>
      </c>
      <c r="C64" s="42" t="s">
        <v>26</v>
      </c>
      <c r="D64" s="81" t="s">
        <v>27</v>
      </c>
      <c r="E64" s="42" t="s">
        <v>48</v>
      </c>
      <c r="F64" s="81" t="s">
        <v>49</v>
      </c>
      <c r="H64" s="41"/>
      <c r="I64" s="11" t="s">
        <v>8</v>
      </c>
      <c r="J64" s="11" t="s">
        <v>26</v>
      </c>
      <c r="K64" s="11" t="s">
        <v>27</v>
      </c>
      <c r="L64" s="11" t="s">
        <v>48</v>
      </c>
      <c r="M64" s="11" t="s">
        <v>49</v>
      </c>
      <c r="AJ64" s="141"/>
      <c r="AK64" s="141"/>
      <c r="AL64" s="141"/>
      <c r="AM64" s="141"/>
      <c r="AN64" s="141"/>
      <c r="AO64" s="141"/>
      <c r="AP64" s="141"/>
      <c r="AQ64" s="141"/>
      <c r="AR64" s="141"/>
      <c r="AS64" s="141"/>
      <c r="AT64" s="141"/>
      <c r="AU64" s="141"/>
      <c r="AV64" s="141"/>
      <c r="AW64" s="141"/>
      <c r="AX64" s="141"/>
      <c r="AY64" s="141"/>
      <c r="AZ64" s="141"/>
      <c r="BA64" s="141"/>
      <c r="BB64" s="141"/>
      <c r="BD64" s="141"/>
      <c r="BE64" s="141"/>
      <c r="BF64" s="141"/>
      <c r="BG64" s="141"/>
      <c r="BH64" s="141"/>
      <c r="BI64" s="141"/>
      <c r="BJ64" s="141"/>
      <c r="BK64" s="141"/>
      <c r="BL64" s="141"/>
      <c r="BM64" s="141"/>
      <c r="BN64" s="141"/>
      <c r="BO64" s="141"/>
      <c r="BP64" s="141"/>
      <c r="BQ64" s="141"/>
      <c r="BR64" s="141"/>
      <c r="BS64" s="141"/>
      <c r="BT64" s="141"/>
      <c r="BU64" s="141"/>
      <c r="BV64" s="141"/>
    </row>
    <row r="65" spans="1:90" s="4" customFormat="1" ht="21" customHeight="1" x14ac:dyDescent="0.6">
      <c r="A65" s="81" t="s">
        <v>28</v>
      </c>
      <c r="B65" s="43">
        <v>100</v>
      </c>
      <c r="C65" s="43">
        <v>100</v>
      </c>
      <c r="D65" s="43">
        <v>100</v>
      </c>
      <c r="E65" s="43">
        <v>100</v>
      </c>
      <c r="F65" s="43">
        <v>100</v>
      </c>
      <c r="H65" s="11" t="s">
        <v>8</v>
      </c>
      <c r="I65" s="88">
        <v>1</v>
      </c>
      <c r="J65" s="88">
        <v>0.316</v>
      </c>
      <c r="K65" s="88">
        <v>0.59199999999999997</v>
      </c>
      <c r="L65" s="16">
        <v>0</v>
      </c>
      <c r="M65" s="16">
        <v>0</v>
      </c>
      <c r="P65" s="79" t="s">
        <v>8</v>
      </c>
      <c r="Q65" s="79"/>
    </row>
    <row r="66" spans="1:90" s="4" customFormat="1" ht="21" customHeight="1" x14ac:dyDescent="0.6">
      <c r="A66" s="81" t="s">
        <v>30</v>
      </c>
      <c r="B66" s="43">
        <v>100</v>
      </c>
      <c r="C66" s="43">
        <v>100</v>
      </c>
      <c r="D66" s="43">
        <v>100</v>
      </c>
      <c r="E66" s="43">
        <v>100</v>
      </c>
      <c r="F66" s="43">
        <v>100</v>
      </c>
      <c r="H66" s="11" t="s">
        <v>26</v>
      </c>
      <c r="I66" s="89"/>
      <c r="J66" s="88">
        <v>1</v>
      </c>
      <c r="K66" s="88">
        <v>0.625</v>
      </c>
      <c r="L66" s="16">
        <v>0</v>
      </c>
      <c r="M66" s="16">
        <v>0</v>
      </c>
      <c r="P66" s="78"/>
      <c r="Q66" s="78"/>
      <c r="BX66" s="144" t="s">
        <v>87</v>
      </c>
      <c r="BY66" s="144"/>
      <c r="BZ66" s="144"/>
      <c r="CA66" s="144"/>
    </row>
    <row r="67" spans="1:90" s="4" customFormat="1" ht="21" customHeight="1" x14ac:dyDescent="0.6">
      <c r="A67" s="104" t="s">
        <v>74</v>
      </c>
      <c r="B67" s="104"/>
      <c r="C67" s="104"/>
      <c r="D67" s="104"/>
      <c r="E67" s="104"/>
      <c r="F67" s="104"/>
      <c r="H67" s="11" t="s">
        <v>27</v>
      </c>
      <c r="I67" s="89"/>
      <c r="J67" s="89"/>
      <c r="K67" s="88">
        <v>1</v>
      </c>
      <c r="L67" s="16">
        <v>0</v>
      </c>
      <c r="M67" s="16">
        <v>0</v>
      </c>
      <c r="P67" s="97" t="s">
        <v>68</v>
      </c>
      <c r="Q67" s="98"/>
      <c r="R67" s="38">
        <v>2</v>
      </c>
      <c r="BX67" s="145"/>
      <c r="BY67" s="145"/>
      <c r="BZ67" s="145"/>
      <c r="CA67" s="145"/>
    </row>
    <row r="68" spans="1:90" s="4" customFormat="1" ht="21" customHeight="1" x14ac:dyDescent="0.6">
      <c r="A68" s="81" t="s">
        <v>73</v>
      </c>
      <c r="B68" s="43">
        <v>100</v>
      </c>
      <c r="C68" s="43">
        <v>100</v>
      </c>
      <c r="D68" s="43">
        <v>100</v>
      </c>
      <c r="E68" s="43">
        <v>100</v>
      </c>
      <c r="F68" s="43">
        <v>100</v>
      </c>
      <c r="H68" s="11" t="s">
        <v>48</v>
      </c>
      <c r="I68" s="44"/>
      <c r="J68" s="44"/>
      <c r="K68" s="44"/>
      <c r="L68" s="16">
        <v>1</v>
      </c>
      <c r="M68" s="16">
        <v>0</v>
      </c>
      <c r="P68" s="93" t="s">
        <v>29</v>
      </c>
      <c r="Q68" s="77" t="s">
        <v>66</v>
      </c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78"/>
      <c r="AI68" s="29"/>
      <c r="AJ68" s="93" t="s">
        <v>29</v>
      </c>
      <c r="AK68" s="77" t="s">
        <v>66</v>
      </c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  <c r="BD68" s="93" t="s">
        <v>29</v>
      </c>
      <c r="BE68" s="77" t="s">
        <v>66</v>
      </c>
      <c r="BF68" s="78"/>
      <c r="BG68" s="78"/>
      <c r="BH68" s="78"/>
      <c r="BI68" s="78"/>
      <c r="BJ68" s="78"/>
      <c r="BK68" s="78"/>
      <c r="BL68" s="78"/>
      <c r="BM68" s="78"/>
      <c r="BN68" s="78"/>
      <c r="BO68" s="78"/>
      <c r="BP68" s="78"/>
      <c r="BQ68" s="78"/>
      <c r="BR68" s="78"/>
      <c r="BS68" s="78"/>
      <c r="BT68" s="78"/>
      <c r="BU68" s="78"/>
      <c r="BV68" s="78"/>
      <c r="BX68" s="45" t="s">
        <v>86</v>
      </c>
      <c r="BY68" s="45" t="s">
        <v>83</v>
      </c>
      <c r="BZ68" s="45" t="s">
        <v>84</v>
      </c>
      <c r="CA68" s="45" t="s">
        <v>85</v>
      </c>
    </row>
    <row r="69" spans="1:90" s="4" customFormat="1" ht="21" customHeight="1" x14ac:dyDescent="0.6">
      <c r="A69" s="81" t="s">
        <v>75</v>
      </c>
      <c r="B69" s="43">
        <v>100</v>
      </c>
      <c r="C69" s="43">
        <v>100</v>
      </c>
      <c r="D69" s="43">
        <v>100</v>
      </c>
      <c r="E69" s="43">
        <v>100</v>
      </c>
      <c r="F69" s="43">
        <v>100</v>
      </c>
      <c r="H69" s="11" t="s">
        <v>49</v>
      </c>
      <c r="I69" s="44"/>
      <c r="J69" s="44"/>
      <c r="K69" s="44"/>
      <c r="L69" s="44"/>
      <c r="M69" s="16">
        <v>1</v>
      </c>
      <c r="P69" s="94"/>
      <c r="Q69" s="45">
        <v>0.33333333333333331</v>
      </c>
      <c r="R69" s="45">
        <v>0.66666666666666663</v>
      </c>
      <c r="S69" s="45">
        <v>1</v>
      </c>
      <c r="T69" s="45">
        <v>1.3333333333333333</v>
      </c>
      <c r="U69" s="45">
        <v>1.6666666666666665</v>
      </c>
      <c r="V69" s="45">
        <v>1.9999999999999998</v>
      </c>
      <c r="W69" s="45">
        <v>2.333333333333333</v>
      </c>
      <c r="X69" s="45">
        <v>2.6666666666666665</v>
      </c>
      <c r="Y69" s="45">
        <v>3</v>
      </c>
      <c r="Z69" s="45">
        <v>3.3333333333333335</v>
      </c>
      <c r="AA69" s="45"/>
      <c r="AB69" s="45"/>
      <c r="AC69" s="45"/>
      <c r="AD69" s="45"/>
      <c r="AE69" s="45"/>
      <c r="AF69" s="45"/>
      <c r="AG69" s="45"/>
      <c r="AH69" s="45"/>
      <c r="AI69" s="29"/>
      <c r="AJ69" s="94"/>
      <c r="AK69" s="45">
        <v>0.33333333333333331</v>
      </c>
      <c r="AL69" s="45">
        <v>0.66666666666666663</v>
      </c>
      <c r="AM69" s="45">
        <v>1</v>
      </c>
      <c r="AN69" s="45">
        <v>1.3333333333333333</v>
      </c>
      <c r="AO69" s="45">
        <v>1.6666666666666665</v>
      </c>
      <c r="AP69" s="45">
        <v>1.9999999999999998</v>
      </c>
      <c r="AQ69" s="45">
        <v>2.333333333333333</v>
      </c>
      <c r="AR69" s="45">
        <v>2.6666666666666665</v>
      </c>
      <c r="AS69" s="45">
        <v>3</v>
      </c>
      <c r="AT69" s="45">
        <v>3.3333333333333335</v>
      </c>
      <c r="AU69" s="45"/>
      <c r="AV69" s="45"/>
      <c r="AW69" s="45"/>
      <c r="AX69" s="45"/>
      <c r="AY69" s="45"/>
      <c r="AZ69" s="45"/>
      <c r="BA69" s="45"/>
      <c r="BB69" s="45"/>
      <c r="BD69" s="94"/>
      <c r="BE69" s="45">
        <v>0.33333333333333331</v>
      </c>
      <c r="BF69" s="45">
        <v>0.66666666666666663</v>
      </c>
      <c r="BG69" s="45">
        <v>1</v>
      </c>
      <c r="BH69" s="45">
        <v>1.3333333333333333</v>
      </c>
      <c r="BI69" s="45">
        <v>1.6666666666666665</v>
      </c>
      <c r="BJ69" s="45">
        <v>1.9999999999999998</v>
      </c>
      <c r="BK69" s="45">
        <v>2.333333333333333</v>
      </c>
      <c r="BL69" s="45">
        <v>2.6666666666666665</v>
      </c>
      <c r="BM69" s="45">
        <v>3</v>
      </c>
      <c r="BN69" s="45">
        <v>3.3333333333333335</v>
      </c>
      <c r="BO69" s="45"/>
      <c r="BP69" s="45"/>
      <c r="BQ69" s="45"/>
      <c r="BR69" s="45"/>
      <c r="BS69" s="45"/>
      <c r="BT69" s="45"/>
      <c r="BU69" s="45"/>
      <c r="BV69" s="45"/>
    </row>
    <row r="70" spans="1:90" ht="21" customHeight="1" x14ac:dyDescent="0.55000000000000004">
      <c r="P70" s="45">
        <v>0.5</v>
      </c>
      <c r="Q70" s="46">
        <v>0.39953</v>
      </c>
      <c r="R70" s="46">
        <v>0.35431000000000001</v>
      </c>
      <c r="S70" s="46">
        <v>0.34103</v>
      </c>
      <c r="T70" s="46">
        <v>0.31208000000000002</v>
      </c>
      <c r="U70" s="46">
        <v>0.29199999999999998</v>
      </c>
      <c r="V70" s="46">
        <v>0.27834999999999999</v>
      </c>
      <c r="W70" s="46">
        <v>0.26856000000000002</v>
      </c>
      <c r="X70" s="46">
        <v>0.25846999999999998</v>
      </c>
      <c r="Y70" s="46">
        <v>0.2477</v>
      </c>
      <c r="Z70" s="46">
        <v>0.24334</v>
      </c>
      <c r="AA70" s="46"/>
      <c r="AB70" s="46"/>
      <c r="AC70" s="46"/>
      <c r="AD70" s="46"/>
      <c r="AE70" s="46"/>
      <c r="AF70" s="46"/>
      <c r="AG70" s="46"/>
      <c r="AH70" s="46"/>
      <c r="AI70" s="29"/>
      <c r="AJ70" s="45">
        <v>0.5</v>
      </c>
      <c r="AK70" s="91">
        <v>0.77827387327087794</v>
      </c>
      <c r="AL70" s="91">
        <v>0.56035887056873157</v>
      </c>
      <c r="AM70" s="91">
        <v>0.54657233043540032</v>
      </c>
      <c r="AN70" s="91">
        <v>0.3554360254080593</v>
      </c>
      <c r="AO70" s="91">
        <v>0.32943289235191142</v>
      </c>
      <c r="AP70" s="91">
        <v>0.33046180621518789</v>
      </c>
      <c r="AQ70" s="91">
        <v>0.3175200331158356</v>
      </c>
      <c r="AR70" s="91">
        <v>0.26385596054322952</v>
      </c>
      <c r="AS70" s="91">
        <v>0.26690350390542639</v>
      </c>
      <c r="AT70" s="91">
        <v>0.29846996920737295</v>
      </c>
      <c r="AU70" s="92"/>
      <c r="AV70" s="92"/>
      <c r="AW70" s="92"/>
      <c r="AX70" s="92"/>
      <c r="AY70" s="92"/>
      <c r="AZ70" s="92"/>
      <c r="BA70" s="92"/>
      <c r="BB70" s="92"/>
      <c r="BD70" s="45">
        <v>0.5</v>
      </c>
      <c r="BE70" s="91">
        <v>0.41115978278976006</v>
      </c>
      <c r="BF70" s="91">
        <v>0.35376025567755259</v>
      </c>
      <c r="BG70" s="91">
        <v>0.33896788091561136</v>
      </c>
      <c r="BH70" s="91">
        <v>0.30896872581199342</v>
      </c>
      <c r="BI70" s="91">
        <v>0.28793930014224384</v>
      </c>
      <c r="BJ70" s="91">
        <v>0.27294917265046786</v>
      </c>
      <c r="BK70" s="91">
        <v>0.26290936417017052</v>
      </c>
      <c r="BL70" s="91">
        <v>0.25358265765872612</v>
      </c>
      <c r="BM70" s="91">
        <v>0.24328756098496018</v>
      </c>
      <c r="BN70" s="91">
        <v>0.23907220629141906</v>
      </c>
      <c r="BO70" s="92"/>
      <c r="BP70" s="92"/>
      <c r="BQ70" s="92"/>
      <c r="BR70" s="92"/>
      <c r="BS70" s="92"/>
      <c r="BT70" s="92"/>
      <c r="BU70" s="92"/>
      <c r="BV70" s="92"/>
      <c r="BX70" s="142">
        <v>0.33333333333333331</v>
      </c>
      <c r="BY70" s="142">
        <v>0.14950912920237738</v>
      </c>
      <c r="BZ70" s="142">
        <v>1.1803420469696189</v>
      </c>
      <c r="CA70" s="142">
        <v>-0.81578963603849541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</row>
    <row r="71" spans="1:90" ht="21" customHeight="1" x14ac:dyDescent="0.55000000000000004">
      <c r="A71" s="99" t="s">
        <v>31</v>
      </c>
      <c r="B71" s="99"/>
      <c r="C71" s="99"/>
      <c r="D71" s="99"/>
      <c r="E71" s="99"/>
      <c r="F71" s="99"/>
      <c r="G71" s="99"/>
      <c r="H71" s="99"/>
      <c r="I71" s="99"/>
      <c r="J71" s="99"/>
      <c r="K71" s="99"/>
      <c r="L71" s="99"/>
      <c r="P71" s="45">
        <v>0.6</v>
      </c>
      <c r="Q71" s="46">
        <v>0.35871999999999998</v>
      </c>
      <c r="R71" s="46">
        <v>0.30496000000000001</v>
      </c>
      <c r="S71" s="46">
        <v>0.29508000000000001</v>
      </c>
      <c r="T71" s="46">
        <v>0.26927000000000001</v>
      </c>
      <c r="U71" s="46">
        <v>0.25139</v>
      </c>
      <c r="V71" s="46">
        <v>0.23854</v>
      </c>
      <c r="W71" s="46">
        <v>0.23055</v>
      </c>
      <c r="X71" s="46">
        <v>0.22373000000000001</v>
      </c>
      <c r="Y71" s="46">
        <v>0.21529999999999999</v>
      </c>
      <c r="Z71" s="46">
        <v>0.21249999999999999</v>
      </c>
      <c r="AA71" s="46"/>
      <c r="AB71" s="46"/>
      <c r="AC71" s="46"/>
      <c r="AD71" s="46"/>
      <c r="AE71" s="46"/>
      <c r="AF71" s="46"/>
      <c r="AG71" s="46"/>
      <c r="AH71" s="46"/>
      <c r="AI71" s="29"/>
      <c r="AJ71" s="45">
        <v>0.6</v>
      </c>
      <c r="AK71" s="91">
        <v>0.65371512976381985</v>
      </c>
      <c r="AL71" s="91">
        <v>0.47492704554575521</v>
      </c>
      <c r="AM71" s="91">
        <v>0.4569256001920185</v>
      </c>
      <c r="AN71" s="91">
        <v>0.31992687316325674</v>
      </c>
      <c r="AO71" s="91">
        <v>0.29252953319459613</v>
      </c>
      <c r="AP71" s="91">
        <v>0.28952029941861585</v>
      </c>
      <c r="AQ71" s="91">
        <v>0.28313959491973845</v>
      </c>
      <c r="AR71" s="91">
        <v>0.24322506188785037</v>
      </c>
      <c r="AS71" s="91">
        <v>0.2422131871381924</v>
      </c>
      <c r="AT71" s="91">
        <v>0.26512272312852453</v>
      </c>
      <c r="AU71" s="92"/>
      <c r="AV71" s="92"/>
      <c r="AW71" s="92"/>
      <c r="AX71" s="92"/>
      <c r="AY71" s="92"/>
      <c r="AZ71" s="92"/>
      <c r="BA71" s="92"/>
      <c r="BB71" s="92"/>
      <c r="BD71" s="45">
        <v>0.6</v>
      </c>
      <c r="BE71" s="91">
        <v>0.34838129628901016</v>
      </c>
      <c r="BF71" s="91">
        <v>0.3040554650339154</v>
      </c>
      <c r="BG71" s="91">
        <v>0.29176058576388769</v>
      </c>
      <c r="BH71" s="91">
        <v>0.26859757410358343</v>
      </c>
      <c r="BI71" s="91">
        <v>0.25236787978463976</v>
      </c>
      <c r="BJ71" s="91">
        <v>0.24032299158406689</v>
      </c>
      <c r="BK71" s="91">
        <v>0.23288065787585552</v>
      </c>
      <c r="BL71" s="91">
        <v>0.22607691453153114</v>
      </c>
      <c r="BM71" s="91">
        <v>0.21816096216913647</v>
      </c>
      <c r="BN71" s="91">
        <v>0.21536486225291487</v>
      </c>
      <c r="BO71" s="92"/>
      <c r="BP71" s="92"/>
      <c r="BQ71" s="92"/>
      <c r="BR71" s="92"/>
      <c r="BS71" s="92"/>
      <c r="BT71" s="92"/>
      <c r="BU71" s="92"/>
      <c r="BV71" s="92"/>
      <c r="BX71" s="142">
        <v>0.66666666666666663</v>
      </c>
      <c r="BY71" s="142">
        <v>0.14950135776547199</v>
      </c>
      <c r="BZ71" s="142">
        <v>0.91059539982984361</v>
      </c>
      <c r="CA71" s="142">
        <v>-0.7698449921181888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</row>
    <row r="72" spans="1:90" s="4" customFormat="1" ht="21" customHeight="1" x14ac:dyDescent="0.55000000000000004">
      <c r="A72" s="99"/>
      <c r="B72" s="99"/>
      <c r="C72" s="99"/>
      <c r="D72" s="99"/>
      <c r="E72" s="99"/>
      <c r="F72" s="99"/>
      <c r="G72" s="99"/>
      <c r="H72" s="99"/>
      <c r="I72" s="99"/>
      <c r="J72" s="99"/>
      <c r="K72" s="99"/>
      <c r="L72" s="99"/>
      <c r="M72" s="1"/>
      <c r="N72" s="1"/>
      <c r="O72" s="1"/>
      <c r="P72" s="45">
        <v>0.7</v>
      </c>
      <c r="Q72" s="46">
        <v>0.29748999999999998</v>
      </c>
      <c r="R72" s="46">
        <v>0.25945000000000001</v>
      </c>
      <c r="S72" s="46">
        <v>0.24746000000000001</v>
      </c>
      <c r="T72" s="46">
        <v>0.23002</v>
      </c>
      <c r="U72" s="46">
        <v>0.21759000000000001</v>
      </c>
      <c r="V72" s="46">
        <v>0.20727000000000001</v>
      </c>
      <c r="W72" s="46">
        <v>0.20204</v>
      </c>
      <c r="X72" s="46">
        <v>0.19833000000000001</v>
      </c>
      <c r="Y72" s="46">
        <v>0.19361999999999999</v>
      </c>
      <c r="Z72" s="46">
        <v>0.19223999999999999</v>
      </c>
      <c r="AA72" s="46"/>
      <c r="AB72" s="46"/>
      <c r="AC72" s="46"/>
      <c r="AD72" s="46"/>
      <c r="AE72" s="46"/>
      <c r="AF72" s="46"/>
      <c r="AG72" s="46"/>
      <c r="AH72" s="46"/>
      <c r="AI72" s="29"/>
      <c r="AJ72" s="45">
        <v>0.7</v>
      </c>
      <c r="AK72" s="91">
        <v>0.49840312114406865</v>
      </c>
      <c r="AL72" s="91">
        <v>0.37414886230880112</v>
      </c>
      <c r="AM72" s="91">
        <v>0.35715632182230922</v>
      </c>
      <c r="AN72" s="91">
        <v>0.27087467413738164</v>
      </c>
      <c r="AO72" s="91">
        <v>0.24667163854071628</v>
      </c>
      <c r="AP72" s="91">
        <v>0.24200677391873801</v>
      </c>
      <c r="AQ72" s="91">
        <v>0.24130272238751327</v>
      </c>
      <c r="AR72" s="91">
        <v>0.21428375826822532</v>
      </c>
      <c r="AS72" s="91">
        <v>0.21127516584696085</v>
      </c>
      <c r="AT72" s="91">
        <v>0.22744699109891445</v>
      </c>
      <c r="AU72" s="92"/>
      <c r="AV72" s="92"/>
      <c r="AW72" s="92"/>
      <c r="AX72" s="92"/>
      <c r="AY72" s="92"/>
      <c r="AZ72" s="92"/>
      <c r="BA72" s="92"/>
      <c r="BB72" s="92"/>
      <c r="BD72" s="45">
        <v>0.7</v>
      </c>
      <c r="BE72" s="91">
        <v>0.29178084151601569</v>
      </c>
      <c r="BF72" s="91">
        <v>0.25947404118344203</v>
      </c>
      <c r="BG72" s="91">
        <v>0.2496180104694182</v>
      </c>
      <c r="BH72" s="91">
        <v>0.23284535020068761</v>
      </c>
      <c r="BI72" s="91">
        <v>0.22114340855250664</v>
      </c>
      <c r="BJ72" s="91">
        <v>0.21194146739514</v>
      </c>
      <c r="BK72" s="91">
        <v>0.20703101415852576</v>
      </c>
      <c r="BL72" s="91">
        <v>0.20268171029155302</v>
      </c>
      <c r="BM72" s="91">
        <v>0.19709480043333499</v>
      </c>
      <c r="BN72" s="91">
        <v>0.19567775360851716</v>
      </c>
      <c r="BO72" s="92"/>
      <c r="BP72" s="92"/>
      <c r="BQ72" s="92"/>
      <c r="BR72" s="92"/>
      <c r="BS72" s="92"/>
      <c r="BT72" s="92"/>
      <c r="BU72" s="92"/>
      <c r="BV72" s="92"/>
      <c r="BX72" s="142">
        <v>1</v>
      </c>
      <c r="BY72" s="142">
        <v>0.14929039000192415</v>
      </c>
      <c r="BZ72" s="142">
        <v>0.84903948200136647</v>
      </c>
      <c r="CA72" s="142">
        <v>-0.69357739929444029</v>
      </c>
    </row>
    <row r="73" spans="1:90" s="4" customFormat="1" ht="21" customHeight="1" x14ac:dyDescent="0.55000000000000004">
      <c r="A73" s="95" t="s">
        <v>32</v>
      </c>
      <c r="B73" s="95"/>
      <c r="C73" s="95" t="s">
        <v>33</v>
      </c>
      <c r="D73" s="95"/>
      <c r="E73" s="95" t="s">
        <v>34</v>
      </c>
      <c r="F73" s="95"/>
      <c r="G73" s="95" t="s">
        <v>35</v>
      </c>
      <c r="H73" s="95"/>
      <c r="I73" s="95" t="s">
        <v>65</v>
      </c>
      <c r="J73" s="95"/>
      <c r="K73" s="95" t="s">
        <v>67</v>
      </c>
      <c r="L73" s="95"/>
      <c r="M73" s="1"/>
      <c r="N73" s="1"/>
      <c r="O73" s="1"/>
      <c r="P73" s="45">
        <v>0.8</v>
      </c>
      <c r="Q73" s="46">
        <v>0.24129999999999999</v>
      </c>
      <c r="R73" s="46">
        <v>0.21798999999999999</v>
      </c>
      <c r="S73" s="46">
        <v>0.20821999999999999</v>
      </c>
      <c r="T73" s="46">
        <v>0.19789999999999999</v>
      </c>
      <c r="U73" s="46">
        <v>0.19069</v>
      </c>
      <c r="V73" s="46">
        <v>0.18398</v>
      </c>
      <c r="W73" s="46">
        <v>0.18196000000000001</v>
      </c>
      <c r="X73" s="46">
        <v>0.18073</v>
      </c>
      <c r="Y73" s="46">
        <v>0.17827999999999999</v>
      </c>
      <c r="Z73" s="46">
        <v>0.17832000000000001</v>
      </c>
      <c r="AA73" s="46"/>
      <c r="AB73" s="46"/>
      <c r="AC73" s="46"/>
      <c r="AD73" s="46"/>
      <c r="AE73" s="46"/>
      <c r="AF73" s="46"/>
      <c r="AG73" s="46"/>
      <c r="AH73" s="46"/>
      <c r="AI73" s="1"/>
      <c r="AJ73" s="45">
        <v>0.8</v>
      </c>
      <c r="AK73" s="91">
        <v>0.36346767177050227</v>
      </c>
      <c r="AL73" s="91">
        <v>0.28659677490192853</v>
      </c>
      <c r="AM73" s="91">
        <v>0.27173104469207526</v>
      </c>
      <c r="AN73" s="91">
        <v>0.22518938134242786</v>
      </c>
      <c r="AO73" s="91">
        <v>0.20641010192410345</v>
      </c>
      <c r="AP73" s="91">
        <v>0.20205620818803224</v>
      </c>
      <c r="AQ73" s="91">
        <v>0.20594199458217916</v>
      </c>
      <c r="AR73" s="91">
        <v>0.18957719834788817</v>
      </c>
      <c r="AS73" s="91">
        <v>0.18638098857424529</v>
      </c>
      <c r="AT73" s="91">
        <v>0.19800635854678883</v>
      </c>
      <c r="AU73" s="92"/>
      <c r="AV73" s="92"/>
      <c r="AW73" s="92"/>
      <c r="AX73" s="92"/>
      <c r="AY73" s="92"/>
      <c r="AZ73" s="92"/>
      <c r="BA73" s="92"/>
      <c r="BB73" s="92"/>
      <c r="BD73" s="45">
        <v>0.8</v>
      </c>
      <c r="BE73" s="91">
        <v>0.2390077150623105</v>
      </c>
      <c r="BF73" s="91">
        <v>0.21831771363608543</v>
      </c>
      <c r="BG73" s="91">
        <v>0.21105692141927748</v>
      </c>
      <c r="BH73" s="91">
        <v>0.20058424734075342</v>
      </c>
      <c r="BI73" s="91">
        <v>0.1933798642738333</v>
      </c>
      <c r="BJ73" s="91">
        <v>0.1870928459628288</v>
      </c>
      <c r="BK73" s="91">
        <v>0.18478246544590449</v>
      </c>
      <c r="BL73" s="91">
        <v>0.18292271360191692</v>
      </c>
      <c r="BM73" s="91">
        <v>0.17970694241981414</v>
      </c>
      <c r="BN73" s="91">
        <v>0.17965605552724243</v>
      </c>
      <c r="BO73" s="92"/>
      <c r="BP73" s="92"/>
      <c r="BQ73" s="92"/>
      <c r="BR73" s="92"/>
      <c r="BS73" s="92"/>
      <c r="BT73" s="92"/>
      <c r="BU73" s="92"/>
      <c r="BV73" s="92"/>
      <c r="BX73" s="142">
        <v>1.3333333333333333</v>
      </c>
      <c r="BY73" s="142">
        <v>0.1502955903809039</v>
      </c>
      <c r="BZ73" s="142">
        <v>0.71014512511353411</v>
      </c>
      <c r="CA73" s="142">
        <v>-0.63428476889110075</v>
      </c>
    </row>
    <row r="74" spans="1:90" s="4" customFormat="1" ht="21" customHeight="1" x14ac:dyDescent="0.55000000000000004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5">
        <v>0.9</v>
      </c>
      <c r="Q74" s="46">
        <v>0.18583</v>
      </c>
      <c r="R74" s="46">
        <v>0.17757999999999999</v>
      </c>
      <c r="S74" s="46">
        <v>0.17082</v>
      </c>
      <c r="T74" s="46">
        <v>0.16969000000000001</v>
      </c>
      <c r="U74" s="46">
        <v>0.16891</v>
      </c>
      <c r="V74" s="46">
        <v>0.16619</v>
      </c>
      <c r="W74" s="46">
        <v>0.16711999999999999</v>
      </c>
      <c r="X74" s="46">
        <v>0.16803000000000001</v>
      </c>
      <c r="Y74" s="46">
        <v>0.16741</v>
      </c>
      <c r="Z74" s="46">
        <v>0.16885</v>
      </c>
      <c r="AA74" s="46"/>
      <c r="AB74" s="46"/>
      <c r="AC74" s="46"/>
      <c r="AD74" s="46"/>
      <c r="AE74" s="46"/>
      <c r="AF74" s="46"/>
      <c r="AG74" s="46"/>
      <c r="AH74" s="46"/>
      <c r="AJ74" s="45">
        <v>0.9</v>
      </c>
      <c r="AK74" s="91">
        <v>0.24322740753820396</v>
      </c>
      <c r="AL74" s="91">
        <v>0.20946454012043017</v>
      </c>
      <c r="AM74" s="91">
        <v>0.19845417282407377</v>
      </c>
      <c r="AN74" s="91">
        <v>0.18301975938315043</v>
      </c>
      <c r="AO74" s="91">
        <v>0.17194226907304341</v>
      </c>
      <c r="AP74" s="91">
        <v>0.1699412601972364</v>
      </c>
      <c r="AQ74" s="91">
        <v>0.17785810820470357</v>
      </c>
      <c r="AR74" s="91">
        <v>0.17038550555889007</v>
      </c>
      <c r="AS74" s="91">
        <v>0.16847773897427898</v>
      </c>
      <c r="AT74" s="91">
        <v>0.17722008262410002</v>
      </c>
      <c r="AU74" s="92"/>
      <c r="AV74" s="92"/>
      <c r="AW74" s="92"/>
      <c r="AX74" s="92"/>
      <c r="AY74" s="92"/>
      <c r="AZ74" s="92"/>
      <c r="BA74" s="92"/>
      <c r="BB74" s="92"/>
      <c r="BD74" s="45">
        <v>0.9</v>
      </c>
      <c r="BE74" s="91">
        <v>0.18828812488061555</v>
      </c>
      <c r="BF74" s="91">
        <v>0.17953865516084264</v>
      </c>
      <c r="BG74" s="91">
        <v>0.1754220716691817</v>
      </c>
      <c r="BH74" s="91">
        <v>0.17151114315415103</v>
      </c>
      <c r="BI74" s="91">
        <v>0.1689777428952153</v>
      </c>
      <c r="BJ74" s="91">
        <v>0.16584755888643488</v>
      </c>
      <c r="BK74" s="91">
        <v>0.16628496819297064</v>
      </c>
      <c r="BL74" s="91">
        <v>0.16696860944556663</v>
      </c>
      <c r="BM74" s="91">
        <v>0.16617137031146267</v>
      </c>
      <c r="BN74" s="91">
        <v>0.16742978937371075</v>
      </c>
      <c r="BO74" s="92"/>
      <c r="BP74" s="92"/>
      <c r="BQ74" s="92"/>
      <c r="BR74" s="92"/>
      <c r="BS74" s="92"/>
      <c r="BT74" s="92"/>
      <c r="BU74" s="92"/>
      <c r="BV74" s="92"/>
      <c r="BX74" s="142">
        <v>1.6666666666666665</v>
      </c>
      <c r="BY74" s="142">
        <v>0.15096839354272473</v>
      </c>
      <c r="BZ74" s="142">
        <v>0.61923683218147951</v>
      </c>
      <c r="CA74" s="142">
        <v>-0.57454221440962716</v>
      </c>
    </row>
    <row r="75" spans="1:90" s="4" customFormat="1" ht="21" customHeight="1" x14ac:dyDescent="0.55000000000000004">
      <c r="A75" s="11" t="s">
        <v>36</v>
      </c>
      <c r="B75" s="11" t="s">
        <v>37</v>
      </c>
      <c r="C75" s="11" t="s">
        <v>36</v>
      </c>
      <c r="D75" s="11" t="s">
        <v>37</v>
      </c>
      <c r="E75" s="11" t="s">
        <v>36</v>
      </c>
      <c r="F75" s="11" t="s">
        <v>37</v>
      </c>
      <c r="G75" s="11" t="s">
        <v>36</v>
      </c>
      <c r="H75" s="11" t="s">
        <v>37</v>
      </c>
      <c r="I75" s="11" t="s">
        <v>36</v>
      </c>
      <c r="J75" s="11" t="s">
        <v>37</v>
      </c>
      <c r="K75" s="11" t="s">
        <v>36</v>
      </c>
      <c r="L75" s="11" t="s">
        <v>37</v>
      </c>
      <c r="M75" s="1"/>
      <c r="N75" s="1"/>
      <c r="O75" s="1"/>
      <c r="P75" s="45">
        <v>1</v>
      </c>
      <c r="Q75" s="46">
        <v>0.13402</v>
      </c>
      <c r="R75" s="46">
        <v>0.14104</v>
      </c>
      <c r="S75" s="46">
        <v>0.14266999999999999</v>
      </c>
      <c r="T75" s="46">
        <v>0.14749000000000001</v>
      </c>
      <c r="U75" s="46">
        <v>0.15106</v>
      </c>
      <c r="V75" s="46">
        <v>0.15182000000000001</v>
      </c>
      <c r="W75" s="46">
        <v>0.15537000000000001</v>
      </c>
      <c r="X75" s="46">
        <v>0.15823000000000001</v>
      </c>
      <c r="Y75" s="46">
        <v>0.15916</v>
      </c>
      <c r="Z75" s="46">
        <v>0.16161</v>
      </c>
      <c r="AA75" s="46"/>
      <c r="AB75" s="46"/>
      <c r="AC75" s="46"/>
      <c r="AD75" s="46"/>
      <c r="AE75" s="46"/>
      <c r="AF75" s="46"/>
      <c r="AG75" s="46"/>
      <c r="AH75" s="46"/>
      <c r="AJ75" s="45">
        <v>1</v>
      </c>
      <c r="AK75" s="91">
        <v>0.14018105934239869</v>
      </c>
      <c r="AL75" s="91">
        <v>0.14476074191243973</v>
      </c>
      <c r="AM75" s="91">
        <v>0.14176817962555963</v>
      </c>
      <c r="AN75" s="91">
        <v>0.14844350799444772</v>
      </c>
      <c r="AO75" s="91">
        <v>0.14631590302369085</v>
      </c>
      <c r="AP75" s="91">
        <v>0.14848746748248198</v>
      </c>
      <c r="AQ75" s="91">
        <v>0.15973294277082889</v>
      </c>
      <c r="AR75" s="91">
        <v>0.15910518981644006</v>
      </c>
      <c r="AS75" s="91">
        <v>0.15919493624921363</v>
      </c>
      <c r="AT75" s="91">
        <v>0.16594366580463307</v>
      </c>
      <c r="AU75" s="92"/>
      <c r="AV75" s="92"/>
      <c r="AW75" s="92"/>
      <c r="AX75" s="92"/>
      <c r="AY75" s="92"/>
      <c r="AZ75" s="92"/>
      <c r="BA75" s="92"/>
      <c r="BB75" s="92"/>
      <c r="BD75" s="45">
        <v>1</v>
      </c>
      <c r="BE75" s="91">
        <v>0.13904657604603393</v>
      </c>
      <c r="BF75" s="91">
        <v>0.14323972926334738</v>
      </c>
      <c r="BG75" s="91">
        <v>0.14372088166274735</v>
      </c>
      <c r="BH75" s="91">
        <v>0.1466971128623607</v>
      </c>
      <c r="BI75" s="91">
        <v>0.14893792936174549</v>
      </c>
      <c r="BJ75" s="91">
        <v>0.14923432539202502</v>
      </c>
      <c r="BK75" s="91">
        <v>0.15242516455962449</v>
      </c>
      <c r="BL75" s="91">
        <v>0.15550060183832498</v>
      </c>
      <c r="BM75" s="91">
        <v>0.15698170628128041</v>
      </c>
      <c r="BN75" s="91">
        <v>0.15934123896892746</v>
      </c>
      <c r="BO75" s="92"/>
      <c r="BP75" s="92"/>
      <c r="BQ75" s="92"/>
      <c r="BR75" s="92"/>
      <c r="BS75" s="92"/>
      <c r="BT75" s="92"/>
      <c r="BU75" s="92"/>
      <c r="BV75" s="92"/>
      <c r="BX75" s="142">
        <v>1.9999999999999998</v>
      </c>
      <c r="BY75" s="142">
        <v>0.14946743816733155</v>
      </c>
      <c r="BZ75" s="142">
        <v>0.56973113614489124</v>
      </c>
      <c r="CA75" s="142">
        <v>-0.50024293713246737</v>
      </c>
    </row>
    <row r="76" spans="1:90" s="4" customFormat="1" ht="21" customHeight="1" x14ac:dyDescent="0.55000000000000004">
      <c r="A76" s="45">
        <v>2.7777779999999998E-3</v>
      </c>
      <c r="B76" s="47">
        <v>1.43E-2</v>
      </c>
      <c r="C76" s="45">
        <v>2.7777779999999998E-3</v>
      </c>
      <c r="D76" s="47">
        <v>1.43E-2</v>
      </c>
      <c r="E76" s="45">
        <v>2.7777779999999998E-3</v>
      </c>
      <c r="F76" s="47">
        <v>1.43E-2</v>
      </c>
      <c r="G76" s="45">
        <v>2.7777779999999998E-3</v>
      </c>
      <c r="H76" s="47">
        <v>1.43E-2</v>
      </c>
      <c r="I76" s="45">
        <v>2.7777779999999998E-3</v>
      </c>
      <c r="J76" s="47">
        <v>1.43E-2</v>
      </c>
      <c r="K76" s="45">
        <v>2.7777779999999998E-3</v>
      </c>
      <c r="L76" s="47">
        <v>1.43E-2</v>
      </c>
      <c r="M76" s="1"/>
      <c r="N76" s="1"/>
      <c r="O76" s="1"/>
      <c r="P76" s="45">
        <v>1.1000000000000001</v>
      </c>
      <c r="Q76" s="46">
        <v>0.10327</v>
      </c>
      <c r="R76" s="46">
        <v>0.11413</v>
      </c>
      <c r="S76" s="46">
        <v>0.12809999999999999</v>
      </c>
      <c r="T76" s="46">
        <v>0.13346</v>
      </c>
      <c r="U76" s="46">
        <v>0.13786000000000001</v>
      </c>
      <c r="V76" s="46">
        <v>0.14172999999999999</v>
      </c>
      <c r="W76" s="46">
        <v>0.14682000000000001</v>
      </c>
      <c r="X76" s="46">
        <v>0.15109</v>
      </c>
      <c r="Y76" s="46">
        <v>0.15386</v>
      </c>
      <c r="Z76" s="46">
        <v>0.15673000000000001</v>
      </c>
      <c r="AA76" s="46"/>
      <c r="AB76" s="46"/>
      <c r="AC76" s="46"/>
      <c r="AD76" s="46"/>
      <c r="AE76" s="46"/>
      <c r="AF76" s="46"/>
      <c r="AG76" s="46"/>
      <c r="AH76" s="46"/>
      <c r="AJ76" s="45">
        <v>1.1000000000000001</v>
      </c>
      <c r="AK76" s="91">
        <v>9.2187101860647894E-2</v>
      </c>
      <c r="AL76" s="91">
        <v>0.10622012613447156</v>
      </c>
      <c r="AM76" s="91">
        <v>0.11747127133801713</v>
      </c>
      <c r="AN76" s="91">
        <v>0.13025837362211251</v>
      </c>
      <c r="AO76" s="91">
        <v>0.1347967880594742</v>
      </c>
      <c r="AP76" s="91">
        <v>0.14168378195594838</v>
      </c>
      <c r="AQ76" s="91">
        <v>0.15447730329300174</v>
      </c>
      <c r="AR76" s="91">
        <v>0.15786872657123976</v>
      </c>
      <c r="AS76" s="91">
        <v>0.15951817163214166</v>
      </c>
      <c r="AT76" s="91">
        <v>0.16433488729098042</v>
      </c>
      <c r="AU76" s="92"/>
      <c r="AV76" s="92"/>
      <c r="AW76" s="92"/>
      <c r="AX76" s="92"/>
      <c r="AY76" s="92"/>
      <c r="AZ76" s="92"/>
      <c r="BA76" s="92"/>
      <c r="BB76" s="92"/>
      <c r="BD76" s="45">
        <v>1.1000000000000001</v>
      </c>
      <c r="BE76" s="91">
        <v>0.10320061545473268</v>
      </c>
      <c r="BF76" s="91">
        <v>0.11453150577034629</v>
      </c>
      <c r="BG76" s="91">
        <v>0.12186675600840299</v>
      </c>
      <c r="BH76" s="91">
        <v>0.1297779368056847</v>
      </c>
      <c r="BI76" s="91">
        <v>0.13564477382611059</v>
      </c>
      <c r="BJ76" s="91">
        <v>0.13905109752915357</v>
      </c>
      <c r="BK76" s="91">
        <v>0.1443853309912021</v>
      </c>
      <c r="BL76" s="91">
        <v>0.14919100093904336</v>
      </c>
      <c r="BM76" s="91">
        <v>0.15241689874331893</v>
      </c>
      <c r="BN76" s="91">
        <v>0.15547232423030038</v>
      </c>
      <c r="BO76" s="92"/>
      <c r="BP76" s="92"/>
      <c r="BQ76" s="92"/>
      <c r="BR76" s="92"/>
      <c r="BS76" s="92"/>
      <c r="BT76" s="92"/>
      <c r="BU76" s="92"/>
      <c r="BV76" s="92"/>
      <c r="BX76" s="142">
        <v>2.333333333333333</v>
      </c>
      <c r="BY76" s="142">
        <v>0.15140693445779066</v>
      </c>
      <c r="BZ76" s="142">
        <v>0.52626393502981572</v>
      </c>
      <c r="CA76" s="142">
        <v>-0.44004262618655299</v>
      </c>
    </row>
    <row r="77" spans="1:90" s="4" customFormat="1" ht="21" customHeight="1" x14ac:dyDescent="0.55000000000000004">
      <c r="A77" s="45">
        <v>0.25</v>
      </c>
      <c r="B77" s="47">
        <v>1.6500000000000001E-2</v>
      </c>
      <c r="C77" s="45">
        <v>0.25</v>
      </c>
      <c r="D77" s="47">
        <v>1.6500000000000001E-2</v>
      </c>
      <c r="E77" s="45">
        <v>0.25</v>
      </c>
      <c r="F77" s="47">
        <v>1.6500000000000001E-2</v>
      </c>
      <c r="G77" s="45">
        <v>0.25</v>
      </c>
      <c r="H77" s="47">
        <v>1.6500000000000001E-2</v>
      </c>
      <c r="I77" s="45">
        <v>0.25</v>
      </c>
      <c r="J77" s="47">
        <v>1.6500000000000001E-2</v>
      </c>
      <c r="K77" s="45">
        <v>0.25</v>
      </c>
      <c r="L77" s="47">
        <v>1.6500000000000001E-2</v>
      </c>
      <c r="M77" s="1"/>
      <c r="N77" s="1"/>
      <c r="O77" s="1"/>
      <c r="P77" s="45">
        <v>1.2</v>
      </c>
      <c r="Q77" s="46">
        <v>0.10983999999999999</v>
      </c>
      <c r="R77" s="46">
        <v>0.10829999999999999</v>
      </c>
      <c r="S77" s="46">
        <v>0.12136</v>
      </c>
      <c r="T77" s="46">
        <v>0.12608</v>
      </c>
      <c r="U77" s="46">
        <v>0.13128000000000001</v>
      </c>
      <c r="V77" s="46">
        <v>0.13700000000000001</v>
      </c>
      <c r="W77" s="46">
        <v>0.14288000000000001</v>
      </c>
      <c r="X77" s="46">
        <v>0.14802000000000001</v>
      </c>
      <c r="Y77" s="46">
        <v>0.15206</v>
      </c>
      <c r="Z77" s="46">
        <v>0.15514</v>
      </c>
      <c r="AA77" s="46"/>
      <c r="AB77" s="46"/>
      <c r="AC77" s="46"/>
      <c r="AD77" s="46"/>
      <c r="AE77" s="46"/>
      <c r="AF77" s="46"/>
      <c r="AG77" s="46"/>
      <c r="AH77" s="46"/>
      <c r="AJ77" s="45">
        <v>1.2</v>
      </c>
      <c r="AK77" s="91">
        <v>0.12054600022487794</v>
      </c>
      <c r="AL77" s="91">
        <v>0.10767710014309911</v>
      </c>
      <c r="AM77" s="91">
        <v>0.13331455165876901</v>
      </c>
      <c r="AN77" s="91">
        <v>0.13379234229682258</v>
      </c>
      <c r="AO77" s="91">
        <v>0.1402807061674532</v>
      </c>
      <c r="AP77" s="91">
        <v>0.15084761542913769</v>
      </c>
      <c r="AQ77" s="91">
        <v>0.16259471408228729</v>
      </c>
      <c r="AR77" s="91">
        <v>0.16689881183834651</v>
      </c>
      <c r="AS77" s="91">
        <v>0.16877576358831253</v>
      </c>
      <c r="AT77" s="91">
        <v>0.17125564252120401</v>
      </c>
      <c r="AU77" s="92"/>
      <c r="AV77" s="92"/>
      <c r="AW77" s="92"/>
      <c r="AX77" s="92"/>
      <c r="AY77" s="92"/>
      <c r="AZ77" s="92"/>
      <c r="BA77" s="92"/>
      <c r="BB77" s="92"/>
      <c r="BD77" s="45">
        <v>1.2</v>
      </c>
      <c r="BE77" s="91">
        <v>0.10447342885229176</v>
      </c>
      <c r="BF77" s="91">
        <v>0.10586440046214454</v>
      </c>
      <c r="BG77" s="91">
        <v>0.11747125422484372</v>
      </c>
      <c r="BH77" s="91">
        <v>0.12450077982103835</v>
      </c>
      <c r="BI77" s="91">
        <v>0.13093395831107713</v>
      </c>
      <c r="BJ77" s="91">
        <v>0.13605823850598242</v>
      </c>
      <c r="BK77" s="91">
        <v>0.14229593371467525</v>
      </c>
      <c r="BL77" s="91">
        <v>0.14780014811957787</v>
      </c>
      <c r="BM77" s="91">
        <v>0.1519694689281858</v>
      </c>
      <c r="BN77" s="91">
        <v>0.1552583663741654</v>
      </c>
      <c r="BO77" s="92"/>
      <c r="BP77" s="92"/>
      <c r="BQ77" s="92"/>
      <c r="BR77" s="92"/>
      <c r="BS77" s="92"/>
      <c r="BT77" s="92"/>
      <c r="BU77" s="92"/>
      <c r="BV77" s="92"/>
      <c r="BX77" s="142">
        <v>2.6666666666666665</v>
      </c>
      <c r="BY77" s="142">
        <v>0.15349531662175769</v>
      </c>
      <c r="BZ77" s="142">
        <v>0.48580304880110514</v>
      </c>
      <c r="CA77" s="142">
        <v>-0.38494045350372424</v>
      </c>
    </row>
    <row r="78" spans="1:90" ht="21" customHeight="1" x14ac:dyDescent="0.55000000000000004">
      <c r="A78" s="45">
        <v>0.5</v>
      </c>
      <c r="B78" s="47">
        <v>1.7149996760000001E-2</v>
      </c>
      <c r="C78" s="45">
        <v>0.5</v>
      </c>
      <c r="D78" s="47">
        <v>1.7149996760000001E-2</v>
      </c>
      <c r="E78" s="45">
        <v>0.5</v>
      </c>
      <c r="F78" s="47">
        <v>1.7149996760000001E-2</v>
      </c>
      <c r="G78" s="45">
        <v>0.5</v>
      </c>
      <c r="H78" s="47">
        <v>1.7149996760000001E-2</v>
      </c>
      <c r="I78" s="45">
        <v>0.5</v>
      </c>
      <c r="J78" s="47">
        <v>1.7149996760000001E-2</v>
      </c>
      <c r="K78" s="45">
        <v>0.5</v>
      </c>
      <c r="L78" s="47">
        <v>1.7149996760000001E-2</v>
      </c>
      <c r="P78" s="45">
        <v>1.3</v>
      </c>
      <c r="Q78" s="46">
        <v>0.11482000000000001</v>
      </c>
      <c r="R78" s="46">
        <v>0.1139</v>
      </c>
      <c r="S78" s="46">
        <v>0.11792999999999999</v>
      </c>
      <c r="T78" s="46">
        <v>0.12475</v>
      </c>
      <c r="U78" s="46">
        <v>0.13103000000000001</v>
      </c>
      <c r="V78" s="46">
        <v>0.13549</v>
      </c>
      <c r="W78" s="46">
        <v>0.14180000000000001</v>
      </c>
      <c r="X78" s="46">
        <v>0.14774999999999999</v>
      </c>
      <c r="Y78" s="46">
        <v>0.15260000000000001</v>
      </c>
      <c r="Z78" s="46">
        <v>0.15597</v>
      </c>
      <c r="AA78" s="46"/>
      <c r="AB78" s="46"/>
      <c r="AC78" s="46"/>
      <c r="AD78" s="46"/>
      <c r="AE78" s="46"/>
      <c r="AF78" s="46"/>
      <c r="AG78" s="46"/>
      <c r="AH78" s="46"/>
      <c r="AI78" s="4"/>
      <c r="AJ78" s="45">
        <v>1.3</v>
      </c>
      <c r="AK78" s="91">
        <v>0.16730507359695126</v>
      </c>
      <c r="AL78" s="91">
        <v>0.12685479770707808</v>
      </c>
      <c r="AM78" s="91">
        <v>0.1541533373680915</v>
      </c>
      <c r="AN78" s="91">
        <v>0.13898175425462284</v>
      </c>
      <c r="AO78" s="91">
        <v>0.1460442455038293</v>
      </c>
      <c r="AP78" s="91">
        <v>0.15871727440899744</v>
      </c>
      <c r="AQ78" s="91">
        <v>0.16817996166039273</v>
      </c>
      <c r="AR78" s="91">
        <v>0.17237382787121358</v>
      </c>
      <c r="AS78" s="91">
        <v>0.17418335810043961</v>
      </c>
      <c r="AT78" s="91">
        <v>0.17459863677977283</v>
      </c>
      <c r="AU78" s="92"/>
      <c r="AV78" s="92"/>
      <c r="AW78" s="92"/>
      <c r="AX78" s="92"/>
      <c r="AY78" s="92"/>
      <c r="AZ78" s="92"/>
      <c r="BA78" s="92"/>
      <c r="BB78" s="92"/>
      <c r="BD78" s="45">
        <v>1.3</v>
      </c>
      <c r="BE78" s="91">
        <v>0.11853100866522971</v>
      </c>
      <c r="BF78" s="91">
        <v>0.11186957697489254</v>
      </c>
      <c r="BG78" s="91">
        <v>0.12427204283079528</v>
      </c>
      <c r="BH78" s="91">
        <v>0.12806125599110918</v>
      </c>
      <c r="BI78" s="91">
        <v>0.13303602351690125</v>
      </c>
      <c r="BJ78" s="91">
        <v>0.13849722132289374</v>
      </c>
      <c r="BK78" s="91">
        <v>0.14463719626248783</v>
      </c>
      <c r="BL78" s="91">
        <v>0.15003678942171586</v>
      </c>
      <c r="BM78" s="91">
        <v>0.15447431006816678</v>
      </c>
      <c r="BN78" s="91">
        <v>0.15766377524526978</v>
      </c>
      <c r="BO78" s="92"/>
      <c r="BP78" s="92"/>
      <c r="BQ78" s="92"/>
      <c r="BR78" s="92"/>
      <c r="BS78" s="92"/>
      <c r="BT78" s="92"/>
      <c r="BU78" s="92"/>
      <c r="BV78" s="92"/>
      <c r="BX78" s="142">
        <v>3</v>
      </c>
      <c r="BY78" s="142">
        <v>0.15392008229415452</v>
      </c>
      <c r="BZ78" s="142">
        <v>0.45100639451978147</v>
      </c>
      <c r="CA78" s="142">
        <v>-0.32037043916733321</v>
      </c>
      <c r="CC78" s="4"/>
      <c r="CD78" s="4"/>
      <c r="CE78" s="4"/>
      <c r="CF78" s="4"/>
      <c r="CG78" s="4"/>
      <c r="CH78" s="4"/>
      <c r="CI78" s="4"/>
      <c r="CJ78" s="4"/>
      <c r="CK78" s="4"/>
      <c r="CL78" s="4"/>
    </row>
    <row r="79" spans="1:90" ht="21" customHeight="1" x14ac:dyDescent="0.55000000000000004">
      <c r="A79" s="45">
        <v>0.75</v>
      </c>
      <c r="B79" s="47">
        <v>1.7849993710000001E-2</v>
      </c>
      <c r="C79" s="45">
        <v>0.75</v>
      </c>
      <c r="D79" s="47">
        <v>1.7849993710000001E-2</v>
      </c>
      <c r="E79" s="45">
        <v>0.75</v>
      </c>
      <c r="F79" s="47">
        <v>1.7849993710000001E-2</v>
      </c>
      <c r="G79" s="45">
        <v>0.75</v>
      </c>
      <c r="H79" s="47">
        <v>1.7849993710000001E-2</v>
      </c>
      <c r="I79" s="45">
        <v>0.75</v>
      </c>
      <c r="J79" s="47">
        <v>1.7849993710000001E-2</v>
      </c>
      <c r="K79" s="45">
        <v>0.75</v>
      </c>
      <c r="L79" s="47">
        <v>1.7849993710000001E-2</v>
      </c>
      <c r="P79" s="45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29"/>
      <c r="AJ79" s="45"/>
      <c r="AK79" s="91"/>
      <c r="AL79" s="91"/>
      <c r="AM79" s="91"/>
      <c r="AN79" s="91"/>
      <c r="AO79" s="91"/>
      <c r="AP79" s="91"/>
      <c r="AQ79" s="91"/>
      <c r="AR79" s="91"/>
      <c r="AS79" s="91"/>
      <c r="AT79" s="91"/>
      <c r="AU79" s="92"/>
      <c r="AV79" s="92"/>
      <c r="AW79" s="92"/>
      <c r="AX79" s="92"/>
      <c r="AY79" s="92"/>
      <c r="AZ79" s="92"/>
      <c r="BA79" s="92"/>
      <c r="BB79" s="92"/>
      <c r="BD79" s="45"/>
      <c r="BE79" s="92"/>
      <c r="BF79" s="92"/>
      <c r="BG79" s="92"/>
      <c r="BH79" s="92"/>
      <c r="BI79" s="92"/>
      <c r="BJ79" s="92"/>
      <c r="BK79" s="92"/>
      <c r="BL79" s="92"/>
      <c r="BM79" s="92"/>
      <c r="BN79" s="92"/>
      <c r="BO79" s="92"/>
      <c r="BP79" s="92"/>
      <c r="BQ79" s="92"/>
      <c r="BR79" s="92"/>
      <c r="BS79" s="92"/>
      <c r="BT79" s="92"/>
      <c r="BU79" s="92"/>
      <c r="BV79" s="92"/>
      <c r="BX79" s="142">
        <v>3.3333333333333335</v>
      </c>
      <c r="BY79" s="142">
        <v>0.15575562199693405</v>
      </c>
      <c r="BZ79" s="142">
        <v>0.42947354670550858</v>
      </c>
      <c r="CA79" s="142">
        <v>-0.2915123778951409</v>
      </c>
      <c r="CC79" s="4"/>
      <c r="CD79" s="4"/>
      <c r="CE79" s="4"/>
      <c r="CF79" s="4"/>
      <c r="CG79" s="4"/>
      <c r="CH79" s="4"/>
      <c r="CI79" s="4"/>
      <c r="CJ79" s="4"/>
      <c r="CK79" s="4"/>
      <c r="CL79" s="4"/>
    </row>
    <row r="80" spans="1:90" s="4" customFormat="1" ht="21" customHeight="1" x14ac:dyDescent="0.55000000000000004">
      <c r="A80" s="45">
        <v>1</v>
      </c>
      <c r="B80" s="48">
        <v>1.8424997330000002E-2</v>
      </c>
      <c r="C80" s="45">
        <v>1</v>
      </c>
      <c r="D80" s="48">
        <v>1.8424997330000002E-2</v>
      </c>
      <c r="E80" s="45">
        <v>1</v>
      </c>
      <c r="F80" s="48">
        <v>1.8424997330000002E-2</v>
      </c>
      <c r="G80" s="45">
        <v>1</v>
      </c>
      <c r="H80" s="48">
        <v>1.8424997330000002E-2</v>
      </c>
      <c r="I80" s="45">
        <v>1</v>
      </c>
      <c r="J80" s="48">
        <v>1.8424997330000002E-2</v>
      </c>
      <c r="K80" s="45">
        <v>1</v>
      </c>
      <c r="L80" s="48">
        <v>1.8424997330000002E-2</v>
      </c>
      <c r="M80" s="1"/>
      <c r="N80" s="1"/>
      <c r="O80" s="1"/>
      <c r="P80" s="45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29"/>
      <c r="AJ80" s="45"/>
      <c r="AK80" s="91"/>
      <c r="AL80" s="91"/>
      <c r="AM80" s="91"/>
      <c r="AN80" s="91"/>
      <c r="AO80" s="91"/>
      <c r="AP80" s="91"/>
      <c r="AQ80" s="91"/>
      <c r="AR80" s="91"/>
      <c r="AS80" s="91"/>
      <c r="AT80" s="91"/>
      <c r="AU80" s="92"/>
      <c r="AV80" s="92"/>
      <c r="AW80" s="92"/>
      <c r="AX80" s="92"/>
      <c r="AY80" s="92"/>
      <c r="AZ80" s="92"/>
      <c r="BA80" s="92"/>
      <c r="BB80" s="92"/>
      <c r="BD80" s="45"/>
      <c r="BE80" s="92"/>
      <c r="BF80" s="92"/>
      <c r="BG80" s="92"/>
      <c r="BH80" s="92"/>
      <c r="BI80" s="92"/>
      <c r="BJ80" s="92"/>
      <c r="BK80" s="92"/>
      <c r="BL80" s="92"/>
      <c r="BM80" s="92"/>
      <c r="BN80" s="92"/>
      <c r="BO80" s="92"/>
      <c r="BP80" s="92"/>
      <c r="BQ80" s="92"/>
      <c r="BR80" s="92"/>
      <c r="BS80" s="92"/>
      <c r="BT80" s="92"/>
      <c r="BU80" s="92"/>
      <c r="BV80" s="92"/>
      <c r="BX80" s="142"/>
      <c r="BY80" s="142"/>
      <c r="BZ80" s="142"/>
      <c r="CA80" s="142"/>
    </row>
    <row r="81" spans="1:90" ht="21" customHeight="1" x14ac:dyDescent="0.55000000000000004">
      <c r="A81" s="45">
        <v>2</v>
      </c>
      <c r="B81" s="48">
        <v>2.0074999999999999E-2</v>
      </c>
      <c r="C81" s="45">
        <v>2</v>
      </c>
      <c r="D81" s="48">
        <v>2.0074999999999999E-2</v>
      </c>
      <c r="E81" s="45">
        <v>2</v>
      </c>
      <c r="F81" s="48">
        <v>2.0074999999999999E-2</v>
      </c>
      <c r="G81" s="45">
        <v>2</v>
      </c>
      <c r="H81" s="48">
        <v>2.0074999999999999E-2</v>
      </c>
      <c r="I81" s="45">
        <v>2</v>
      </c>
      <c r="J81" s="48">
        <v>2.0074999999999999E-2</v>
      </c>
      <c r="K81" s="45">
        <v>2</v>
      </c>
      <c r="L81" s="48">
        <v>2.0074999999999999E-2</v>
      </c>
      <c r="P81" s="45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29"/>
      <c r="AJ81" s="45"/>
      <c r="AK81" s="91"/>
      <c r="AL81" s="91"/>
      <c r="AM81" s="91"/>
      <c r="AN81" s="91"/>
      <c r="AO81" s="91"/>
      <c r="AP81" s="91"/>
      <c r="AQ81" s="91"/>
      <c r="AR81" s="91"/>
      <c r="AS81" s="91"/>
      <c r="AT81" s="91"/>
      <c r="AU81" s="92"/>
      <c r="AV81" s="92"/>
      <c r="AW81" s="92"/>
      <c r="AX81" s="92"/>
      <c r="AY81" s="92"/>
      <c r="AZ81" s="92"/>
      <c r="BA81" s="92"/>
      <c r="BB81" s="92"/>
      <c r="BD81" s="45"/>
      <c r="BE81" s="92"/>
      <c r="BF81" s="92"/>
      <c r="BG81" s="92"/>
      <c r="BH81" s="92"/>
      <c r="BI81" s="92"/>
      <c r="BJ81" s="92"/>
      <c r="BK81" s="92"/>
      <c r="BL81" s="92"/>
      <c r="BM81" s="92"/>
      <c r="BN81" s="92"/>
      <c r="BO81" s="92"/>
      <c r="BP81" s="92"/>
      <c r="BQ81" s="92"/>
      <c r="BR81" s="92"/>
      <c r="BS81" s="92"/>
      <c r="BT81" s="92"/>
      <c r="BU81" s="92"/>
      <c r="BV81" s="92"/>
      <c r="BX81" s="142"/>
      <c r="BY81" s="142"/>
      <c r="BZ81" s="142"/>
      <c r="CA81" s="142"/>
      <c r="CC81" s="4"/>
      <c r="CD81" s="4"/>
      <c r="CE81" s="4"/>
      <c r="CF81" s="4"/>
      <c r="CG81" s="4"/>
      <c r="CH81" s="4"/>
      <c r="CI81" s="4"/>
      <c r="CJ81" s="4"/>
      <c r="CK81" s="4"/>
      <c r="CL81" s="4"/>
    </row>
    <row r="82" spans="1:90" s="4" customFormat="1" ht="21" customHeight="1" x14ac:dyDescent="0.55000000000000004">
      <c r="A82" s="45">
        <v>3</v>
      </c>
      <c r="B82" s="48">
        <v>2.1100000000000001E-2</v>
      </c>
      <c r="C82" s="45">
        <v>3</v>
      </c>
      <c r="D82" s="48">
        <v>2.1100000000000001E-2</v>
      </c>
      <c r="E82" s="45">
        <v>3</v>
      </c>
      <c r="F82" s="48">
        <v>2.1100000000000001E-2</v>
      </c>
      <c r="G82" s="45">
        <v>3</v>
      </c>
      <c r="H82" s="48">
        <v>2.1100000000000001E-2</v>
      </c>
      <c r="I82" s="45">
        <v>3</v>
      </c>
      <c r="J82" s="48">
        <v>2.1100000000000001E-2</v>
      </c>
      <c r="K82" s="45">
        <v>3</v>
      </c>
      <c r="L82" s="48">
        <v>2.1100000000000001E-2</v>
      </c>
      <c r="M82" s="1"/>
      <c r="N82" s="1"/>
      <c r="O82" s="1"/>
      <c r="P82" s="45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29"/>
      <c r="AJ82" s="45"/>
      <c r="AK82" s="91"/>
      <c r="AL82" s="91"/>
      <c r="AM82" s="91"/>
      <c r="AN82" s="91"/>
      <c r="AO82" s="91"/>
      <c r="AP82" s="91"/>
      <c r="AQ82" s="91"/>
      <c r="AR82" s="91"/>
      <c r="AS82" s="91"/>
      <c r="AT82" s="91"/>
      <c r="AU82" s="92"/>
      <c r="AV82" s="92"/>
      <c r="AW82" s="92"/>
      <c r="AX82" s="92"/>
      <c r="AY82" s="92"/>
      <c r="AZ82" s="92"/>
      <c r="BA82" s="92"/>
      <c r="BB82" s="92"/>
      <c r="BD82" s="45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92"/>
      <c r="BU82" s="92"/>
      <c r="BV82" s="92"/>
      <c r="BX82" s="142"/>
      <c r="BY82" s="142"/>
      <c r="BZ82" s="142"/>
      <c r="CA82" s="142"/>
    </row>
    <row r="83" spans="1:90" s="4" customFormat="1" ht="21" customHeight="1" x14ac:dyDescent="0.55000000000000004">
      <c r="A83" s="45">
        <v>4</v>
      </c>
      <c r="B83" s="49">
        <v>2.18E-2</v>
      </c>
      <c r="C83" s="45">
        <v>4</v>
      </c>
      <c r="D83" s="49">
        <v>2.18E-2</v>
      </c>
      <c r="E83" s="45">
        <v>4</v>
      </c>
      <c r="F83" s="49">
        <v>2.18E-2</v>
      </c>
      <c r="G83" s="45">
        <v>4</v>
      </c>
      <c r="H83" s="49">
        <v>2.18E-2</v>
      </c>
      <c r="I83" s="45">
        <v>4</v>
      </c>
      <c r="J83" s="49">
        <v>2.18E-2</v>
      </c>
      <c r="K83" s="45">
        <v>4</v>
      </c>
      <c r="L83" s="49">
        <v>2.18E-2</v>
      </c>
      <c r="M83" s="1"/>
      <c r="N83" s="1"/>
      <c r="O83" s="1"/>
      <c r="P83" s="45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29"/>
      <c r="AJ83" s="45"/>
      <c r="AK83" s="91"/>
      <c r="AL83" s="91"/>
      <c r="AM83" s="91"/>
      <c r="AN83" s="91"/>
      <c r="AO83" s="91"/>
      <c r="AP83" s="91"/>
      <c r="AQ83" s="91"/>
      <c r="AR83" s="91"/>
      <c r="AS83" s="91"/>
      <c r="AT83" s="91"/>
      <c r="AU83" s="92"/>
      <c r="AV83" s="92"/>
      <c r="AW83" s="92"/>
      <c r="AX83" s="92"/>
      <c r="AY83" s="92"/>
      <c r="AZ83" s="92"/>
      <c r="BA83" s="92"/>
      <c r="BB83" s="92"/>
      <c r="BD83" s="45"/>
      <c r="BE83" s="92"/>
      <c r="BF83" s="92"/>
      <c r="BG83" s="92"/>
      <c r="BH83" s="92"/>
      <c r="BI83" s="92"/>
      <c r="BJ83" s="92"/>
      <c r="BK83" s="92"/>
      <c r="BL83" s="92"/>
      <c r="BM83" s="92"/>
      <c r="BN83" s="92"/>
      <c r="BO83" s="92"/>
      <c r="BP83" s="92"/>
      <c r="BQ83" s="92"/>
      <c r="BR83" s="92"/>
      <c r="BS83" s="92"/>
      <c r="BT83" s="92"/>
      <c r="BU83" s="92"/>
      <c r="BV83" s="92"/>
      <c r="BX83" s="142"/>
      <c r="BY83" s="142"/>
      <c r="BZ83" s="142"/>
      <c r="CA83" s="142"/>
    </row>
    <row r="84" spans="1:90" s="4" customFormat="1" ht="21" customHeight="1" x14ac:dyDescent="0.55000000000000004">
      <c r="A84" s="45">
        <v>5</v>
      </c>
      <c r="B84" s="49">
        <v>2.2280000000000001E-2</v>
      </c>
      <c r="C84" s="45">
        <v>5</v>
      </c>
      <c r="D84" s="49">
        <v>2.2280000000000001E-2</v>
      </c>
      <c r="E84" s="45">
        <v>5</v>
      </c>
      <c r="F84" s="49">
        <v>2.2280000000000001E-2</v>
      </c>
      <c r="G84" s="45">
        <v>5</v>
      </c>
      <c r="H84" s="49">
        <v>2.2280000000000001E-2</v>
      </c>
      <c r="I84" s="45">
        <v>5</v>
      </c>
      <c r="J84" s="49">
        <v>2.2280000000000001E-2</v>
      </c>
      <c r="K84" s="45">
        <v>5</v>
      </c>
      <c r="L84" s="49">
        <v>2.2280000000000001E-2</v>
      </c>
      <c r="M84" s="1"/>
      <c r="N84" s="1"/>
      <c r="O84" s="1"/>
      <c r="P84" s="45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29"/>
      <c r="AJ84" s="45"/>
      <c r="AK84" s="91"/>
      <c r="AL84" s="91"/>
      <c r="AM84" s="91"/>
      <c r="AN84" s="91"/>
      <c r="AO84" s="91"/>
      <c r="AP84" s="91"/>
      <c r="AQ84" s="91"/>
      <c r="AR84" s="91"/>
      <c r="AS84" s="91"/>
      <c r="AT84" s="91"/>
      <c r="AU84" s="92"/>
      <c r="AV84" s="92"/>
      <c r="AW84" s="92"/>
      <c r="AX84" s="92"/>
      <c r="AY84" s="92"/>
      <c r="AZ84" s="92"/>
      <c r="BA84" s="92"/>
      <c r="BB84" s="92"/>
      <c r="BD84" s="45"/>
      <c r="BE84" s="92"/>
      <c r="BF84" s="92"/>
      <c r="BG84" s="92"/>
      <c r="BH84" s="92"/>
      <c r="BI84" s="92"/>
      <c r="BJ84" s="92"/>
      <c r="BK84" s="92"/>
      <c r="BL84" s="92"/>
      <c r="BM84" s="92"/>
      <c r="BN84" s="92"/>
      <c r="BO84" s="92"/>
      <c r="BP84" s="92"/>
      <c r="BQ84" s="92"/>
      <c r="BR84" s="92"/>
      <c r="BS84" s="92"/>
      <c r="BT84" s="92"/>
      <c r="BU84" s="92"/>
      <c r="BV84" s="92"/>
      <c r="BX84" s="142"/>
      <c r="BY84" s="142"/>
      <c r="BZ84" s="142"/>
      <c r="CA84" s="142"/>
    </row>
    <row r="85" spans="1:90" s="4" customFormat="1" ht="21" customHeight="1" x14ac:dyDescent="0.55000000000000004">
      <c r="A85" s="50">
        <v>7</v>
      </c>
      <c r="B85" s="47">
        <v>2.2800000000000001E-2</v>
      </c>
      <c r="C85" s="50">
        <v>7</v>
      </c>
      <c r="D85" s="47">
        <v>2.2800000000000001E-2</v>
      </c>
      <c r="E85" s="50">
        <v>7</v>
      </c>
      <c r="F85" s="47">
        <v>2.2800000000000001E-2</v>
      </c>
      <c r="G85" s="50">
        <v>7</v>
      </c>
      <c r="H85" s="47">
        <v>2.2800000000000001E-2</v>
      </c>
      <c r="I85" s="50">
        <v>7</v>
      </c>
      <c r="J85" s="47">
        <v>2.2800000000000001E-2</v>
      </c>
      <c r="K85" s="50">
        <v>7</v>
      </c>
      <c r="L85" s="47">
        <v>2.2800000000000001E-2</v>
      </c>
      <c r="M85" s="1"/>
      <c r="N85" s="1"/>
      <c r="O85" s="1"/>
      <c r="P85" s="45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29"/>
      <c r="AJ85" s="45"/>
      <c r="AK85" s="91"/>
      <c r="AL85" s="91"/>
      <c r="AM85" s="91"/>
      <c r="AN85" s="91"/>
      <c r="AO85" s="91"/>
      <c r="AP85" s="91"/>
      <c r="AQ85" s="91"/>
      <c r="AR85" s="91"/>
      <c r="AS85" s="91"/>
      <c r="AT85" s="91"/>
      <c r="AU85" s="92"/>
      <c r="AV85" s="92"/>
      <c r="AW85" s="92"/>
      <c r="AX85" s="92"/>
      <c r="AY85" s="92"/>
      <c r="AZ85" s="92"/>
      <c r="BA85" s="92"/>
      <c r="BB85" s="92"/>
      <c r="BD85" s="45"/>
      <c r="BE85" s="92"/>
      <c r="BF85" s="92"/>
      <c r="BG85" s="92"/>
      <c r="BH85" s="92"/>
      <c r="BI85" s="92"/>
      <c r="BJ85" s="92"/>
      <c r="BK85" s="92"/>
      <c r="BL85" s="92"/>
      <c r="BM85" s="92"/>
      <c r="BN85" s="92"/>
      <c r="BO85" s="92"/>
      <c r="BP85" s="92"/>
      <c r="BQ85" s="92"/>
      <c r="BR85" s="92"/>
      <c r="BS85" s="92"/>
      <c r="BT85" s="92"/>
      <c r="BU85" s="92"/>
      <c r="BV85" s="92"/>
      <c r="BX85" s="142"/>
      <c r="BY85" s="142"/>
      <c r="BZ85" s="142"/>
      <c r="CA85" s="142"/>
    </row>
    <row r="86" spans="1:90" s="4" customFormat="1" ht="21" customHeight="1" x14ac:dyDescent="0.55000000000000004">
      <c r="A86" s="50">
        <v>10</v>
      </c>
      <c r="B86" s="47">
        <v>2.3525000000000001E-2</v>
      </c>
      <c r="C86" s="50">
        <v>10</v>
      </c>
      <c r="D86" s="47">
        <v>2.3525000000000001E-2</v>
      </c>
      <c r="E86" s="50">
        <v>10</v>
      </c>
      <c r="F86" s="47">
        <v>2.3525000000000001E-2</v>
      </c>
      <c r="G86" s="50">
        <v>10</v>
      </c>
      <c r="H86" s="47">
        <v>2.3525000000000001E-2</v>
      </c>
      <c r="I86" s="50">
        <v>10</v>
      </c>
      <c r="J86" s="47">
        <v>2.3525000000000001E-2</v>
      </c>
      <c r="K86" s="50">
        <v>10</v>
      </c>
      <c r="L86" s="47">
        <v>2.3525000000000001E-2</v>
      </c>
      <c r="M86" s="1"/>
      <c r="N86" s="1"/>
      <c r="O86" s="1"/>
      <c r="P86" s="45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29"/>
      <c r="AJ86" s="45"/>
      <c r="AK86" s="91"/>
      <c r="AL86" s="91"/>
      <c r="AM86" s="91"/>
      <c r="AN86" s="91"/>
      <c r="AO86" s="91"/>
      <c r="AP86" s="91"/>
      <c r="AQ86" s="91"/>
      <c r="AR86" s="91"/>
      <c r="AS86" s="91"/>
      <c r="AT86" s="91"/>
      <c r="AU86" s="92"/>
      <c r="AV86" s="92"/>
      <c r="AW86" s="92"/>
      <c r="AX86" s="92"/>
      <c r="AY86" s="92"/>
      <c r="AZ86" s="92"/>
      <c r="BA86" s="92"/>
      <c r="BB86" s="92"/>
      <c r="BD86" s="45"/>
      <c r="BE86" s="92"/>
      <c r="BF86" s="92"/>
      <c r="BG86" s="92"/>
      <c r="BH86" s="92"/>
      <c r="BI86" s="92"/>
      <c r="BJ86" s="92"/>
      <c r="BK86" s="92"/>
      <c r="BL86" s="92"/>
      <c r="BM86" s="92"/>
      <c r="BN86" s="92"/>
      <c r="BO86" s="92"/>
      <c r="BP86" s="92"/>
      <c r="BQ86" s="92"/>
      <c r="BR86" s="92"/>
      <c r="BS86" s="92"/>
      <c r="BT86" s="92"/>
      <c r="BU86" s="92"/>
      <c r="BV86" s="92"/>
      <c r="BX86" s="142"/>
      <c r="BY86" s="142"/>
      <c r="BZ86" s="142"/>
      <c r="CA86" s="142"/>
    </row>
    <row r="87" spans="1:90" s="4" customFormat="1" ht="21" customHeight="1" x14ac:dyDescent="0.55000000000000004">
      <c r="A87" s="45"/>
      <c r="B87" s="49"/>
      <c r="C87" s="45"/>
      <c r="D87" s="49"/>
      <c r="E87" s="45"/>
      <c r="F87" s="49"/>
      <c r="G87" s="45"/>
      <c r="H87" s="49"/>
      <c r="I87" s="45"/>
      <c r="J87" s="49"/>
      <c r="K87" s="45"/>
      <c r="L87" s="49"/>
      <c r="M87" s="1"/>
      <c r="N87" s="1"/>
      <c r="O87" s="1"/>
      <c r="P87" s="45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29"/>
      <c r="AJ87" s="45"/>
      <c r="AK87" s="91"/>
      <c r="AL87" s="91"/>
      <c r="AM87" s="91"/>
      <c r="AN87" s="91"/>
      <c r="AO87" s="91"/>
      <c r="AP87" s="91"/>
      <c r="AQ87" s="91"/>
      <c r="AR87" s="91"/>
      <c r="AS87" s="91"/>
      <c r="AT87" s="91"/>
      <c r="AU87" s="92"/>
      <c r="AV87" s="92"/>
      <c r="AW87" s="92"/>
      <c r="AX87" s="92"/>
      <c r="AY87" s="92"/>
      <c r="AZ87" s="92"/>
      <c r="BA87" s="92"/>
      <c r="BB87" s="92"/>
      <c r="BD87" s="45"/>
      <c r="BE87" s="92"/>
      <c r="BF87" s="92"/>
      <c r="BG87" s="92"/>
      <c r="BH87" s="92"/>
      <c r="BI87" s="92"/>
      <c r="BJ87" s="92"/>
      <c r="BK87" s="92"/>
      <c r="BL87" s="92"/>
      <c r="BM87" s="92"/>
      <c r="BN87" s="92"/>
      <c r="BO87" s="92"/>
      <c r="BP87" s="92"/>
      <c r="BQ87" s="92"/>
      <c r="BR87" s="92"/>
      <c r="BS87" s="92"/>
      <c r="BT87" s="92"/>
      <c r="BU87" s="92"/>
      <c r="BV87" s="92"/>
      <c r="BX87" s="142"/>
      <c r="BY87" s="142"/>
      <c r="BZ87" s="142"/>
      <c r="CA87" s="142"/>
    </row>
    <row r="88" spans="1:90" s="4" customFormat="1" ht="21" customHeight="1" x14ac:dyDescent="0.55000000000000004">
      <c r="A88" s="45"/>
      <c r="B88" s="48"/>
      <c r="C88" s="45"/>
      <c r="D88" s="48"/>
      <c r="E88" s="45"/>
      <c r="F88" s="48"/>
      <c r="G88" s="45"/>
      <c r="H88" s="48"/>
      <c r="I88" s="45"/>
      <c r="J88" s="48"/>
      <c r="K88" s="45"/>
      <c r="L88" s="48"/>
      <c r="M88" s="1"/>
      <c r="N88" s="1"/>
      <c r="O88" s="1"/>
      <c r="P88" s="45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1"/>
      <c r="AJ88" s="45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W88" s="92"/>
      <c r="AX88" s="92"/>
      <c r="AY88" s="92"/>
      <c r="AZ88" s="92"/>
      <c r="BA88" s="92"/>
      <c r="BB88" s="92"/>
      <c r="BD88" s="45"/>
      <c r="BE88" s="92"/>
      <c r="BF88" s="92"/>
      <c r="BG88" s="92"/>
      <c r="BH88" s="92"/>
      <c r="BI88" s="92"/>
      <c r="BJ88" s="92"/>
      <c r="BK88" s="92"/>
      <c r="BL88" s="92"/>
      <c r="BM88" s="92"/>
      <c r="BN88" s="92"/>
      <c r="BO88" s="92"/>
      <c r="BP88" s="92"/>
      <c r="BQ88" s="92"/>
      <c r="BR88" s="92"/>
      <c r="BS88" s="92"/>
      <c r="BT88" s="92"/>
      <c r="BU88" s="92"/>
      <c r="BV88" s="92"/>
      <c r="BX88" s="142"/>
      <c r="BY88" s="142"/>
      <c r="BZ88" s="142"/>
      <c r="CA88" s="142"/>
      <c r="CC88" s="1"/>
      <c r="CD88" s="1"/>
      <c r="CE88" s="1"/>
      <c r="CF88" s="1"/>
      <c r="CG88" s="1"/>
      <c r="CH88" s="1"/>
      <c r="CI88" s="1"/>
      <c r="CJ88" s="1"/>
      <c r="CK88" s="1"/>
      <c r="CL88" s="1"/>
    </row>
    <row r="89" spans="1:90" s="4" customFormat="1" ht="21" customHeight="1" x14ac:dyDescent="0.55000000000000004">
      <c r="A89" s="45"/>
      <c r="B89" s="49"/>
      <c r="C89" s="45"/>
      <c r="D89" s="49"/>
      <c r="E89" s="45"/>
      <c r="F89" s="49"/>
      <c r="G89" s="45"/>
      <c r="H89" s="49"/>
      <c r="I89" s="45"/>
      <c r="J89" s="49"/>
      <c r="K89" s="45"/>
      <c r="L89" s="49"/>
      <c r="M89" s="1"/>
      <c r="N89" s="1"/>
      <c r="O89" s="1"/>
      <c r="P89" s="45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J89" s="45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W89" s="92"/>
      <c r="AX89" s="92"/>
      <c r="AY89" s="92"/>
      <c r="AZ89" s="92"/>
      <c r="BA89" s="92"/>
      <c r="BB89" s="92"/>
      <c r="BD89" s="45"/>
      <c r="BE89" s="92"/>
      <c r="BF89" s="92"/>
      <c r="BG89" s="92"/>
      <c r="BH89" s="92"/>
      <c r="BI89" s="92"/>
      <c r="BJ89" s="92"/>
      <c r="BK89" s="92"/>
      <c r="BL89" s="92"/>
      <c r="BM89" s="92"/>
      <c r="BN89" s="92"/>
      <c r="BO89" s="92"/>
      <c r="BP89" s="92"/>
      <c r="BQ89" s="92"/>
      <c r="BR89" s="92"/>
      <c r="BS89" s="92"/>
      <c r="BT89" s="92"/>
      <c r="BU89" s="92"/>
      <c r="BV89" s="92"/>
      <c r="BX89" s="142"/>
      <c r="BY89" s="142"/>
      <c r="BZ89" s="142"/>
      <c r="CA89" s="142"/>
    </row>
    <row r="90" spans="1:90" s="4" customFormat="1" ht="21" customHeight="1" x14ac:dyDescent="0.55000000000000004">
      <c r="A90" s="45"/>
      <c r="B90" s="49"/>
      <c r="C90" s="45"/>
      <c r="D90" s="49"/>
      <c r="E90" s="45"/>
      <c r="F90" s="49"/>
      <c r="G90" s="45"/>
      <c r="H90" s="49"/>
      <c r="I90" s="45"/>
      <c r="J90" s="49"/>
      <c r="K90" s="45"/>
      <c r="L90" s="49"/>
      <c r="M90" s="1"/>
      <c r="N90" s="1"/>
      <c r="O90" s="1"/>
      <c r="P90" s="45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J90" s="45"/>
      <c r="AK90" s="92"/>
      <c r="AL90" s="92"/>
      <c r="AM90" s="92"/>
      <c r="AN90" s="92"/>
      <c r="AO90" s="92"/>
      <c r="AP90" s="92"/>
      <c r="AQ90" s="92"/>
      <c r="AR90" s="92"/>
      <c r="AS90" s="92"/>
      <c r="AT90" s="92"/>
      <c r="AU90" s="92"/>
      <c r="AV90" s="92"/>
      <c r="AW90" s="92"/>
      <c r="AX90" s="92"/>
      <c r="AY90" s="92"/>
      <c r="AZ90" s="92"/>
      <c r="BA90" s="92"/>
      <c r="BB90" s="92"/>
      <c r="BD90" s="45"/>
      <c r="BE90" s="92"/>
      <c r="BF90" s="92"/>
      <c r="BG90" s="92"/>
      <c r="BH90" s="92"/>
      <c r="BI90" s="92"/>
      <c r="BJ90" s="92"/>
      <c r="BK90" s="92"/>
      <c r="BL90" s="92"/>
      <c r="BM90" s="92"/>
      <c r="BN90" s="92"/>
      <c r="BO90" s="92"/>
      <c r="BP90" s="92"/>
      <c r="BQ90" s="92"/>
      <c r="BR90" s="92"/>
      <c r="BS90" s="92"/>
      <c r="BT90" s="92"/>
      <c r="BU90" s="92"/>
      <c r="BV90" s="92"/>
      <c r="BX90" s="142"/>
      <c r="BY90" s="142"/>
      <c r="BZ90" s="142"/>
      <c r="CA90" s="142"/>
    </row>
    <row r="91" spans="1:90" s="4" customFormat="1" ht="21" customHeight="1" x14ac:dyDescent="0.55000000000000004">
      <c r="A91" s="50"/>
      <c r="B91" s="47"/>
      <c r="C91" s="50"/>
      <c r="D91" s="47"/>
      <c r="E91" s="50"/>
      <c r="F91" s="47"/>
      <c r="G91" s="50"/>
      <c r="H91" s="47"/>
      <c r="I91" s="50"/>
      <c r="J91" s="47"/>
      <c r="K91" s="50"/>
      <c r="L91" s="47"/>
      <c r="M91" s="1"/>
      <c r="N91" s="1"/>
      <c r="O91" s="1"/>
      <c r="P91" s="45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J91" s="45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W91" s="92"/>
      <c r="AX91" s="92"/>
      <c r="AY91" s="92"/>
      <c r="AZ91" s="92"/>
      <c r="BA91" s="92"/>
      <c r="BB91" s="92"/>
      <c r="BD91" s="45"/>
      <c r="BE91" s="92"/>
      <c r="BF91" s="92"/>
      <c r="BG91" s="92"/>
      <c r="BH91" s="92"/>
      <c r="BI91" s="92"/>
      <c r="BJ91" s="92"/>
      <c r="BK91" s="92"/>
      <c r="BL91" s="92"/>
      <c r="BM91" s="92"/>
      <c r="BN91" s="92"/>
      <c r="BO91" s="92"/>
      <c r="BP91" s="92"/>
      <c r="BQ91" s="92"/>
      <c r="BR91" s="92"/>
      <c r="BS91" s="92"/>
      <c r="BT91" s="92"/>
      <c r="BU91" s="92"/>
      <c r="BV91" s="92"/>
      <c r="BX91" s="142"/>
      <c r="BY91" s="142"/>
      <c r="BZ91" s="142"/>
      <c r="CA91" s="142"/>
    </row>
    <row r="92" spans="1:90" s="4" customFormat="1" ht="21" customHeight="1" x14ac:dyDescent="0.55000000000000004">
      <c r="A92" s="50"/>
      <c r="B92" s="47"/>
      <c r="C92" s="50"/>
      <c r="D92" s="47"/>
      <c r="E92" s="50"/>
      <c r="F92" s="47"/>
      <c r="G92" s="50"/>
      <c r="H92" s="47"/>
      <c r="I92" s="50"/>
      <c r="J92" s="47"/>
      <c r="K92" s="50"/>
      <c r="L92" s="47"/>
      <c r="M92" s="1"/>
      <c r="N92" s="1"/>
      <c r="O92" s="1"/>
      <c r="P92" s="45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J92" s="45"/>
      <c r="AK92" s="92"/>
      <c r="AL92" s="92"/>
      <c r="AM92" s="92"/>
      <c r="AN92" s="92"/>
      <c r="AO92" s="92"/>
      <c r="AP92" s="92"/>
      <c r="AQ92" s="92"/>
      <c r="AR92" s="92"/>
      <c r="AS92" s="92"/>
      <c r="AT92" s="92"/>
      <c r="AU92" s="92"/>
      <c r="AV92" s="92"/>
      <c r="AW92" s="92"/>
      <c r="AX92" s="92"/>
      <c r="AY92" s="92"/>
      <c r="AZ92" s="92"/>
      <c r="BA92" s="92"/>
      <c r="BB92" s="92"/>
      <c r="BD92" s="45"/>
      <c r="BE92" s="92"/>
      <c r="BF92" s="92"/>
      <c r="BG92" s="92"/>
      <c r="BH92" s="92"/>
      <c r="BI92" s="92"/>
      <c r="BJ92" s="92"/>
      <c r="BK92" s="92"/>
      <c r="BL92" s="92"/>
      <c r="BM92" s="92"/>
      <c r="BN92" s="92"/>
      <c r="BO92" s="92"/>
      <c r="BP92" s="92"/>
      <c r="BQ92" s="92"/>
      <c r="BR92" s="92"/>
      <c r="BS92" s="92"/>
      <c r="BT92" s="92"/>
      <c r="BU92" s="92"/>
      <c r="BV92" s="92"/>
      <c r="BX92" s="142"/>
      <c r="BY92" s="142"/>
      <c r="BZ92" s="142"/>
      <c r="CA92" s="142"/>
    </row>
    <row r="93" spans="1:90" s="4" customFormat="1" ht="21" customHeight="1" x14ac:dyDescent="0.55000000000000004">
      <c r="A93" s="45"/>
      <c r="B93" s="49"/>
      <c r="C93" s="45"/>
      <c r="D93" s="49"/>
      <c r="E93" s="45"/>
      <c r="F93" s="49"/>
      <c r="G93" s="45"/>
      <c r="H93" s="49"/>
      <c r="I93" s="45"/>
      <c r="J93" s="49"/>
      <c r="K93" s="45"/>
      <c r="L93" s="49"/>
      <c r="M93" s="1"/>
      <c r="N93" s="1"/>
      <c r="O93" s="1"/>
      <c r="P93" s="45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J93" s="45"/>
      <c r="AK93" s="92"/>
      <c r="AL93" s="92"/>
      <c r="AM93" s="92"/>
      <c r="AN93" s="92"/>
      <c r="AO93" s="92"/>
      <c r="AP93" s="92"/>
      <c r="AQ93" s="92"/>
      <c r="AR93" s="92"/>
      <c r="AS93" s="92"/>
      <c r="AT93" s="92"/>
      <c r="AU93" s="92"/>
      <c r="AV93" s="92"/>
      <c r="AW93" s="92"/>
      <c r="AX93" s="92"/>
      <c r="AY93" s="92"/>
      <c r="AZ93" s="92"/>
      <c r="BA93" s="92"/>
      <c r="BB93" s="92"/>
      <c r="BD93" s="45"/>
      <c r="BE93" s="92"/>
      <c r="BF93" s="92"/>
      <c r="BG93" s="92"/>
      <c r="BH93" s="92"/>
      <c r="BI93" s="92"/>
      <c r="BJ93" s="92"/>
      <c r="BK93" s="92"/>
      <c r="BL93" s="92"/>
      <c r="BM93" s="92"/>
      <c r="BN93" s="92"/>
      <c r="BO93" s="92"/>
      <c r="BP93" s="92"/>
      <c r="BQ93" s="92"/>
      <c r="BR93" s="92"/>
      <c r="BS93" s="92"/>
      <c r="BT93" s="92"/>
      <c r="BU93" s="92"/>
      <c r="BV93" s="92"/>
      <c r="BX93" s="142"/>
      <c r="BY93" s="142"/>
      <c r="BZ93" s="142"/>
      <c r="CA93" s="142"/>
    </row>
    <row r="94" spans="1:90" s="4" customFormat="1" ht="21" customHeight="1" x14ac:dyDescent="0.6">
      <c r="A94" s="45"/>
      <c r="B94" s="48"/>
      <c r="C94" s="45"/>
      <c r="D94" s="48"/>
      <c r="E94" s="45"/>
      <c r="F94" s="48"/>
      <c r="G94" s="45"/>
      <c r="H94" s="48"/>
      <c r="I94" s="45"/>
      <c r="J94" s="48"/>
      <c r="K94" s="45"/>
      <c r="L94" s="48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BX94" s="143"/>
    </row>
    <row r="95" spans="1:90" s="4" customFormat="1" ht="21" customHeight="1" x14ac:dyDescent="0.6">
      <c r="A95" s="51"/>
      <c r="B95" s="52"/>
      <c r="C95" s="51"/>
      <c r="D95" s="52"/>
      <c r="E95" s="51"/>
      <c r="F95" s="52"/>
      <c r="G95" s="51"/>
      <c r="H95" s="52"/>
      <c r="I95" s="51"/>
      <c r="J95" s="52"/>
      <c r="K95" s="51"/>
      <c r="L95" s="52"/>
      <c r="P95" s="79" t="s">
        <v>26</v>
      </c>
      <c r="Q95" s="79"/>
      <c r="BX95" s="143"/>
    </row>
    <row r="96" spans="1:90" s="4" customFormat="1" ht="21" customHeight="1" x14ac:dyDescent="0.6">
      <c r="A96" s="51"/>
      <c r="B96" s="52"/>
      <c r="C96" s="51"/>
      <c r="D96" s="52"/>
      <c r="E96" s="51"/>
      <c r="F96" s="52"/>
      <c r="G96" s="51"/>
      <c r="H96" s="52"/>
      <c r="I96" s="51"/>
      <c r="J96" s="52"/>
      <c r="K96" s="51"/>
      <c r="L96" s="52"/>
      <c r="P96" s="78"/>
      <c r="Q96" s="78"/>
      <c r="BX96" s="144" t="s">
        <v>87</v>
      </c>
      <c r="BY96" s="144"/>
      <c r="BZ96" s="144"/>
      <c r="CA96" s="144"/>
    </row>
    <row r="97" spans="1:79" s="4" customFormat="1" ht="21" customHeight="1" x14ac:dyDescent="0.6">
      <c r="A97" s="51"/>
      <c r="B97" s="52"/>
      <c r="C97" s="51"/>
      <c r="D97" s="52"/>
      <c r="E97" s="51"/>
      <c r="F97" s="52"/>
      <c r="G97" s="51"/>
      <c r="H97" s="52"/>
      <c r="I97" s="51"/>
      <c r="J97" s="52"/>
      <c r="K97" s="51"/>
      <c r="L97" s="52"/>
      <c r="P97" s="97" t="s">
        <v>68</v>
      </c>
      <c r="Q97" s="98"/>
      <c r="R97" s="38">
        <v>1</v>
      </c>
      <c r="BX97" s="145"/>
      <c r="BY97" s="145"/>
      <c r="BZ97" s="145"/>
      <c r="CA97" s="145"/>
    </row>
    <row r="98" spans="1:79" s="4" customFormat="1" ht="21" customHeight="1" x14ac:dyDescent="0.6">
      <c r="A98" s="51"/>
      <c r="B98" s="52"/>
      <c r="C98" s="51"/>
      <c r="D98" s="52"/>
      <c r="E98" s="51"/>
      <c r="F98" s="52"/>
      <c r="G98" s="51"/>
      <c r="H98" s="52"/>
      <c r="I98" s="51"/>
      <c r="J98" s="52"/>
      <c r="K98" s="51"/>
      <c r="L98" s="52"/>
      <c r="P98" s="93" t="s">
        <v>29</v>
      </c>
      <c r="Q98" s="77" t="s">
        <v>66</v>
      </c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29"/>
      <c r="AJ98" s="93" t="s">
        <v>29</v>
      </c>
      <c r="AK98" s="77" t="s">
        <v>66</v>
      </c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D98" s="93" t="s">
        <v>29</v>
      </c>
      <c r="BE98" s="77" t="s">
        <v>66</v>
      </c>
      <c r="BF98" s="78"/>
      <c r="BG98" s="78"/>
      <c r="BH98" s="78"/>
      <c r="BI98" s="78"/>
      <c r="BJ98" s="78"/>
      <c r="BK98" s="78"/>
      <c r="BL98" s="78"/>
      <c r="BM98" s="78"/>
      <c r="BN98" s="78"/>
      <c r="BO98" s="78"/>
      <c r="BP98" s="78"/>
      <c r="BQ98" s="78"/>
      <c r="BR98" s="78"/>
      <c r="BS98" s="78"/>
      <c r="BT98" s="78"/>
      <c r="BU98" s="78"/>
      <c r="BV98" s="78"/>
      <c r="BX98" s="45" t="s">
        <v>86</v>
      </c>
      <c r="BY98" s="45" t="s">
        <v>83</v>
      </c>
      <c r="BZ98" s="45" t="s">
        <v>84</v>
      </c>
      <c r="CA98" s="45" t="s">
        <v>85</v>
      </c>
    </row>
    <row r="99" spans="1:79" s="4" customFormat="1" ht="21" customHeight="1" x14ac:dyDescent="0.6">
      <c r="A99" s="51"/>
      <c r="B99" s="52"/>
      <c r="C99" s="51"/>
      <c r="D99" s="52"/>
      <c r="E99" s="51"/>
      <c r="F99" s="52"/>
      <c r="G99" s="51"/>
      <c r="H99" s="52"/>
      <c r="I99" s="51"/>
      <c r="J99" s="52"/>
      <c r="K99" s="51"/>
      <c r="L99" s="52"/>
      <c r="P99" s="94"/>
      <c r="Q99" s="45">
        <v>1</v>
      </c>
      <c r="R99" s="45">
        <v>2</v>
      </c>
      <c r="S99" s="45">
        <v>3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29"/>
      <c r="AJ99" s="94"/>
      <c r="AK99" s="45">
        <v>1</v>
      </c>
      <c r="AL99" s="45">
        <v>2</v>
      </c>
      <c r="AM99" s="45">
        <v>3</v>
      </c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D99" s="94"/>
      <c r="BE99" s="45">
        <v>1</v>
      </c>
      <c r="BF99" s="45">
        <v>2</v>
      </c>
      <c r="BG99" s="45">
        <v>3</v>
      </c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</row>
    <row r="100" spans="1:79" s="4" customFormat="1" ht="21" customHeight="1" x14ac:dyDescent="0.55000000000000004">
      <c r="A100" s="51"/>
      <c r="B100" s="52"/>
      <c r="C100" s="51"/>
      <c r="D100" s="52"/>
      <c r="E100" s="51"/>
      <c r="F100" s="52"/>
      <c r="G100" s="51"/>
      <c r="H100" s="52"/>
      <c r="I100" s="51"/>
      <c r="J100" s="52"/>
      <c r="K100" s="51"/>
      <c r="L100" s="52"/>
      <c r="M100" s="1"/>
      <c r="N100" s="1"/>
      <c r="O100" s="1"/>
      <c r="P100" s="45">
        <v>0.9</v>
      </c>
      <c r="Q100" s="46">
        <v>0.25</v>
      </c>
      <c r="R100" s="46">
        <v>0.24</v>
      </c>
      <c r="S100" s="46">
        <v>0.245</v>
      </c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29"/>
      <c r="AJ100" s="45">
        <v>0.9</v>
      </c>
      <c r="AK100" s="92">
        <v>0.25</v>
      </c>
      <c r="AL100" s="92">
        <v>0.24</v>
      </c>
      <c r="AM100" s="92">
        <v>0.245</v>
      </c>
      <c r="AN100" s="92"/>
      <c r="AO100" s="92"/>
      <c r="AP100" s="92"/>
      <c r="AQ100" s="92"/>
      <c r="AR100" s="92"/>
      <c r="AS100" s="92"/>
      <c r="AT100" s="92"/>
      <c r="AU100" s="92"/>
      <c r="AV100" s="92"/>
      <c r="AW100" s="92"/>
      <c r="AX100" s="92"/>
      <c r="AY100" s="92"/>
      <c r="AZ100" s="92"/>
      <c r="BA100" s="92"/>
      <c r="BB100" s="92"/>
      <c r="BD100" s="45">
        <v>0.9</v>
      </c>
      <c r="BE100" s="92">
        <v>0.25</v>
      </c>
      <c r="BF100" s="92">
        <v>0.24</v>
      </c>
      <c r="BG100" s="92">
        <v>0.245</v>
      </c>
      <c r="BH100" s="92"/>
      <c r="BI100" s="92"/>
      <c r="BJ100" s="92"/>
      <c r="BK100" s="92"/>
      <c r="BL100" s="92"/>
      <c r="BM100" s="92"/>
      <c r="BN100" s="92"/>
      <c r="BO100" s="92"/>
      <c r="BP100" s="92"/>
      <c r="BQ100" s="92"/>
      <c r="BR100" s="92"/>
      <c r="BS100" s="92"/>
      <c r="BT100" s="92"/>
      <c r="BU100" s="92"/>
      <c r="BV100" s="92"/>
      <c r="BX100" s="142">
        <v>1</v>
      </c>
      <c r="BY100" s="142">
        <v>0</v>
      </c>
      <c r="BZ100" s="142">
        <v>0</v>
      </c>
      <c r="CA100" s="142">
        <v>0</v>
      </c>
    </row>
    <row r="101" spans="1:79" s="4" customFormat="1" ht="21" customHeight="1" x14ac:dyDescent="0.55000000000000004">
      <c r="A101" s="51"/>
      <c r="B101" s="52"/>
      <c r="C101" s="51"/>
      <c r="D101" s="52"/>
      <c r="E101" s="51"/>
      <c r="F101" s="52"/>
      <c r="G101" s="51"/>
      <c r="H101" s="52"/>
      <c r="I101" s="51"/>
      <c r="J101" s="52"/>
      <c r="K101" s="51"/>
      <c r="L101" s="52"/>
      <c r="M101" s="1"/>
      <c r="N101" s="1"/>
      <c r="O101" s="1"/>
      <c r="P101" s="45">
        <v>1</v>
      </c>
      <c r="Q101" s="46">
        <v>0.22</v>
      </c>
      <c r="R101" s="46">
        <v>0.2</v>
      </c>
      <c r="S101" s="46">
        <v>0.19</v>
      </c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29"/>
      <c r="AJ101" s="45">
        <v>1</v>
      </c>
      <c r="AK101" s="92">
        <v>0.22</v>
      </c>
      <c r="AL101" s="92">
        <v>0.2</v>
      </c>
      <c r="AM101" s="92">
        <v>0.19</v>
      </c>
      <c r="AN101" s="92"/>
      <c r="AO101" s="92"/>
      <c r="AP101" s="92"/>
      <c r="AQ101" s="92"/>
      <c r="AR101" s="92"/>
      <c r="AS101" s="92"/>
      <c r="AT101" s="92"/>
      <c r="AU101" s="92"/>
      <c r="AV101" s="92"/>
      <c r="AW101" s="92"/>
      <c r="AX101" s="92"/>
      <c r="AY101" s="92"/>
      <c r="AZ101" s="92"/>
      <c r="BA101" s="92"/>
      <c r="BB101" s="92"/>
      <c r="BD101" s="45">
        <v>1</v>
      </c>
      <c r="BE101" s="92">
        <v>0.22</v>
      </c>
      <c r="BF101" s="92">
        <v>0.2</v>
      </c>
      <c r="BG101" s="92">
        <v>0.19</v>
      </c>
      <c r="BH101" s="92"/>
      <c r="BI101" s="92"/>
      <c r="BJ101" s="92"/>
      <c r="BK101" s="92"/>
      <c r="BL101" s="92"/>
      <c r="BM101" s="92"/>
      <c r="BN101" s="92"/>
      <c r="BO101" s="92"/>
      <c r="BP101" s="92"/>
      <c r="BQ101" s="92"/>
      <c r="BR101" s="92"/>
      <c r="BS101" s="92"/>
      <c r="BT101" s="92"/>
      <c r="BU101" s="92"/>
      <c r="BV101" s="92"/>
      <c r="BX101" s="142">
        <v>2</v>
      </c>
      <c r="BY101" s="142">
        <v>0</v>
      </c>
      <c r="BZ101" s="142">
        <v>0</v>
      </c>
      <c r="CA101" s="142">
        <v>0</v>
      </c>
    </row>
    <row r="102" spans="1:79" s="4" customFormat="1" ht="21" customHeight="1" x14ac:dyDescent="0.55000000000000004">
      <c r="A102" s="51"/>
      <c r="B102" s="52"/>
      <c r="C102" s="51"/>
      <c r="D102" s="52"/>
      <c r="E102" s="51"/>
      <c r="F102" s="52"/>
      <c r="G102" s="51"/>
      <c r="H102" s="52"/>
      <c r="I102" s="51"/>
      <c r="J102" s="52"/>
      <c r="K102" s="51"/>
      <c r="L102" s="52"/>
      <c r="P102" s="45">
        <v>1.1000000000000001</v>
      </c>
      <c r="Q102" s="46">
        <v>0.2</v>
      </c>
      <c r="R102" s="46">
        <v>0.19</v>
      </c>
      <c r="S102" s="46">
        <v>0.19500000000000001</v>
      </c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29"/>
      <c r="AJ102" s="45">
        <v>1.1000000000000001</v>
      </c>
      <c r="AK102" s="92">
        <v>0.2</v>
      </c>
      <c r="AL102" s="92">
        <v>0.19</v>
      </c>
      <c r="AM102" s="92">
        <v>0.19500000000000001</v>
      </c>
      <c r="AN102" s="92"/>
      <c r="AO102" s="92"/>
      <c r="AP102" s="92"/>
      <c r="AQ102" s="92"/>
      <c r="AR102" s="92"/>
      <c r="AS102" s="92"/>
      <c r="AT102" s="92"/>
      <c r="AU102" s="92"/>
      <c r="AV102" s="92"/>
      <c r="AW102" s="92"/>
      <c r="AX102" s="92"/>
      <c r="AY102" s="92"/>
      <c r="AZ102" s="92"/>
      <c r="BA102" s="92"/>
      <c r="BB102" s="92"/>
      <c r="BD102" s="45">
        <v>1.1000000000000001</v>
      </c>
      <c r="BE102" s="92">
        <v>0.2</v>
      </c>
      <c r="BF102" s="92">
        <v>0.19</v>
      </c>
      <c r="BG102" s="92">
        <v>0.19500000000000001</v>
      </c>
      <c r="BH102" s="92"/>
      <c r="BI102" s="92"/>
      <c r="BJ102" s="92"/>
      <c r="BK102" s="92"/>
      <c r="BL102" s="92"/>
      <c r="BM102" s="92"/>
      <c r="BN102" s="92"/>
      <c r="BO102" s="92"/>
      <c r="BP102" s="92"/>
      <c r="BQ102" s="92"/>
      <c r="BR102" s="92"/>
      <c r="BS102" s="92"/>
      <c r="BT102" s="92"/>
      <c r="BU102" s="92"/>
      <c r="BV102" s="92"/>
      <c r="BX102" s="142">
        <v>3</v>
      </c>
      <c r="BY102" s="142">
        <v>0</v>
      </c>
      <c r="BZ102" s="142">
        <v>0</v>
      </c>
      <c r="CA102" s="142">
        <v>0</v>
      </c>
    </row>
    <row r="103" spans="1:79" s="4" customFormat="1" ht="21" customHeight="1" x14ac:dyDescent="0.55000000000000004">
      <c r="A103" s="51"/>
      <c r="B103" s="52"/>
      <c r="C103" s="51"/>
      <c r="D103" s="52"/>
      <c r="E103" s="51"/>
      <c r="F103" s="52"/>
      <c r="G103" s="51"/>
      <c r="H103" s="52"/>
      <c r="I103" s="51"/>
      <c r="J103" s="52"/>
      <c r="K103" s="51"/>
      <c r="L103" s="52"/>
      <c r="P103" s="45">
        <v>1.2</v>
      </c>
      <c r="Q103" s="46">
        <v>0.2</v>
      </c>
      <c r="R103" s="46">
        <v>0.18</v>
      </c>
      <c r="S103" s="46">
        <v>0.19500000000000001</v>
      </c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1"/>
      <c r="AJ103" s="45">
        <v>1.2</v>
      </c>
      <c r="AK103" s="92">
        <v>0.2</v>
      </c>
      <c r="AL103" s="92">
        <v>0.18</v>
      </c>
      <c r="AM103" s="92">
        <v>0.19500000000000001</v>
      </c>
      <c r="AN103" s="92"/>
      <c r="AO103" s="92"/>
      <c r="AP103" s="92"/>
      <c r="AQ103" s="92"/>
      <c r="AR103" s="92"/>
      <c r="AS103" s="92"/>
      <c r="AT103" s="92"/>
      <c r="AU103" s="92"/>
      <c r="AV103" s="92"/>
      <c r="AW103" s="92"/>
      <c r="AX103" s="92"/>
      <c r="AY103" s="92"/>
      <c r="AZ103" s="92"/>
      <c r="BA103" s="92"/>
      <c r="BB103" s="92"/>
      <c r="BD103" s="45">
        <v>1.2</v>
      </c>
      <c r="BE103" s="92">
        <v>0.2</v>
      </c>
      <c r="BF103" s="92">
        <v>0.18</v>
      </c>
      <c r="BG103" s="92">
        <v>0.19500000000000001</v>
      </c>
      <c r="BH103" s="92"/>
      <c r="BI103" s="92"/>
      <c r="BJ103" s="92"/>
      <c r="BK103" s="92"/>
      <c r="BL103" s="92"/>
      <c r="BM103" s="92"/>
      <c r="BN103" s="92"/>
      <c r="BO103" s="92"/>
      <c r="BP103" s="92"/>
      <c r="BQ103" s="92"/>
      <c r="BR103" s="92"/>
      <c r="BS103" s="92"/>
      <c r="BT103" s="92"/>
      <c r="BU103" s="92"/>
      <c r="BV103" s="92"/>
      <c r="BX103" s="142"/>
      <c r="BY103" s="142"/>
      <c r="BZ103" s="142"/>
      <c r="CA103" s="142"/>
    </row>
    <row r="104" spans="1:79" s="4" customFormat="1" ht="21" customHeight="1" x14ac:dyDescent="0.55000000000000004">
      <c r="A104" s="51"/>
      <c r="B104" s="52"/>
      <c r="C104" s="51"/>
      <c r="D104" s="52"/>
      <c r="E104" s="51"/>
      <c r="F104" s="52"/>
      <c r="G104" s="51"/>
      <c r="H104" s="52"/>
      <c r="I104" s="51"/>
      <c r="J104" s="52"/>
      <c r="K104" s="51"/>
      <c r="L104" s="52"/>
      <c r="P104" s="45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J104" s="45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W104" s="92"/>
      <c r="AX104" s="92"/>
      <c r="AY104" s="92"/>
      <c r="AZ104" s="92"/>
      <c r="BA104" s="92"/>
      <c r="BB104" s="92"/>
      <c r="BD104" s="45"/>
      <c r="BE104" s="92"/>
      <c r="BF104" s="92"/>
      <c r="BG104" s="92"/>
      <c r="BH104" s="92"/>
      <c r="BI104" s="92"/>
      <c r="BJ104" s="92"/>
      <c r="BK104" s="92"/>
      <c r="BL104" s="92"/>
      <c r="BM104" s="92"/>
      <c r="BN104" s="92"/>
      <c r="BO104" s="92"/>
      <c r="BP104" s="92"/>
      <c r="BQ104" s="92"/>
      <c r="BR104" s="92"/>
      <c r="BS104" s="92"/>
      <c r="BT104" s="92"/>
      <c r="BU104" s="92"/>
      <c r="BV104" s="92"/>
      <c r="BX104" s="142"/>
      <c r="BY104" s="142"/>
      <c r="BZ104" s="142"/>
      <c r="CA104" s="142"/>
    </row>
    <row r="105" spans="1:79" s="4" customFormat="1" ht="21" customHeight="1" x14ac:dyDescent="0.55000000000000004">
      <c r="A105" s="51"/>
      <c r="B105" s="52"/>
      <c r="C105" s="51"/>
      <c r="D105" s="52"/>
      <c r="E105" s="51"/>
      <c r="F105" s="52"/>
      <c r="G105" s="51"/>
      <c r="H105" s="52"/>
      <c r="I105" s="51"/>
      <c r="J105" s="52"/>
      <c r="K105" s="51"/>
      <c r="L105" s="52"/>
      <c r="M105" s="1"/>
      <c r="N105" s="1"/>
      <c r="O105" s="1"/>
      <c r="P105" s="45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J105" s="45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W105" s="92"/>
      <c r="AX105" s="92"/>
      <c r="AY105" s="92"/>
      <c r="AZ105" s="92"/>
      <c r="BA105" s="92"/>
      <c r="BB105" s="92"/>
      <c r="BD105" s="45"/>
      <c r="BE105" s="92"/>
      <c r="BF105" s="92"/>
      <c r="BG105" s="92"/>
      <c r="BH105" s="92"/>
      <c r="BI105" s="92"/>
      <c r="BJ105" s="92"/>
      <c r="BK105" s="92"/>
      <c r="BL105" s="92"/>
      <c r="BM105" s="92"/>
      <c r="BN105" s="92"/>
      <c r="BO105" s="92"/>
      <c r="BP105" s="92"/>
      <c r="BQ105" s="92"/>
      <c r="BR105" s="92"/>
      <c r="BS105" s="92"/>
      <c r="BT105" s="92"/>
      <c r="BU105" s="92"/>
      <c r="BV105" s="92"/>
      <c r="BX105" s="142"/>
      <c r="BY105" s="142"/>
      <c r="BZ105" s="142"/>
      <c r="CA105" s="142"/>
    </row>
    <row r="106" spans="1:79" s="4" customFormat="1" ht="21" customHeight="1" x14ac:dyDescent="0.55000000000000004">
      <c r="A106" s="51"/>
      <c r="B106" s="52"/>
      <c r="C106" s="51"/>
      <c r="D106" s="52"/>
      <c r="E106" s="51"/>
      <c r="F106" s="52"/>
      <c r="G106" s="51"/>
      <c r="H106" s="52"/>
      <c r="I106" s="51"/>
      <c r="J106" s="52"/>
      <c r="K106" s="51"/>
      <c r="L106" s="52"/>
      <c r="M106" s="1"/>
      <c r="N106" s="1"/>
      <c r="O106" s="1"/>
      <c r="P106" s="45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J106" s="45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W106" s="92"/>
      <c r="AX106" s="92"/>
      <c r="AY106" s="92"/>
      <c r="AZ106" s="92"/>
      <c r="BA106" s="92"/>
      <c r="BB106" s="92"/>
      <c r="BD106" s="45"/>
      <c r="BE106" s="92"/>
      <c r="BF106" s="92"/>
      <c r="BG106" s="92"/>
      <c r="BH106" s="92"/>
      <c r="BI106" s="92"/>
      <c r="BJ106" s="92"/>
      <c r="BK106" s="92"/>
      <c r="BL106" s="92"/>
      <c r="BM106" s="92"/>
      <c r="BN106" s="92"/>
      <c r="BO106" s="92"/>
      <c r="BP106" s="92"/>
      <c r="BQ106" s="92"/>
      <c r="BR106" s="92"/>
      <c r="BS106" s="92"/>
      <c r="BT106" s="92"/>
      <c r="BU106" s="92"/>
      <c r="BV106" s="92"/>
      <c r="BX106" s="142"/>
      <c r="BY106" s="142"/>
      <c r="BZ106" s="142"/>
      <c r="CA106" s="142"/>
    </row>
    <row r="107" spans="1:79" s="4" customFormat="1" ht="21" customHeight="1" x14ac:dyDescent="0.55000000000000004">
      <c r="A107" s="51"/>
      <c r="B107" s="52"/>
      <c r="C107" s="51"/>
      <c r="D107" s="52"/>
      <c r="E107" s="51"/>
      <c r="F107" s="52"/>
      <c r="G107" s="51"/>
      <c r="H107" s="52"/>
      <c r="I107" s="51"/>
      <c r="J107" s="52"/>
      <c r="K107" s="51"/>
      <c r="L107" s="52"/>
      <c r="M107" s="1"/>
      <c r="N107" s="1"/>
      <c r="O107" s="1"/>
      <c r="P107" s="45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J107" s="45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W107" s="92"/>
      <c r="AX107" s="92"/>
      <c r="AY107" s="92"/>
      <c r="AZ107" s="92"/>
      <c r="BA107" s="92"/>
      <c r="BB107" s="92"/>
      <c r="BD107" s="45"/>
      <c r="BE107" s="92"/>
      <c r="BF107" s="92"/>
      <c r="BG107" s="92"/>
      <c r="BH107" s="92"/>
      <c r="BI107" s="92"/>
      <c r="BJ107" s="92"/>
      <c r="BK107" s="92"/>
      <c r="BL107" s="92"/>
      <c r="BM107" s="92"/>
      <c r="BN107" s="92"/>
      <c r="BO107" s="92"/>
      <c r="BP107" s="92"/>
      <c r="BQ107" s="92"/>
      <c r="BR107" s="92"/>
      <c r="BS107" s="92"/>
      <c r="BT107" s="92"/>
      <c r="BU107" s="92"/>
      <c r="BV107" s="92"/>
      <c r="BX107" s="142"/>
      <c r="BY107" s="142"/>
      <c r="BZ107" s="142"/>
      <c r="CA107" s="142"/>
    </row>
    <row r="108" spans="1:79" s="4" customFormat="1" ht="21" customHeight="1" x14ac:dyDescent="0.55000000000000004">
      <c r="A108" s="51"/>
      <c r="B108" s="52"/>
      <c r="C108" s="51"/>
      <c r="D108" s="52"/>
      <c r="E108" s="51"/>
      <c r="F108" s="52"/>
      <c r="G108" s="51"/>
      <c r="H108" s="52"/>
      <c r="I108" s="51"/>
      <c r="J108" s="52"/>
      <c r="K108" s="51"/>
      <c r="L108" s="52"/>
      <c r="M108" s="1"/>
      <c r="N108" s="1"/>
      <c r="O108" s="1"/>
      <c r="P108" s="45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J108" s="45"/>
      <c r="AK108" s="92"/>
      <c r="AL108" s="92"/>
      <c r="AM108" s="92"/>
      <c r="AN108" s="92"/>
      <c r="AO108" s="92"/>
      <c r="AP108" s="92"/>
      <c r="AQ108" s="92"/>
      <c r="AR108" s="92"/>
      <c r="AS108" s="92"/>
      <c r="AT108" s="92"/>
      <c r="AU108" s="92"/>
      <c r="AV108" s="92"/>
      <c r="AW108" s="92"/>
      <c r="AX108" s="92"/>
      <c r="AY108" s="92"/>
      <c r="AZ108" s="92"/>
      <c r="BA108" s="92"/>
      <c r="BB108" s="92"/>
      <c r="BD108" s="45"/>
      <c r="BE108" s="92"/>
      <c r="BF108" s="92"/>
      <c r="BG108" s="92"/>
      <c r="BH108" s="92"/>
      <c r="BI108" s="92"/>
      <c r="BJ108" s="92"/>
      <c r="BK108" s="92"/>
      <c r="BL108" s="92"/>
      <c r="BM108" s="92"/>
      <c r="BN108" s="92"/>
      <c r="BO108" s="92"/>
      <c r="BP108" s="92"/>
      <c r="BQ108" s="92"/>
      <c r="BR108" s="92"/>
      <c r="BS108" s="92"/>
      <c r="BT108" s="92"/>
      <c r="BU108" s="92"/>
      <c r="BV108" s="92"/>
      <c r="BX108" s="142"/>
      <c r="BY108" s="142"/>
      <c r="BZ108" s="142"/>
      <c r="CA108" s="142"/>
    </row>
    <row r="109" spans="1:79" s="4" customFormat="1" ht="21" customHeight="1" x14ac:dyDescent="0.55000000000000004">
      <c r="A109" s="51"/>
      <c r="B109" s="52"/>
      <c r="C109" s="51"/>
      <c r="D109" s="52"/>
      <c r="E109" s="51"/>
      <c r="F109" s="52"/>
      <c r="G109" s="51"/>
      <c r="H109" s="52"/>
      <c r="I109" s="51"/>
      <c r="J109" s="52"/>
      <c r="K109" s="51"/>
      <c r="L109" s="52"/>
      <c r="M109" s="1"/>
      <c r="N109" s="1"/>
      <c r="O109" s="1"/>
      <c r="P109" s="45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29"/>
      <c r="AJ109" s="45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W109" s="92"/>
      <c r="AX109" s="92"/>
      <c r="AY109" s="92"/>
      <c r="AZ109" s="92"/>
      <c r="BA109" s="92"/>
      <c r="BB109" s="92"/>
      <c r="BD109" s="45"/>
      <c r="BE109" s="92"/>
      <c r="BF109" s="92"/>
      <c r="BG109" s="92"/>
      <c r="BH109" s="92"/>
      <c r="BI109" s="92"/>
      <c r="BJ109" s="92"/>
      <c r="BK109" s="92"/>
      <c r="BL109" s="92"/>
      <c r="BM109" s="92"/>
      <c r="BN109" s="92"/>
      <c r="BO109" s="92"/>
      <c r="BP109" s="92"/>
      <c r="BQ109" s="92"/>
      <c r="BR109" s="92"/>
      <c r="BS109" s="92"/>
      <c r="BT109" s="92"/>
      <c r="BU109" s="92"/>
      <c r="BV109" s="92"/>
      <c r="BX109" s="142"/>
      <c r="BY109" s="142"/>
      <c r="BZ109" s="142"/>
      <c r="CA109" s="142"/>
    </row>
    <row r="110" spans="1:79" s="4" customFormat="1" ht="21" customHeight="1" x14ac:dyDescent="0.55000000000000004">
      <c r="A110" s="51"/>
      <c r="B110" s="52"/>
      <c r="C110" s="51"/>
      <c r="D110" s="52"/>
      <c r="E110" s="51"/>
      <c r="F110" s="52"/>
      <c r="G110" s="51"/>
      <c r="H110" s="52"/>
      <c r="I110" s="51"/>
      <c r="J110" s="52"/>
      <c r="K110" s="51"/>
      <c r="L110" s="52"/>
      <c r="M110" s="1"/>
      <c r="N110" s="1"/>
      <c r="O110" s="1"/>
      <c r="P110" s="45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29"/>
      <c r="AJ110" s="45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W110" s="92"/>
      <c r="AX110" s="92"/>
      <c r="AY110" s="92"/>
      <c r="AZ110" s="92"/>
      <c r="BA110" s="92"/>
      <c r="BB110" s="92"/>
      <c r="BD110" s="45"/>
      <c r="BE110" s="92"/>
      <c r="BF110" s="92"/>
      <c r="BG110" s="92"/>
      <c r="BH110" s="92"/>
      <c r="BI110" s="92"/>
      <c r="BJ110" s="92"/>
      <c r="BK110" s="92"/>
      <c r="BL110" s="92"/>
      <c r="BM110" s="92"/>
      <c r="BN110" s="92"/>
      <c r="BO110" s="92"/>
      <c r="BP110" s="92"/>
      <c r="BQ110" s="92"/>
      <c r="BR110" s="92"/>
      <c r="BS110" s="92"/>
      <c r="BT110" s="92"/>
      <c r="BU110" s="92"/>
      <c r="BV110" s="92"/>
      <c r="BX110" s="142"/>
      <c r="BY110" s="142"/>
      <c r="BZ110" s="142"/>
      <c r="CA110" s="142"/>
    </row>
    <row r="111" spans="1:79" s="4" customFormat="1" ht="21" customHeight="1" x14ac:dyDescent="0.55000000000000004">
      <c r="A111" s="51"/>
      <c r="B111" s="52"/>
      <c r="C111" s="51"/>
      <c r="D111" s="52"/>
      <c r="E111" s="51"/>
      <c r="F111" s="52"/>
      <c r="G111" s="51"/>
      <c r="H111" s="52"/>
      <c r="I111" s="51"/>
      <c r="J111" s="52"/>
      <c r="K111" s="51"/>
      <c r="L111" s="52"/>
      <c r="M111" s="1"/>
      <c r="N111" s="1"/>
      <c r="O111" s="1"/>
      <c r="P111" s="45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29"/>
      <c r="AJ111" s="45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  <c r="AW111" s="92"/>
      <c r="AX111" s="92"/>
      <c r="AY111" s="92"/>
      <c r="AZ111" s="92"/>
      <c r="BA111" s="92"/>
      <c r="BB111" s="92"/>
      <c r="BD111" s="45"/>
      <c r="BE111" s="92"/>
      <c r="BF111" s="92"/>
      <c r="BG111" s="92"/>
      <c r="BH111" s="92"/>
      <c r="BI111" s="92"/>
      <c r="BJ111" s="92"/>
      <c r="BK111" s="92"/>
      <c r="BL111" s="92"/>
      <c r="BM111" s="92"/>
      <c r="BN111" s="92"/>
      <c r="BO111" s="92"/>
      <c r="BP111" s="92"/>
      <c r="BQ111" s="92"/>
      <c r="BR111" s="92"/>
      <c r="BS111" s="92"/>
      <c r="BT111" s="92"/>
      <c r="BU111" s="92"/>
      <c r="BV111" s="92"/>
      <c r="BX111" s="142"/>
      <c r="BY111" s="142"/>
      <c r="BZ111" s="142"/>
      <c r="CA111" s="142"/>
    </row>
    <row r="112" spans="1:79" s="4" customFormat="1" ht="21" customHeight="1" x14ac:dyDescent="0.55000000000000004">
      <c r="A112" s="51"/>
      <c r="B112" s="52"/>
      <c r="C112" s="51"/>
      <c r="D112" s="52"/>
      <c r="E112" s="51"/>
      <c r="F112" s="52"/>
      <c r="G112" s="51"/>
      <c r="H112" s="52"/>
      <c r="I112" s="51"/>
      <c r="J112" s="52"/>
      <c r="K112" s="51"/>
      <c r="L112" s="52"/>
      <c r="M112" s="1"/>
      <c r="N112" s="1"/>
      <c r="O112" s="1"/>
      <c r="P112" s="45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29"/>
      <c r="AJ112" s="45"/>
      <c r="AK112" s="92"/>
      <c r="AL112" s="92"/>
      <c r="AM112" s="92"/>
      <c r="AN112" s="92"/>
      <c r="AO112" s="92"/>
      <c r="AP112" s="92"/>
      <c r="AQ112" s="92"/>
      <c r="AR112" s="92"/>
      <c r="AS112" s="92"/>
      <c r="AT112" s="92"/>
      <c r="AU112" s="92"/>
      <c r="AV112" s="92"/>
      <c r="AW112" s="92"/>
      <c r="AX112" s="92"/>
      <c r="AY112" s="92"/>
      <c r="AZ112" s="92"/>
      <c r="BA112" s="92"/>
      <c r="BB112" s="92"/>
      <c r="BD112" s="45"/>
      <c r="BE112" s="92"/>
      <c r="BF112" s="92"/>
      <c r="BG112" s="92"/>
      <c r="BH112" s="92"/>
      <c r="BI112" s="92"/>
      <c r="BJ112" s="92"/>
      <c r="BK112" s="92"/>
      <c r="BL112" s="92"/>
      <c r="BM112" s="92"/>
      <c r="BN112" s="92"/>
      <c r="BO112" s="92"/>
      <c r="BP112" s="92"/>
      <c r="BQ112" s="92"/>
      <c r="BR112" s="92"/>
      <c r="BS112" s="92"/>
      <c r="BT112" s="92"/>
      <c r="BU112" s="92"/>
      <c r="BV112" s="92"/>
      <c r="BX112" s="142"/>
      <c r="BY112" s="142"/>
      <c r="BZ112" s="142"/>
      <c r="CA112" s="142"/>
    </row>
    <row r="113" spans="1:79" s="4" customFormat="1" ht="21" customHeight="1" x14ac:dyDescent="0.55000000000000004">
      <c r="A113" s="51"/>
      <c r="B113" s="52"/>
      <c r="C113" s="51"/>
      <c r="D113" s="52"/>
      <c r="E113" s="51"/>
      <c r="F113" s="52"/>
      <c r="G113" s="51"/>
      <c r="H113" s="52"/>
      <c r="I113" s="51"/>
      <c r="J113" s="52"/>
      <c r="K113" s="51"/>
      <c r="L113" s="52"/>
      <c r="M113" s="1"/>
      <c r="N113" s="1"/>
      <c r="O113" s="1"/>
      <c r="P113" s="45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29"/>
      <c r="AJ113" s="45"/>
      <c r="AK113" s="92"/>
      <c r="AL113" s="92"/>
      <c r="AM113" s="92"/>
      <c r="AN113" s="92"/>
      <c r="AO113" s="92"/>
      <c r="AP113" s="92"/>
      <c r="AQ113" s="92"/>
      <c r="AR113" s="92"/>
      <c r="AS113" s="92"/>
      <c r="AT113" s="92"/>
      <c r="AU113" s="92"/>
      <c r="AV113" s="92"/>
      <c r="AW113" s="92"/>
      <c r="AX113" s="92"/>
      <c r="AY113" s="92"/>
      <c r="AZ113" s="92"/>
      <c r="BA113" s="92"/>
      <c r="BB113" s="92"/>
      <c r="BD113" s="45"/>
      <c r="BE113" s="92"/>
      <c r="BF113" s="92"/>
      <c r="BG113" s="92"/>
      <c r="BH113" s="92"/>
      <c r="BI113" s="92"/>
      <c r="BJ113" s="92"/>
      <c r="BK113" s="92"/>
      <c r="BL113" s="92"/>
      <c r="BM113" s="92"/>
      <c r="BN113" s="92"/>
      <c r="BO113" s="92"/>
      <c r="BP113" s="92"/>
      <c r="BQ113" s="92"/>
      <c r="BR113" s="92"/>
      <c r="BS113" s="92"/>
      <c r="BT113" s="92"/>
      <c r="BU113" s="92"/>
      <c r="BV113" s="92"/>
      <c r="BX113" s="142"/>
      <c r="BY113" s="142"/>
      <c r="BZ113" s="142"/>
      <c r="CA113" s="142"/>
    </row>
    <row r="114" spans="1:79" s="4" customFormat="1" ht="21" customHeight="1" x14ac:dyDescent="0.55000000000000004">
      <c r="A114" s="51"/>
      <c r="B114" s="52"/>
      <c r="C114" s="51"/>
      <c r="D114" s="52"/>
      <c r="E114" s="51"/>
      <c r="F114" s="52"/>
      <c r="G114" s="51"/>
      <c r="H114" s="52"/>
      <c r="I114" s="51"/>
      <c r="J114" s="52"/>
      <c r="K114" s="51"/>
      <c r="L114" s="52"/>
      <c r="M114" s="1"/>
      <c r="N114" s="1"/>
      <c r="O114" s="1"/>
      <c r="P114" s="45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29"/>
      <c r="AJ114" s="45"/>
      <c r="AK114" s="92"/>
      <c r="AL114" s="92"/>
      <c r="AM114" s="92"/>
      <c r="AN114" s="92"/>
      <c r="AO114" s="92"/>
      <c r="AP114" s="92"/>
      <c r="AQ114" s="92"/>
      <c r="AR114" s="92"/>
      <c r="AS114" s="92"/>
      <c r="AT114" s="92"/>
      <c r="AU114" s="92"/>
      <c r="AV114" s="92"/>
      <c r="AW114" s="92"/>
      <c r="AX114" s="92"/>
      <c r="AY114" s="92"/>
      <c r="AZ114" s="92"/>
      <c r="BA114" s="92"/>
      <c r="BB114" s="92"/>
      <c r="BD114" s="45"/>
      <c r="BE114" s="92"/>
      <c r="BF114" s="92"/>
      <c r="BG114" s="92"/>
      <c r="BH114" s="92"/>
      <c r="BI114" s="92"/>
      <c r="BJ114" s="92"/>
      <c r="BK114" s="92"/>
      <c r="BL114" s="92"/>
      <c r="BM114" s="92"/>
      <c r="BN114" s="92"/>
      <c r="BO114" s="92"/>
      <c r="BP114" s="92"/>
      <c r="BQ114" s="92"/>
      <c r="BR114" s="92"/>
      <c r="BS114" s="92"/>
      <c r="BT114" s="92"/>
      <c r="BU114" s="92"/>
      <c r="BV114" s="92"/>
      <c r="BX114" s="142"/>
      <c r="BY114" s="142"/>
      <c r="BZ114" s="142"/>
      <c r="CA114" s="142"/>
    </row>
    <row r="115" spans="1:79" s="4" customFormat="1" ht="21" customHeight="1" x14ac:dyDescent="0.55000000000000004">
      <c r="A115" s="51"/>
      <c r="B115" s="52"/>
      <c r="C115" s="51"/>
      <c r="D115" s="52"/>
      <c r="E115" s="51"/>
      <c r="F115" s="52"/>
      <c r="G115" s="51"/>
      <c r="H115" s="52"/>
      <c r="I115" s="51"/>
      <c r="J115" s="52"/>
      <c r="K115" s="51"/>
      <c r="L115" s="52"/>
      <c r="M115" s="1"/>
      <c r="N115" s="1"/>
      <c r="O115" s="1"/>
      <c r="P115" s="45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29"/>
      <c r="AJ115" s="45"/>
      <c r="AK115" s="92"/>
      <c r="AL115" s="92"/>
      <c r="AM115" s="92"/>
      <c r="AN115" s="92"/>
      <c r="AO115" s="92"/>
      <c r="AP115" s="92"/>
      <c r="AQ115" s="92"/>
      <c r="AR115" s="92"/>
      <c r="AS115" s="92"/>
      <c r="AT115" s="92"/>
      <c r="AU115" s="92"/>
      <c r="AV115" s="92"/>
      <c r="AW115" s="92"/>
      <c r="AX115" s="92"/>
      <c r="AY115" s="92"/>
      <c r="AZ115" s="92"/>
      <c r="BA115" s="92"/>
      <c r="BB115" s="92"/>
      <c r="BD115" s="45"/>
      <c r="BE115" s="92"/>
      <c r="BF115" s="92"/>
      <c r="BG115" s="92"/>
      <c r="BH115" s="92"/>
      <c r="BI115" s="92"/>
      <c r="BJ115" s="92"/>
      <c r="BK115" s="92"/>
      <c r="BL115" s="92"/>
      <c r="BM115" s="92"/>
      <c r="BN115" s="92"/>
      <c r="BO115" s="92"/>
      <c r="BP115" s="92"/>
      <c r="BQ115" s="92"/>
      <c r="BR115" s="92"/>
      <c r="BS115" s="92"/>
      <c r="BT115" s="92"/>
      <c r="BU115" s="92"/>
      <c r="BV115" s="92"/>
      <c r="BX115" s="142"/>
      <c r="BY115" s="142"/>
      <c r="BZ115" s="142"/>
      <c r="CA115" s="142"/>
    </row>
    <row r="116" spans="1:79" s="4" customFormat="1" ht="21" customHeight="1" x14ac:dyDescent="0.55000000000000004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5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29"/>
      <c r="AJ116" s="45"/>
      <c r="AK116" s="92"/>
      <c r="AL116" s="92"/>
      <c r="AM116" s="92"/>
      <c r="AN116" s="92"/>
      <c r="AO116" s="92"/>
      <c r="AP116" s="92"/>
      <c r="AQ116" s="92"/>
      <c r="AR116" s="92"/>
      <c r="AS116" s="92"/>
      <c r="AT116" s="92"/>
      <c r="AU116" s="92"/>
      <c r="AV116" s="92"/>
      <c r="AW116" s="92"/>
      <c r="AX116" s="92"/>
      <c r="AY116" s="92"/>
      <c r="AZ116" s="92"/>
      <c r="BA116" s="92"/>
      <c r="BB116" s="92"/>
      <c r="BD116" s="45"/>
      <c r="BE116" s="92"/>
      <c r="BF116" s="92"/>
      <c r="BG116" s="92"/>
      <c r="BH116" s="92"/>
      <c r="BI116" s="92"/>
      <c r="BJ116" s="92"/>
      <c r="BK116" s="92"/>
      <c r="BL116" s="92"/>
      <c r="BM116" s="92"/>
      <c r="BN116" s="92"/>
      <c r="BO116" s="92"/>
      <c r="BP116" s="92"/>
      <c r="BQ116" s="92"/>
      <c r="BR116" s="92"/>
      <c r="BS116" s="92"/>
      <c r="BT116" s="92"/>
      <c r="BU116" s="92"/>
      <c r="BV116" s="92"/>
      <c r="BX116" s="142"/>
      <c r="BY116" s="142"/>
      <c r="BZ116" s="142"/>
      <c r="CA116" s="142"/>
    </row>
    <row r="117" spans="1:79" ht="21" customHeight="1" x14ac:dyDescent="0.55000000000000004">
      <c r="A117" s="99" t="s">
        <v>38</v>
      </c>
      <c r="B117" s="99"/>
      <c r="C117" s="99"/>
      <c r="D117" s="99"/>
      <c r="E117" s="99"/>
      <c r="F117" s="99"/>
      <c r="G117" s="99"/>
      <c r="H117" s="99"/>
      <c r="I117" s="99"/>
      <c r="J117" s="99"/>
      <c r="K117" s="99"/>
      <c r="L117" s="99"/>
      <c r="P117" s="45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29"/>
      <c r="AJ117" s="45"/>
      <c r="AK117" s="92"/>
      <c r="AL117" s="92"/>
      <c r="AM117" s="92"/>
      <c r="AN117" s="92"/>
      <c r="AO117" s="92"/>
      <c r="AP117" s="92"/>
      <c r="AQ117" s="92"/>
      <c r="AR117" s="92"/>
      <c r="AS117" s="92"/>
      <c r="AT117" s="92"/>
      <c r="AU117" s="92"/>
      <c r="AV117" s="92"/>
      <c r="AW117" s="92"/>
      <c r="AX117" s="92"/>
      <c r="AY117" s="92"/>
      <c r="AZ117" s="92"/>
      <c r="BA117" s="92"/>
      <c r="BB117" s="92"/>
      <c r="BD117" s="45"/>
      <c r="BE117" s="92"/>
      <c r="BF117" s="92"/>
      <c r="BG117" s="92"/>
      <c r="BH117" s="92"/>
      <c r="BI117" s="92"/>
      <c r="BJ117" s="92"/>
      <c r="BK117" s="92"/>
      <c r="BL117" s="92"/>
      <c r="BM117" s="92"/>
      <c r="BN117" s="92"/>
      <c r="BO117" s="92"/>
      <c r="BP117" s="92"/>
      <c r="BQ117" s="92"/>
      <c r="BR117" s="92"/>
      <c r="BS117" s="92"/>
      <c r="BT117" s="92"/>
      <c r="BU117" s="92"/>
      <c r="BV117" s="92"/>
      <c r="BX117" s="142"/>
      <c r="BY117" s="142"/>
      <c r="BZ117" s="142"/>
      <c r="CA117" s="142"/>
    </row>
    <row r="118" spans="1:79" ht="21" customHeight="1" x14ac:dyDescent="0.55000000000000004">
      <c r="A118" s="99"/>
      <c r="B118" s="99"/>
      <c r="C118" s="99"/>
      <c r="D118" s="99"/>
      <c r="E118" s="99"/>
      <c r="F118" s="99"/>
      <c r="G118" s="99"/>
      <c r="H118" s="99"/>
      <c r="I118" s="99"/>
      <c r="J118" s="99"/>
      <c r="K118" s="99"/>
      <c r="L118" s="99"/>
      <c r="P118" s="45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J118" s="45"/>
      <c r="AK118" s="92"/>
      <c r="AL118" s="92"/>
      <c r="AM118" s="92"/>
      <c r="AN118" s="92"/>
      <c r="AO118" s="92"/>
      <c r="AP118" s="92"/>
      <c r="AQ118" s="92"/>
      <c r="AR118" s="92"/>
      <c r="AS118" s="92"/>
      <c r="AT118" s="92"/>
      <c r="AU118" s="92"/>
      <c r="AV118" s="92"/>
      <c r="AW118" s="92"/>
      <c r="AX118" s="92"/>
      <c r="AY118" s="92"/>
      <c r="AZ118" s="92"/>
      <c r="BA118" s="92"/>
      <c r="BB118" s="92"/>
      <c r="BD118" s="45"/>
      <c r="BE118" s="92"/>
      <c r="BF118" s="92"/>
      <c r="BG118" s="92"/>
      <c r="BH118" s="92"/>
      <c r="BI118" s="92"/>
      <c r="BJ118" s="92"/>
      <c r="BK118" s="92"/>
      <c r="BL118" s="92"/>
      <c r="BM118" s="92"/>
      <c r="BN118" s="92"/>
      <c r="BO118" s="92"/>
      <c r="BP118" s="92"/>
      <c r="BQ118" s="92"/>
      <c r="BR118" s="92"/>
      <c r="BS118" s="92"/>
      <c r="BT118" s="92"/>
      <c r="BU118" s="92"/>
      <c r="BV118" s="92"/>
      <c r="BX118" s="142"/>
      <c r="BY118" s="142"/>
      <c r="BZ118" s="142"/>
      <c r="CA118" s="142"/>
    </row>
    <row r="119" spans="1:79" ht="21" customHeight="1" x14ac:dyDescent="0.55000000000000004">
      <c r="A119" s="95" t="s">
        <v>8</v>
      </c>
      <c r="B119" s="95"/>
      <c r="C119" s="95" t="s">
        <v>26</v>
      </c>
      <c r="D119" s="95"/>
      <c r="E119" s="95" t="s">
        <v>27</v>
      </c>
      <c r="F119" s="95"/>
      <c r="G119" s="95" t="s">
        <v>48</v>
      </c>
      <c r="H119" s="95"/>
      <c r="I119" s="95" t="s">
        <v>49</v>
      </c>
      <c r="J119" s="95"/>
      <c r="P119" s="45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"/>
      <c r="AJ119" s="45"/>
      <c r="AK119" s="92"/>
      <c r="AL119" s="92"/>
      <c r="AM119" s="92"/>
      <c r="AN119" s="92"/>
      <c r="AO119" s="92"/>
      <c r="AP119" s="92"/>
      <c r="AQ119" s="92"/>
      <c r="AR119" s="92"/>
      <c r="AS119" s="92"/>
      <c r="AT119" s="92"/>
      <c r="AU119" s="92"/>
      <c r="AV119" s="92"/>
      <c r="AW119" s="92"/>
      <c r="AX119" s="92"/>
      <c r="AY119" s="92"/>
      <c r="AZ119" s="92"/>
      <c r="BA119" s="92"/>
      <c r="BB119" s="92"/>
      <c r="BD119" s="45"/>
      <c r="BE119" s="92"/>
      <c r="BF119" s="92"/>
      <c r="BG119" s="92"/>
      <c r="BH119" s="92"/>
      <c r="BI119" s="92"/>
      <c r="BJ119" s="92"/>
      <c r="BK119" s="92"/>
      <c r="BL119" s="92"/>
      <c r="BM119" s="92"/>
      <c r="BN119" s="92"/>
      <c r="BO119" s="92"/>
      <c r="BP119" s="92"/>
      <c r="BQ119" s="92"/>
      <c r="BR119" s="92"/>
      <c r="BS119" s="92"/>
      <c r="BT119" s="92"/>
      <c r="BU119" s="92"/>
      <c r="BV119" s="92"/>
      <c r="BX119" s="142"/>
      <c r="BY119" s="142"/>
      <c r="BZ119" s="142"/>
      <c r="CA119" s="142"/>
    </row>
    <row r="120" spans="1:79" ht="21" customHeight="1" x14ac:dyDescent="0.55000000000000004">
      <c r="A120" s="11" t="s">
        <v>39</v>
      </c>
      <c r="B120" s="53">
        <v>0</v>
      </c>
      <c r="C120" s="11" t="s">
        <v>39</v>
      </c>
      <c r="D120" s="53">
        <v>0</v>
      </c>
      <c r="E120" s="11" t="s">
        <v>39</v>
      </c>
      <c r="F120" s="53">
        <v>0</v>
      </c>
      <c r="G120" s="11" t="s">
        <v>39</v>
      </c>
      <c r="H120" s="53"/>
      <c r="I120" s="11" t="s">
        <v>39</v>
      </c>
      <c r="J120" s="53"/>
      <c r="P120" s="45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"/>
      <c r="AJ120" s="45"/>
      <c r="AK120" s="92"/>
      <c r="AL120" s="92"/>
      <c r="AM120" s="92"/>
      <c r="AN120" s="92"/>
      <c r="AO120" s="92"/>
      <c r="AP120" s="92"/>
      <c r="AQ120" s="92"/>
      <c r="AR120" s="92"/>
      <c r="AS120" s="92"/>
      <c r="AT120" s="92"/>
      <c r="AU120" s="92"/>
      <c r="AV120" s="92"/>
      <c r="AW120" s="92"/>
      <c r="AX120" s="92"/>
      <c r="AY120" s="92"/>
      <c r="AZ120" s="92"/>
      <c r="BA120" s="92"/>
      <c r="BB120" s="92"/>
      <c r="BD120" s="45"/>
      <c r="BE120" s="92"/>
      <c r="BF120" s="92"/>
      <c r="BG120" s="92"/>
      <c r="BH120" s="92"/>
      <c r="BI120" s="92"/>
      <c r="BJ120" s="92"/>
      <c r="BK120" s="92"/>
      <c r="BL120" s="92"/>
      <c r="BM120" s="92"/>
      <c r="BN120" s="92"/>
      <c r="BO120" s="92"/>
      <c r="BP120" s="92"/>
      <c r="BQ120" s="92"/>
      <c r="BR120" s="92"/>
      <c r="BS120" s="92"/>
      <c r="BT120" s="92"/>
      <c r="BU120" s="92"/>
      <c r="BV120" s="92"/>
      <c r="BX120" s="142"/>
      <c r="BY120" s="142"/>
      <c r="BZ120" s="142"/>
      <c r="CA120" s="142"/>
    </row>
    <row r="121" spans="1:79" ht="21" customHeight="1" x14ac:dyDescent="0.55000000000000004">
      <c r="P121" s="45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"/>
      <c r="AJ121" s="45"/>
      <c r="AK121" s="92"/>
      <c r="AL121" s="92"/>
      <c r="AM121" s="92"/>
      <c r="AN121" s="92"/>
      <c r="AO121" s="92"/>
      <c r="AP121" s="92"/>
      <c r="AQ121" s="92"/>
      <c r="AR121" s="92"/>
      <c r="AS121" s="92"/>
      <c r="AT121" s="92"/>
      <c r="AU121" s="92"/>
      <c r="AV121" s="92"/>
      <c r="AW121" s="92"/>
      <c r="AX121" s="92"/>
      <c r="AY121" s="92"/>
      <c r="AZ121" s="92"/>
      <c r="BA121" s="92"/>
      <c r="BB121" s="92"/>
      <c r="BD121" s="45"/>
      <c r="BE121" s="92"/>
      <c r="BF121" s="92"/>
      <c r="BG121" s="92"/>
      <c r="BH121" s="92"/>
      <c r="BI121" s="92"/>
      <c r="BJ121" s="92"/>
      <c r="BK121" s="92"/>
      <c r="BL121" s="92"/>
      <c r="BM121" s="92"/>
      <c r="BN121" s="92"/>
      <c r="BO121" s="92"/>
      <c r="BP121" s="92"/>
      <c r="BQ121" s="92"/>
      <c r="BR121" s="92"/>
      <c r="BS121" s="92"/>
      <c r="BT121" s="92"/>
      <c r="BU121" s="92"/>
      <c r="BV121" s="92"/>
      <c r="BX121" s="142"/>
      <c r="BY121" s="142"/>
      <c r="BZ121" s="142"/>
      <c r="CA121" s="142"/>
    </row>
    <row r="122" spans="1:79" ht="21" customHeight="1" x14ac:dyDescent="0.55000000000000004">
      <c r="A122" s="11" t="s">
        <v>36</v>
      </c>
      <c r="B122" s="11" t="s">
        <v>37</v>
      </c>
      <c r="C122" s="11" t="s">
        <v>36</v>
      </c>
      <c r="D122" s="11" t="s">
        <v>37</v>
      </c>
      <c r="E122" s="11" t="s">
        <v>36</v>
      </c>
      <c r="F122" s="11" t="s">
        <v>37</v>
      </c>
      <c r="G122" s="11" t="s">
        <v>36</v>
      </c>
      <c r="H122" s="11" t="s">
        <v>37</v>
      </c>
      <c r="I122" s="11" t="s">
        <v>36</v>
      </c>
      <c r="J122" s="11" t="s">
        <v>37</v>
      </c>
      <c r="P122" s="45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"/>
      <c r="AJ122" s="45"/>
      <c r="AK122" s="92"/>
      <c r="AL122" s="92"/>
      <c r="AM122" s="92"/>
      <c r="AN122" s="92"/>
      <c r="AO122" s="92"/>
      <c r="AP122" s="92"/>
      <c r="AQ122" s="92"/>
      <c r="AR122" s="92"/>
      <c r="AS122" s="92"/>
      <c r="AT122" s="92"/>
      <c r="AU122" s="92"/>
      <c r="AV122" s="92"/>
      <c r="AW122" s="92"/>
      <c r="AX122" s="92"/>
      <c r="AY122" s="92"/>
      <c r="AZ122" s="92"/>
      <c r="BA122" s="92"/>
      <c r="BB122" s="92"/>
      <c r="BD122" s="45"/>
      <c r="BE122" s="92"/>
      <c r="BF122" s="92"/>
      <c r="BG122" s="92"/>
      <c r="BH122" s="92"/>
      <c r="BI122" s="92"/>
      <c r="BJ122" s="92"/>
      <c r="BK122" s="92"/>
      <c r="BL122" s="92"/>
      <c r="BM122" s="92"/>
      <c r="BN122" s="92"/>
      <c r="BO122" s="92"/>
      <c r="BP122" s="92"/>
      <c r="BQ122" s="92"/>
      <c r="BR122" s="92"/>
      <c r="BS122" s="92"/>
      <c r="BT122" s="92"/>
      <c r="BU122" s="92"/>
      <c r="BV122" s="92"/>
      <c r="BX122" s="142"/>
      <c r="BY122" s="142"/>
      <c r="BZ122" s="142"/>
      <c r="CA122" s="142"/>
    </row>
    <row r="123" spans="1:79" ht="21" customHeight="1" x14ac:dyDescent="0.55000000000000004">
      <c r="A123" s="45">
        <v>1</v>
      </c>
      <c r="B123" s="47">
        <v>3.5000000000000003E-2</v>
      </c>
      <c r="C123" s="45">
        <v>1</v>
      </c>
      <c r="D123" s="47">
        <v>3.5000000000000003E-2</v>
      </c>
      <c r="E123" s="45">
        <v>1</v>
      </c>
      <c r="F123" s="47">
        <v>3.5000000000000003E-2</v>
      </c>
      <c r="G123" s="45">
        <v>1</v>
      </c>
      <c r="H123" s="47">
        <v>3.1099999999999999E-2</v>
      </c>
      <c r="I123" s="45">
        <v>1</v>
      </c>
      <c r="J123" s="47">
        <v>3.1099999999999999E-2</v>
      </c>
      <c r="P123" s="45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"/>
      <c r="AJ123" s="45"/>
      <c r="AK123" s="92"/>
      <c r="AL123" s="92"/>
      <c r="AM123" s="92"/>
      <c r="AN123" s="92"/>
      <c r="AO123" s="92"/>
      <c r="AP123" s="92"/>
      <c r="AQ123" s="92"/>
      <c r="AR123" s="92"/>
      <c r="AS123" s="92"/>
      <c r="AT123" s="92"/>
      <c r="AU123" s="92"/>
      <c r="AV123" s="92"/>
      <c r="AW123" s="92"/>
      <c r="AX123" s="92"/>
      <c r="AY123" s="92"/>
      <c r="AZ123" s="92"/>
      <c r="BA123" s="92"/>
      <c r="BB123" s="92"/>
      <c r="BD123" s="45"/>
      <c r="BE123" s="92"/>
      <c r="BF123" s="92"/>
      <c r="BG123" s="92"/>
      <c r="BH123" s="92"/>
      <c r="BI123" s="92"/>
      <c r="BJ123" s="92"/>
      <c r="BK123" s="92"/>
      <c r="BL123" s="92"/>
      <c r="BM123" s="92"/>
      <c r="BN123" s="92"/>
      <c r="BO123" s="92"/>
      <c r="BP123" s="92"/>
      <c r="BQ123" s="92"/>
      <c r="BR123" s="92"/>
      <c r="BS123" s="92"/>
      <c r="BT123" s="92"/>
      <c r="BU123" s="92"/>
      <c r="BV123" s="92"/>
      <c r="BX123" s="142"/>
      <c r="BY123" s="142"/>
      <c r="BZ123" s="142"/>
      <c r="CA123" s="142"/>
    </row>
    <row r="124" spans="1:79" ht="21" customHeight="1" x14ac:dyDescent="0.55000000000000004">
      <c r="A124" s="45">
        <v>2</v>
      </c>
      <c r="B124" s="47">
        <v>3.5000000000000003E-2</v>
      </c>
      <c r="C124" s="45">
        <v>2</v>
      </c>
      <c r="D124" s="47">
        <v>3.5000000000000003E-2</v>
      </c>
      <c r="E124" s="45">
        <v>2</v>
      </c>
      <c r="F124" s="47">
        <v>3.5000000000000003E-2</v>
      </c>
      <c r="G124" s="45">
        <v>2</v>
      </c>
      <c r="H124" s="47">
        <v>3.1099999999999999E-2</v>
      </c>
      <c r="I124" s="45">
        <v>2</v>
      </c>
      <c r="J124" s="47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BX124" s="143"/>
    </row>
    <row r="125" spans="1:79" ht="21" customHeight="1" x14ac:dyDescent="0.55000000000000004">
      <c r="A125" s="45">
        <v>3</v>
      </c>
      <c r="B125" s="47">
        <v>3.5000000000000003E-2</v>
      </c>
      <c r="C125" s="45"/>
      <c r="D125" s="47"/>
      <c r="E125" s="45">
        <v>3</v>
      </c>
      <c r="F125" s="47">
        <v>3.5000000000000003E-2</v>
      </c>
      <c r="G125" s="45">
        <v>3</v>
      </c>
      <c r="H125" s="47">
        <v>3.1099999999999999E-2</v>
      </c>
      <c r="I125" s="45">
        <v>3</v>
      </c>
      <c r="J125" s="47">
        <v>3.1099999999999999E-2</v>
      </c>
      <c r="P125" s="79" t="s">
        <v>27</v>
      </c>
      <c r="Q125" s="79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X125" s="143"/>
    </row>
    <row r="126" spans="1:79" ht="21" customHeight="1" x14ac:dyDescent="0.55000000000000004">
      <c r="A126" s="45"/>
      <c r="B126" s="47"/>
      <c r="C126" s="45"/>
      <c r="D126" s="47"/>
      <c r="E126" s="45"/>
      <c r="F126" s="47"/>
      <c r="G126" s="45"/>
      <c r="H126" s="47"/>
      <c r="I126" s="45"/>
      <c r="J126" s="47"/>
      <c r="P126" s="78"/>
      <c r="Q126" s="78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X126" s="144" t="s">
        <v>87</v>
      </c>
      <c r="BY126" s="144"/>
      <c r="BZ126" s="144"/>
      <c r="CA126" s="144"/>
    </row>
    <row r="127" spans="1:79" ht="21" customHeight="1" x14ac:dyDescent="0.55000000000000004">
      <c r="A127" s="45"/>
      <c r="B127" s="47"/>
      <c r="C127" s="45"/>
      <c r="D127" s="48"/>
      <c r="E127" s="45"/>
      <c r="F127" s="48"/>
      <c r="G127" s="45"/>
      <c r="H127" s="48"/>
      <c r="I127" s="45"/>
      <c r="J127" s="48"/>
      <c r="P127" s="97" t="s">
        <v>68</v>
      </c>
      <c r="Q127" s="98"/>
      <c r="R127" s="38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X127" s="145"/>
      <c r="BY127" s="145"/>
      <c r="BZ127" s="145"/>
      <c r="CA127" s="145"/>
    </row>
    <row r="128" spans="1:79" ht="21" customHeight="1" x14ac:dyDescent="0.55000000000000004">
      <c r="A128" s="45"/>
      <c r="B128" s="47"/>
      <c r="C128" s="45"/>
      <c r="D128" s="48"/>
      <c r="E128" s="45"/>
      <c r="F128" s="48"/>
      <c r="G128" s="45"/>
      <c r="H128" s="48"/>
      <c r="I128" s="45"/>
      <c r="J128" s="48"/>
      <c r="P128" s="93" t="s">
        <v>29</v>
      </c>
      <c r="Q128" s="77" t="s">
        <v>66</v>
      </c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  <c r="AD128" s="78"/>
      <c r="AE128" s="78"/>
      <c r="AF128" s="78"/>
      <c r="AG128" s="78"/>
      <c r="AH128" s="78"/>
      <c r="AI128" s="29"/>
      <c r="AJ128" s="93" t="s">
        <v>29</v>
      </c>
      <c r="AK128" s="77" t="s">
        <v>66</v>
      </c>
      <c r="AL128" s="78"/>
      <c r="AM128" s="78"/>
      <c r="AN128" s="78"/>
      <c r="AO128" s="78"/>
      <c r="AP128" s="78"/>
      <c r="AQ128" s="78"/>
      <c r="AR128" s="78"/>
      <c r="AS128" s="78"/>
      <c r="AT128" s="78"/>
      <c r="AU128" s="78"/>
      <c r="AV128" s="78"/>
      <c r="AW128" s="78"/>
      <c r="AX128" s="78"/>
      <c r="AY128" s="78"/>
      <c r="AZ128" s="78"/>
      <c r="BA128" s="78"/>
      <c r="BB128" s="78"/>
      <c r="BD128" s="93" t="s">
        <v>29</v>
      </c>
      <c r="BE128" s="77" t="s">
        <v>66</v>
      </c>
      <c r="BF128" s="78"/>
      <c r="BG128" s="78"/>
      <c r="BH128" s="78"/>
      <c r="BI128" s="78"/>
      <c r="BJ128" s="78"/>
      <c r="BK128" s="78"/>
      <c r="BL128" s="78"/>
      <c r="BM128" s="78"/>
      <c r="BN128" s="78"/>
      <c r="BO128" s="78"/>
      <c r="BP128" s="78"/>
      <c r="BQ128" s="78"/>
      <c r="BR128" s="78"/>
      <c r="BS128" s="78"/>
      <c r="BT128" s="78"/>
      <c r="BU128" s="78"/>
      <c r="BV128" s="78"/>
      <c r="BX128" s="45" t="s">
        <v>86</v>
      </c>
      <c r="BY128" s="45" t="s">
        <v>83</v>
      </c>
      <c r="BZ128" s="45" t="s">
        <v>84</v>
      </c>
      <c r="CA128" s="45" t="s">
        <v>85</v>
      </c>
    </row>
    <row r="129" spans="1:79" ht="21" customHeight="1" x14ac:dyDescent="0.55000000000000004">
      <c r="A129" s="45"/>
      <c r="B129" s="47"/>
      <c r="C129" s="45"/>
      <c r="D129" s="48"/>
      <c r="E129" s="45"/>
      <c r="F129" s="48"/>
      <c r="G129" s="45"/>
      <c r="H129" s="48"/>
      <c r="I129" s="45"/>
      <c r="J129" s="48"/>
      <c r="P129" s="94"/>
      <c r="Q129" s="45">
        <v>0.5</v>
      </c>
      <c r="R129" s="45">
        <v>1</v>
      </c>
      <c r="S129" s="45">
        <v>1.5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29"/>
      <c r="AJ129" s="94"/>
      <c r="AK129" s="45">
        <v>0.5</v>
      </c>
      <c r="AL129" s="45">
        <v>1</v>
      </c>
      <c r="AM129" s="45">
        <v>1.5</v>
      </c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D129" s="94"/>
      <c r="BE129" s="45">
        <v>0.5</v>
      </c>
      <c r="BF129" s="45">
        <v>1</v>
      </c>
      <c r="BG129" s="45">
        <v>1.5</v>
      </c>
      <c r="BH129" s="45"/>
      <c r="BI129" s="45"/>
      <c r="BJ129" s="45"/>
      <c r="BK129" s="45"/>
      <c r="BL129" s="45"/>
      <c r="BM129" s="45"/>
      <c r="BN129" s="45"/>
      <c r="BO129" s="45"/>
      <c r="BP129" s="45"/>
      <c r="BQ129" s="45"/>
      <c r="BR129" s="45"/>
      <c r="BS129" s="45"/>
      <c r="BT129" s="45"/>
      <c r="BU129" s="45"/>
      <c r="BV129" s="45"/>
      <c r="BX129" s="4"/>
      <c r="BY129" s="4"/>
      <c r="BZ129" s="4"/>
      <c r="CA129" s="4"/>
    </row>
    <row r="130" spans="1:79" ht="21" customHeight="1" x14ac:dyDescent="0.55000000000000004">
      <c r="A130" s="45"/>
      <c r="B130" s="47"/>
      <c r="C130" s="45"/>
      <c r="D130" s="49"/>
      <c r="E130" s="45"/>
      <c r="F130" s="49"/>
      <c r="G130" s="45"/>
      <c r="H130" s="49"/>
      <c r="I130" s="45"/>
      <c r="J130" s="49"/>
      <c r="P130" s="45">
        <v>0.9</v>
      </c>
      <c r="Q130" s="46">
        <v>0.2</v>
      </c>
      <c r="R130" s="46">
        <v>0.2</v>
      </c>
      <c r="S130" s="46">
        <v>0.2</v>
      </c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29"/>
      <c r="AJ130" s="45">
        <v>0.9</v>
      </c>
      <c r="AK130" s="92">
        <v>0.2</v>
      </c>
      <c r="AL130" s="92">
        <v>0.2</v>
      </c>
      <c r="AM130" s="92">
        <v>0.2</v>
      </c>
      <c r="AN130" s="92"/>
      <c r="AO130" s="92"/>
      <c r="AP130" s="92"/>
      <c r="AQ130" s="92"/>
      <c r="AR130" s="92"/>
      <c r="AS130" s="92"/>
      <c r="AT130" s="92"/>
      <c r="AU130" s="92"/>
      <c r="AV130" s="92"/>
      <c r="AW130" s="92"/>
      <c r="AX130" s="92"/>
      <c r="AY130" s="92"/>
      <c r="AZ130" s="92"/>
      <c r="BA130" s="92"/>
      <c r="BB130" s="92"/>
      <c r="BD130" s="45">
        <v>0.9</v>
      </c>
      <c r="BE130" s="92">
        <v>0.2</v>
      </c>
      <c r="BF130" s="92">
        <v>0.2</v>
      </c>
      <c r="BG130" s="92">
        <v>0.2</v>
      </c>
      <c r="BH130" s="92"/>
      <c r="BI130" s="92"/>
      <c r="BJ130" s="92"/>
      <c r="BK130" s="92"/>
      <c r="BL130" s="92"/>
      <c r="BM130" s="92"/>
      <c r="BN130" s="92"/>
      <c r="BO130" s="92"/>
      <c r="BP130" s="92"/>
      <c r="BQ130" s="92"/>
      <c r="BR130" s="92"/>
      <c r="BS130" s="92"/>
      <c r="BT130" s="92"/>
      <c r="BU130" s="92"/>
      <c r="BV130" s="92"/>
      <c r="BX130" s="142">
        <v>0.5</v>
      </c>
      <c r="BY130" s="142">
        <v>0</v>
      </c>
      <c r="BZ130" s="142">
        <v>0</v>
      </c>
      <c r="CA130" s="142">
        <v>0</v>
      </c>
    </row>
    <row r="131" spans="1:79" ht="21" customHeight="1" x14ac:dyDescent="0.55000000000000004">
      <c r="A131" s="45"/>
      <c r="B131" s="47"/>
      <c r="C131" s="45"/>
      <c r="D131" s="49"/>
      <c r="E131" s="45"/>
      <c r="F131" s="49"/>
      <c r="G131" s="45"/>
      <c r="H131" s="49"/>
      <c r="I131" s="45"/>
      <c r="J131" s="49"/>
      <c r="P131" s="45">
        <v>1</v>
      </c>
      <c r="Q131" s="46">
        <v>0.2</v>
      </c>
      <c r="R131" s="46">
        <v>0.2</v>
      </c>
      <c r="S131" s="46">
        <v>0.2</v>
      </c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29"/>
      <c r="AJ131" s="45">
        <v>1</v>
      </c>
      <c r="AK131" s="92">
        <v>0.2</v>
      </c>
      <c r="AL131" s="92">
        <v>0.2</v>
      </c>
      <c r="AM131" s="92">
        <v>0.2</v>
      </c>
      <c r="AN131" s="92"/>
      <c r="AO131" s="92"/>
      <c r="AP131" s="92"/>
      <c r="AQ131" s="92"/>
      <c r="AR131" s="92"/>
      <c r="AS131" s="92"/>
      <c r="AT131" s="92"/>
      <c r="AU131" s="92"/>
      <c r="AV131" s="92"/>
      <c r="AW131" s="92"/>
      <c r="AX131" s="92"/>
      <c r="AY131" s="92"/>
      <c r="AZ131" s="92"/>
      <c r="BA131" s="92"/>
      <c r="BB131" s="92"/>
      <c r="BD131" s="45">
        <v>1</v>
      </c>
      <c r="BE131" s="92">
        <v>0.2</v>
      </c>
      <c r="BF131" s="92">
        <v>0.2</v>
      </c>
      <c r="BG131" s="92">
        <v>0.2</v>
      </c>
      <c r="BH131" s="92"/>
      <c r="BI131" s="92"/>
      <c r="BJ131" s="92"/>
      <c r="BK131" s="92"/>
      <c r="BL131" s="92"/>
      <c r="BM131" s="92"/>
      <c r="BN131" s="92"/>
      <c r="BO131" s="92"/>
      <c r="BP131" s="92"/>
      <c r="BQ131" s="92"/>
      <c r="BR131" s="92"/>
      <c r="BS131" s="92"/>
      <c r="BT131" s="92"/>
      <c r="BU131" s="92"/>
      <c r="BV131" s="92"/>
      <c r="BX131" s="142">
        <v>1</v>
      </c>
      <c r="BY131" s="142">
        <v>0</v>
      </c>
      <c r="BZ131" s="142">
        <v>0</v>
      </c>
      <c r="CA131" s="142">
        <v>0</v>
      </c>
    </row>
    <row r="132" spans="1:79" ht="21" customHeight="1" x14ac:dyDescent="0.55000000000000004">
      <c r="A132" s="50"/>
      <c r="B132" s="47"/>
      <c r="C132" s="50"/>
      <c r="D132" s="47"/>
      <c r="E132" s="50"/>
      <c r="F132" s="47"/>
      <c r="G132" s="50"/>
      <c r="H132" s="47"/>
      <c r="I132" s="50"/>
      <c r="J132" s="47"/>
      <c r="P132" s="45">
        <v>1.1000000000000001</v>
      </c>
      <c r="Q132" s="46">
        <v>0.2</v>
      </c>
      <c r="R132" s="46">
        <v>0.2</v>
      </c>
      <c r="S132" s="46">
        <v>0.2</v>
      </c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29"/>
      <c r="AJ132" s="45">
        <v>1.1000000000000001</v>
      </c>
      <c r="AK132" s="92">
        <v>0.2</v>
      </c>
      <c r="AL132" s="92">
        <v>0.2</v>
      </c>
      <c r="AM132" s="92">
        <v>0.2</v>
      </c>
      <c r="AN132" s="92"/>
      <c r="AO132" s="92"/>
      <c r="AP132" s="92"/>
      <c r="AQ132" s="92"/>
      <c r="AR132" s="92"/>
      <c r="AS132" s="92"/>
      <c r="AT132" s="92"/>
      <c r="AU132" s="92"/>
      <c r="AV132" s="92"/>
      <c r="AW132" s="92"/>
      <c r="AX132" s="92"/>
      <c r="AY132" s="92"/>
      <c r="AZ132" s="92"/>
      <c r="BA132" s="92"/>
      <c r="BB132" s="92"/>
      <c r="BD132" s="45">
        <v>1.1000000000000001</v>
      </c>
      <c r="BE132" s="92">
        <v>0.2</v>
      </c>
      <c r="BF132" s="92">
        <v>0.2</v>
      </c>
      <c r="BG132" s="92">
        <v>0.2</v>
      </c>
      <c r="BH132" s="92"/>
      <c r="BI132" s="92"/>
      <c r="BJ132" s="92"/>
      <c r="BK132" s="92"/>
      <c r="BL132" s="92"/>
      <c r="BM132" s="92"/>
      <c r="BN132" s="92"/>
      <c r="BO132" s="92"/>
      <c r="BP132" s="92"/>
      <c r="BQ132" s="92"/>
      <c r="BR132" s="92"/>
      <c r="BS132" s="92"/>
      <c r="BT132" s="92"/>
      <c r="BU132" s="92"/>
      <c r="BV132" s="92"/>
      <c r="BX132" s="142">
        <v>1.5</v>
      </c>
      <c r="BY132" s="142">
        <v>0</v>
      </c>
      <c r="BZ132" s="142">
        <v>0</v>
      </c>
      <c r="CA132" s="142">
        <v>0</v>
      </c>
    </row>
    <row r="133" spans="1:79" ht="21" customHeight="1" x14ac:dyDescent="0.55000000000000004">
      <c r="A133" s="50"/>
      <c r="B133" s="47"/>
      <c r="C133" s="50"/>
      <c r="D133" s="47"/>
      <c r="E133" s="50"/>
      <c r="F133" s="47"/>
      <c r="G133" s="50"/>
      <c r="H133" s="47"/>
      <c r="I133" s="50"/>
      <c r="J133" s="47"/>
      <c r="P133" s="45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J133" s="45"/>
      <c r="AK133" s="92"/>
      <c r="AL133" s="92"/>
      <c r="AM133" s="92"/>
      <c r="AN133" s="92"/>
      <c r="AO133" s="92"/>
      <c r="AP133" s="92"/>
      <c r="AQ133" s="92"/>
      <c r="AR133" s="92"/>
      <c r="AS133" s="92"/>
      <c r="AT133" s="92"/>
      <c r="AU133" s="92"/>
      <c r="AV133" s="92"/>
      <c r="AW133" s="92"/>
      <c r="AX133" s="92"/>
      <c r="AY133" s="92"/>
      <c r="AZ133" s="92"/>
      <c r="BA133" s="92"/>
      <c r="BB133" s="92"/>
      <c r="BD133" s="45"/>
      <c r="BE133" s="92"/>
      <c r="BF133" s="92"/>
      <c r="BG133" s="92"/>
      <c r="BH133" s="92"/>
      <c r="BI133" s="92"/>
      <c r="BJ133" s="92"/>
      <c r="BK133" s="92"/>
      <c r="BL133" s="92"/>
      <c r="BM133" s="92"/>
      <c r="BN133" s="92"/>
      <c r="BO133" s="92"/>
      <c r="BP133" s="92"/>
      <c r="BQ133" s="92"/>
      <c r="BR133" s="92"/>
      <c r="BS133" s="92"/>
      <c r="BT133" s="92"/>
      <c r="BU133" s="92"/>
      <c r="BV133" s="92"/>
      <c r="BX133" s="142"/>
      <c r="BY133" s="142"/>
      <c r="BZ133" s="142"/>
      <c r="CA133" s="142"/>
    </row>
    <row r="134" spans="1:79" ht="21" customHeight="1" x14ac:dyDescent="0.55000000000000004">
      <c r="A134" s="45"/>
      <c r="B134" s="49"/>
      <c r="C134" s="45"/>
      <c r="D134" s="49"/>
      <c r="E134" s="45"/>
      <c r="F134" s="49"/>
      <c r="G134" s="45"/>
      <c r="H134" s="49"/>
      <c r="I134" s="45"/>
      <c r="J134" s="49"/>
      <c r="P134" s="45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"/>
      <c r="AJ134" s="45"/>
      <c r="AK134" s="92"/>
      <c r="AL134" s="92"/>
      <c r="AM134" s="92"/>
      <c r="AN134" s="92"/>
      <c r="AO134" s="92"/>
      <c r="AP134" s="92"/>
      <c r="AQ134" s="92"/>
      <c r="AR134" s="92"/>
      <c r="AS134" s="92"/>
      <c r="AT134" s="92"/>
      <c r="AU134" s="92"/>
      <c r="AV134" s="92"/>
      <c r="AW134" s="92"/>
      <c r="AX134" s="92"/>
      <c r="AY134" s="92"/>
      <c r="AZ134" s="92"/>
      <c r="BA134" s="92"/>
      <c r="BB134" s="92"/>
      <c r="BD134" s="45"/>
      <c r="BE134" s="92"/>
      <c r="BF134" s="92"/>
      <c r="BG134" s="92"/>
      <c r="BH134" s="92"/>
      <c r="BI134" s="92"/>
      <c r="BJ134" s="92"/>
      <c r="BK134" s="92"/>
      <c r="BL134" s="92"/>
      <c r="BM134" s="92"/>
      <c r="BN134" s="92"/>
      <c r="BO134" s="92"/>
      <c r="BP134" s="92"/>
      <c r="BQ134" s="92"/>
      <c r="BR134" s="92"/>
      <c r="BS134" s="92"/>
      <c r="BT134" s="92"/>
      <c r="BU134" s="92"/>
      <c r="BV134" s="92"/>
      <c r="BX134" s="142"/>
      <c r="BY134" s="142"/>
      <c r="BZ134" s="142"/>
      <c r="CA134" s="142"/>
    </row>
    <row r="135" spans="1:79" ht="21" customHeight="1" x14ac:dyDescent="0.55000000000000004">
      <c r="A135" s="45"/>
      <c r="B135" s="48"/>
      <c r="C135" s="45"/>
      <c r="D135" s="48"/>
      <c r="E135" s="45"/>
      <c r="F135" s="48"/>
      <c r="G135" s="45"/>
      <c r="H135" s="48"/>
      <c r="I135" s="45"/>
      <c r="J135" s="48"/>
      <c r="P135" s="45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"/>
      <c r="AJ135" s="45"/>
      <c r="AK135" s="92"/>
      <c r="AL135" s="92"/>
      <c r="AM135" s="92"/>
      <c r="AN135" s="92"/>
      <c r="AO135" s="92"/>
      <c r="AP135" s="92"/>
      <c r="AQ135" s="92"/>
      <c r="AR135" s="92"/>
      <c r="AS135" s="92"/>
      <c r="AT135" s="92"/>
      <c r="AU135" s="92"/>
      <c r="AV135" s="92"/>
      <c r="AW135" s="92"/>
      <c r="AX135" s="92"/>
      <c r="AY135" s="92"/>
      <c r="AZ135" s="92"/>
      <c r="BA135" s="92"/>
      <c r="BB135" s="92"/>
      <c r="BD135" s="45"/>
      <c r="BE135" s="92"/>
      <c r="BF135" s="92"/>
      <c r="BG135" s="92"/>
      <c r="BH135" s="92"/>
      <c r="BI135" s="92"/>
      <c r="BJ135" s="92"/>
      <c r="BK135" s="92"/>
      <c r="BL135" s="92"/>
      <c r="BM135" s="92"/>
      <c r="BN135" s="92"/>
      <c r="BO135" s="92"/>
      <c r="BP135" s="92"/>
      <c r="BQ135" s="92"/>
      <c r="BR135" s="92"/>
      <c r="BS135" s="92"/>
      <c r="BT135" s="92"/>
      <c r="BU135" s="92"/>
      <c r="BV135" s="92"/>
      <c r="BX135" s="142"/>
      <c r="BY135" s="142"/>
      <c r="BZ135" s="142"/>
      <c r="CA135" s="142"/>
    </row>
    <row r="136" spans="1:79" ht="21" customHeight="1" x14ac:dyDescent="0.55000000000000004">
      <c r="A136" s="45"/>
      <c r="B136" s="49"/>
      <c r="C136" s="45"/>
      <c r="D136" s="49"/>
      <c r="E136" s="45"/>
      <c r="F136" s="49"/>
      <c r="G136" s="45"/>
      <c r="H136" s="49"/>
      <c r="I136" s="45"/>
      <c r="J136" s="49"/>
      <c r="P136" s="45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"/>
      <c r="AJ136" s="45"/>
      <c r="AK136" s="92"/>
      <c r="AL136" s="92"/>
      <c r="AM136" s="92"/>
      <c r="AN136" s="92"/>
      <c r="AO136" s="92"/>
      <c r="AP136" s="92"/>
      <c r="AQ136" s="92"/>
      <c r="AR136" s="92"/>
      <c r="AS136" s="92"/>
      <c r="AT136" s="92"/>
      <c r="AU136" s="92"/>
      <c r="AV136" s="92"/>
      <c r="AW136" s="92"/>
      <c r="AX136" s="92"/>
      <c r="AY136" s="92"/>
      <c r="AZ136" s="92"/>
      <c r="BA136" s="92"/>
      <c r="BB136" s="92"/>
      <c r="BD136" s="45"/>
      <c r="BE136" s="92"/>
      <c r="BF136" s="92"/>
      <c r="BG136" s="92"/>
      <c r="BH136" s="92"/>
      <c r="BI136" s="92"/>
      <c r="BJ136" s="92"/>
      <c r="BK136" s="92"/>
      <c r="BL136" s="92"/>
      <c r="BM136" s="92"/>
      <c r="BN136" s="92"/>
      <c r="BO136" s="92"/>
      <c r="BP136" s="92"/>
      <c r="BQ136" s="92"/>
      <c r="BR136" s="92"/>
      <c r="BS136" s="92"/>
      <c r="BT136" s="92"/>
      <c r="BU136" s="92"/>
      <c r="BV136" s="92"/>
      <c r="BX136" s="142"/>
      <c r="BY136" s="142"/>
      <c r="BZ136" s="142"/>
      <c r="CA136" s="142"/>
    </row>
    <row r="137" spans="1:79" ht="21" customHeight="1" x14ac:dyDescent="0.55000000000000004">
      <c r="A137" s="45"/>
      <c r="B137" s="49"/>
      <c r="C137" s="45"/>
      <c r="D137" s="49"/>
      <c r="E137" s="45"/>
      <c r="F137" s="49"/>
      <c r="G137" s="45"/>
      <c r="H137" s="49"/>
      <c r="I137" s="45"/>
      <c r="J137" s="49"/>
      <c r="P137" s="45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"/>
      <c r="AJ137" s="45"/>
      <c r="AK137" s="92"/>
      <c r="AL137" s="92"/>
      <c r="AM137" s="92"/>
      <c r="AN137" s="92"/>
      <c r="AO137" s="92"/>
      <c r="AP137" s="92"/>
      <c r="AQ137" s="92"/>
      <c r="AR137" s="92"/>
      <c r="AS137" s="92"/>
      <c r="AT137" s="92"/>
      <c r="AU137" s="92"/>
      <c r="AV137" s="92"/>
      <c r="AW137" s="92"/>
      <c r="AX137" s="92"/>
      <c r="AY137" s="92"/>
      <c r="AZ137" s="92"/>
      <c r="BA137" s="92"/>
      <c r="BB137" s="92"/>
      <c r="BD137" s="45"/>
      <c r="BE137" s="92"/>
      <c r="BF137" s="92"/>
      <c r="BG137" s="92"/>
      <c r="BH137" s="92"/>
      <c r="BI137" s="92"/>
      <c r="BJ137" s="92"/>
      <c r="BK137" s="92"/>
      <c r="BL137" s="92"/>
      <c r="BM137" s="92"/>
      <c r="BN137" s="92"/>
      <c r="BO137" s="92"/>
      <c r="BP137" s="92"/>
      <c r="BQ137" s="92"/>
      <c r="BR137" s="92"/>
      <c r="BS137" s="92"/>
      <c r="BT137" s="92"/>
      <c r="BU137" s="92"/>
      <c r="BV137" s="92"/>
      <c r="BX137" s="142"/>
      <c r="BY137" s="142"/>
      <c r="BZ137" s="142"/>
      <c r="CA137" s="142"/>
    </row>
    <row r="138" spans="1:79" ht="21" customHeight="1" x14ac:dyDescent="0.55000000000000004">
      <c r="A138" s="50"/>
      <c r="B138" s="47"/>
      <c r="C138" s="50"/>
      <c r="D138" s="47"/>
      <c r="E138" s="50"/>
      <c r="F138" s="47"/>
      <c r="G138" s="50"/>
      <c r="H138" s="47"/>
      <c r="I138" s="50"/>
      <c r="J138" s="47"/>
      <c r="P138" s="45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"/>
      <c r="AJ138" s="45"/>
      <c r="AK138" s="92"/>
      <c r="AL138" s="92"/>
      <c r="AM138" s="92"/>
      <c r="AN138" s="92"/>
      <c r="AO138" s="92"/>
      <c r="AP138" s="92"/>
      <c r="AQ138" s="92"/>
      <c r="AR138" s="92"/>
      <c r="AS138" s="92"/>
      <c r="AT138" s="92"/>
      <c r="AU138" s="92"/>
      <c r="AV138" s="92"/>
      <c r="AW138" s="92"/>
      <c r="AX138" s="92"/>
      <c r="AY138" s="92"/>
      <c r="AZ138" s="92"/>
      <c r="BA138" s="92"/>
      <c r="BB138" s="92"/>
      <c r="BD138" s="45"/>
      <c r="BE138" s="92"/>
      <c r="BF138" s="92"/>
      <c r="BG138" s="92"/>
      <c r="BH138" s="92"/>
      <c r="BI138" s="92"/>
      <c r="BJ138" s="92"/>
      <c r="BK138" s="92"/>
      <c r="BL138" s="92"/>
      <c r="BM138" s="92"/>
      <c r="BN138" s="92"/>
      <c r="BO138" s="92"/>
      <c r="BP138" s="92"/>
      <c r="BQ138" s="92"/>
      <c r="BR138" s="92"/>
      <c r="BS138" s="92"/>
      <c r="BT138" s="92"/>
      <c r="BU138" s="92"/>
      <c r="BV138" s="92"/>
      <c r="BX138" s="142"/>
      <c r="BY138" s="142"/>
      <c r="BZ138" s="142"/>
      <c r="CA138" s="142"/>
    </row>
    <row r="139" spans="1:79" ht="21" customHeight="1" x14ac:dyDescent="0.55000000000000004">
      <c r="A139" s="50"/>
      <c r="B139" s="47"/>
      <c r="C139" s="50"/>
      <c r="D139" s="47"/>
      <c r="E139" s="50"/>
      <c r="F139" s="47"/>
      <c r="G139" s="50"/>
      <c r="H139" s="47"/>
      <c r="I139" s="50"/>
      <c r="J139" s="47"/>
      <c r="P139" s="45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29"/>
      <c r="AJ139" s="45"/>
      <c r="AK139" s="92"/>
      <c r="AL139" s="92"/>
      <c r="AM139" s="92"/>
      <c r="AN139" s="92"/>
      <c r="AO139" s="92"/>
      <c r="AP139" s="92"/>
      <c r="AQ139" s="92"/>
      <c r="AR139" s="92"/>
      <c r="AS139" s="92"/>
      <c r="AT139" s="92"/>
      <c r="AU139" s="92"/>
      <c r="AV139" s="92"/>
      <c r="AW139" s="92"/>
      <c r="AX139" s="92"/>
      <c r="AY139" s="92"/>
      <c r="AZ139" s="92"/>
      <c r="BA139" s="92"/>
      <c r="BB139" s="92"/>
      <c r="BD139" s="45"/>
      <c r="BE139" s="92"/>
      <c r="BF139" s="92"/>
      <c r="BG139" s="92"/>
      <c r="BH139" s="92"/>
      <c r="BI139" s="92"/>
      <c r="BJ139" s="92"/>
      <c r="BK139" s="92"/>
      <c r="BL139" s="92"/>
      <c r="BM139" s="92"/>
      <c r="BN139" s="92"/>
      <c r="BO139" s="92"/>
      <c r="BP139" s="92"/>
      <c r="BQ139" s="92"/>
      <c r="BR139" s="92"/>
      <c r="BS139" s="92"/>
      <c r="BT139" s="92"/>
      <c r="BU139" s="92"/>
      <c r="BV139" s="92"/>
      <c r="BX139" s="142"/>
      <c r="BY139" s="142"/>
      <c r="BZ139" s="142"/>
      <c r="CA139" s="142"/>
    </row>
    <row r="140" spans="1:79" ht="21" customHeight="1" x14ac:dyDescent="0.55000000000000004">
      <c r="A140" s="45"/>
      <c r="B140" s="49"/>
      <c r="C140" s="45"/>
      <c r="D140" s="49"/>
      <c r="E140" s="45"/>
      <c r="F140" s="49"/>
      <c r="G140" s="45"/>
      <c r="H140" s="49"/>
      <c r="I140" s="45"/>
      <c r="J140" s="49"/>
      <c r="P140" s="45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29"/>
      <c r="AJ140" s="45"/>
      <c r="AK140" s="92"/>
      <c r="AL140" s="92"/>
      <c r="AM140" s="92"/>
      <c r="AN140" s="92"/>
      <c r="AO140" s="92"/>
      <c r="AP140" s="92"/>
      <c r="AQ140" s="92"/>
      <c r="AR140" s="92"/>
      <c r="AS140" s="92"/>
      <c r="AT140" s="92"/>
      <c r="AU140" s="92"/>
      <c r="AV140" s="92"/>
      <c r="AW140" s="92"/>
      <c r="AX140" s="92"/>
      <c r="AY140" s="92"/>
      <c r="AZ140" s="92"/>
      <c r="BA140" s="92"/>
      <c r="BB140" s="92"/>
      <c r="BD140" s="45"/>
      <c r="BE140" s="92"/>
      <c r="BF140" s="92"/>
      <c r="BG140" s="92"/>
      <c r="BH140" s="92"/>
      <c r="BI140" s="92"/>
      <c r="BJ140" s="92"/>
      <c r="BK140" s="92"/>
      <c r="BL140" s="92"/>
      <c r="BM140" s="92"/>
      <c r="BN140" s="92"/>
      <c r="BO140" s="92"/>
      <c r="BP140" s="92"/>
      <c r="BQ140" s="92"/>
      <c r="BR140" s="92"/>
      <c r="BS140" s="92"/>
      <c r="BT140" s="92"/>
      <c r="BU140" s="92"/>
      <c r="BV140" s="92"/>
      <c r="BX140" s="142"/>
      <c r="BY140" s="142"/>
      <c r="BZ140" s="142"/>
      <c r="CA140" s="142"/>
    </row>
    <row r="141" spans="1:79" ht="21" customHeight="1" x14ac:dyDescent="0.55000000000000004">
      <c r="A141" s="45"/>
      <c r="B141" s="48"/>
      <c r="C141" s="45"/>
      <c r="D141" s="48"/>
      <c r="E141" s="45"/>
      <c r="F141" s="48"/>
      <c r="G141" s="45"/>
      <c r="H141" s="48"/>
      <c r="I141" s="45"/>
      <c r="J141" s="48"/>
      <c r="P141" s="45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29"/>
      <c r="AJ141" s="45"/>
      <c r="AK141" s="92"/>
      <c r="AL141" s="92"/>
      <c r="AM141" s="92"/>
      <c r="AN141" s="92"/>
      <c r="AO141" s="92"/>
      <c r="AP141" s="92"/>
      <c r="AQ141" s="92"/>
      <c r="AR141" s="92"/>
      <c r="AS141" s="92"/>
      <c r="AT141" s="92"/>
      <c r="AU141" s="92"/>
      <c r="AV141" s="92"/>
      <c r="AW141" s="92"/>
      <c r="AX141" s="92"/>
      <c r="AY141" s="92"/>
      <c r="AZ141" s="92"/>
      <c r="BA141" s="92"/>
      <c r="BB141" s="92"/>
      <c r="BD141" s="45"/>
      <c r="BE141" s="92"/>
      <c r="BF141" s="92"/>
      <c r="BG141" s="92"/>
      <c r="BH141" s="92"/>
      <c r="BI141" s="92"/>
      <c r="BJ141" s="92"/>
      <c r="BK141" s="92"/>
      <c r="BL141" s="92"/>
      <c r="BM141" s="92"/>
      <c r="BN141" s="92"/>
      <c r="BO141" s="92"/>
      <c r="BP141" s="92"/>
      <c r="BQ141" s="92"/>
      <c r="BR141" s="92"/>
      <c r="BS141" s="92"/>
      <c r="BT141" s="92"/>
      <c r="BU141" s="92"/>
      <c r="BV141" s="92"/>
      <c r="BX141" s="142"/>
      <c r="BY141" s="142"/>
      <c r="BZ141" s="142"/>
      <c r="CA141" s="142"/>
    </row>
    <row r="142" spans="1:79" ht="21" customHeight="1" x14ac:dyDescent="0.55000000000000004">
      <c r="A142" s="51"/>
      <c r="B142" s="52"/>
      <c r="C142" s="51"/>
      <c r="D142" s="52"/>
      <c r="E142" s="51"/>
      <c r="F142" s="52"/>
      <c r="G142" s="51"/>
      <c r="H142" s="52"/>
      <c r="I142" s="51"/>
      <c r="J142" s="52"/>
      <c r="P142" s="45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29"/>
      <c r="AJ142" s="45"/>
      <c r="AK142" s="92"/>
      <c r="AL142" s="92"/>
      <c r="AM142" s="92"/>
      <c r="AN142" s="92"/>
      <c r="AO142" s="92"/>
      <c r="AP142" s="92"/>
      <c r="AQ142" s="92"/>
      <c r="AR142" s="92"/>
      <c r="AS142" s="92"/>
      <c r="AT142" s="92"/>
      <c r="AU142" s="92"/>
      <c r="AV142" s="92"/>
      <c r="AW142" s="92"/>
      <c r="AX142" s="92"/>
      <c r="AY142" s="92"/>
      <c r="AZ142" s="92"/>
      <c r="BA142" s="92"/>
      <c r="BB142" s="92"/>
      <c r="BD142" s="45"/>
      <c r="BE142" s="92"/>
      <c r="BF142" s="92"/>
      <c r="BG142" s="92"/>
      <c r="BH142" s="92"/>
      <c r="BI142" s="92"/>
      <c r="BJ142" s="92"/>
      <c r="BK142" s="92"/>
      <c r="BL142" s="92"/>
      <c r="BM142" s="92"/>
      <c r="BN142" s="92"/>
      <c r="BO142" s="92"/>
      <c r="BP142" s="92"/>
      <c r="BQ142" s="92"/>
      <c r="BR142" s="92"/>
      <c r="BS142" s="92"/>
      <c r="BT142" s="92"/>
      <c r="BU142" s="92"/>
      <c r="BV142" s="92"/>
      <c r="BX142" s="142"/>
      <c r="BY142" s="142"/>
      <c r="BZ142" s="142"/>
      <c r="CA142" s="142"/>
    </row>
    <row r="143" spans="1:79" ht="21" customHeight="1" x14ac:dyDescent="0.55000000000000004">
      <c r="A143" s="51"/>
      <c r="B143" s="52"/>
      <c r="C143" s="51"/>
      <c r="D143" s="52"/>
      <c r="E143" s="51"/>
      <c r="F143" s="52"/>
      <c r="G143" s="51"/>
      <c r="H143" s="52"/>
      <c r="I143" s="51"/>
      <c r="J143" s="52"/>
      <c r="P143" s="45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29"/>
      <c r="AJ143" s="45"/>
      <c r="AK143" s="92"/>
      <c r="AL143" s="92"/>
      <c r="AM143" s="92"/>
      <c r="AN143" s="92"/>
      <c r="AO143" s="92"/>
      <c r="AP143" s="92"/>
      <c r="AQ143" s="92"/>
      <c r="AR143" s="92"/>
      <c r="AS143" s="92"/>
      <c r="AT143" s="92"/>
      <c r="AU143" s="92"/>
      <c r="AV143" s="92"/>
      <c r="AW143" s="92"/>
      <c r="AX143" s="92"/>
      <c r="AY143" s="92"/>
      <c r="AZ143" s="92"/>
      <c r="BA143" s="92"/>
      <c r="BB143" s="92"/>
      <c r="BD143" s="45"/>
      <c r="BE143" s="92"/>
      <c r="BF143" s="92"/>
      <c r="BG143" s="92"/>
      <c r="BH143" s="92"/>
      <c r="BI143" s="92"/>
      <c r="BJ143" s="92"/>
      <c r="BK143" s="92"/>
      <c r="BL143" s="92"/>
      <c r="BM143" s="92"/>
      <c r="BN143" s="92"/>
      <c r="BO143" s="92"/>
      <c r="BP143" s="92"/>
      <c r="BQ143" s="92"/>
      <c r="BR143" s="92"/>
      <c r="BS143" s="92"/>
      <c r="BT143" s="92"/>
      <c r="BU143" s="92"/>
      <c r="BV143" s="92"/>
      <c r="BX143" s="142"/>
      <c r="BY143" s="142"/>
      <c r="BZ143" s="142"/>
      <c r="CA143" s="142"/>
    </row>
    <row r="144" spans="1:79" ht="21" customHeight="1" x14ac:dyDescent="0.55000000000000004">
      <c r="A144" s="51"/>
      <c r="B144" s="52"/>
      <c r="C144" s="51"/>
      <c r="D144" s="52"/>
      <c r="E144" s="51"/>
      <c r="F144" s="52"/>
      <c r="G144" s="51"/>
      <c r="H144" s="52"/>
      <c r="I144" s="51"/>
      <c r="J144" s="52"/>
      <c r="P144" s="45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29"/>
      <c r="AJ144" s="45"/>
      <c r="AK144" s="92"/>
      <c r="AL144" s="92"/>
      <c r="AM144" s="92"/>
      <c r="AN144" s="92"/>
      <c r="AO144" s="92"/>
      <c r="AP144" s="92"/>
      <c r="AQ144" s="92"/>
      <c r="AR144" s="92"/>
      <c r="AS144" s="92"/>
      <c r="AT144" s="92"/>
      <c r="AU144" s="92"/>
      <c r="AV144" s="92"/>
      <c r="AW144" s="92"/>
      <c r="AX144" s="92"/>
      <c r="AY144" s="92"/>
      <c r="AZ144" s="92"/>
      <c r="BA144" s="92"/>
      <c r="BB144" s="92"/>
      <c r="BD144" s="45"/>
      <c r="BE144" s="92"/>
      <c r="BF144" s="92"/>
      <c r="BG144" s="92"/>
      <c r="BH144" s="92"/>
      <c r="BI144" s="92"/>
      <c r="BJ144" s="92"/>
      <c r="BK144" s="92"/>
      <c r="BL144" s="92"/>
      <c r="BM144" s="92"/>
      <c r="BN144" s="92"/>
      <c r="BO144" s="92"/>
      <c r="BP144" s="92"/>
      <c r="BQ144" s="92"/>
      <c r="BR144" s="92"/>
      <c r="BS144" s="92"/>
      <c r="BT144" s="92"/>
      <c r="BU144" s="92"/>
      <c r="BV144" s="92"/>
      <c r="BX144" s="142"/>
      <c r="BY144" s="142"/>
      <c r="BZ144" s="142"/>
      <c r="CA144" s="142"/>
    </row>
    <row r="145" spans="1:79" ht="21" customHeight="1" x14ac:dyDescent="0.55000000000000004">
      <c r="A145" s="51"/>
      <c r="B145" s="52"/>
      <c r="C145" s="51"/>
      <c r="D145" s="52"/>
      <c r="E145" s="51"/>
      <c r="F145" s="52"/>
      <c r="G145" s="51"/>
      <c r="H145" s="52"/>
      <c r="I145" s="51"/>
      <c r="J145" s="52"/>
      <c r="P145" s="45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29"/>
      <c r="AJ145" s="45"/>
      <c r="AK145" s="92"/>
      <c r="AL145" s="92"/>
      <c r="AM145" s="92"/>
      <c r="AN145" s="92"/>
      <c r="AO145" s="92"/>
      <c r="AP145" s="92"/>
      <c r="AQ145" s="92"/>
      <c r="AR145" s="92"/>
      <c r="AS145" s="92"/>
      <c r="AT145" s="92"/>
      <c r="AU145" s="92"/>
      <c r="AV145" s="92"/>
      <c r="AW145" s="92"/>
      <c r="AX145" s="92"/>
      <c r="AY145" s="92"/>
      <c r="AZ145" s="92"/>
      <c r="BA145" s="92"/>
      <c r="BB145" s="92"/>
      <c r="BD145" s="45"/>
      <c r="BE145" s="92"/>
      <c r="BF145" s="92"/>
      <c r="BG145" s="92"/>
      <c r="BH145" s="92"/>
      <c r="BI145" s="92"/>
      <c r="BJ145" s="92"/>
      <c r="BK145" s="92"/>
      <c r="BL145" s="92"/>
      <c r="BM145" s="92"/>
      <c r="BN145" s="92"/>
      <c r="BO145" s="92"/>
      <c r="BP145" s="92"/>
      <c r="BQ145" s="92"/>
      <c r="BR145" s="92"/>
      <c r="BS145" s="92"/>
      <c r="BT145" s="92"/>
      <c r="BU145" s="92"/>
      <c r="BV145" s="92"/>
      <c r="BX145" s="142"/>
      <c r="BY145" s="142"/>
      <c r="BZ145" s="142"/>
      <c r="CA145" s="142"/>
    </row>
    <row r="146" spans="1:79" ht="21" customHeight="1" x14ac:dyDescent="0.55000000000000004">
      <c r="A146" s="51"/>
      <c r="B146" s="52"/>
      <c r="C146" s="51"/>
      <c r="D146" s="52"/>
      <c r="E146" s="51"/>
      <c r="F146" s="52"/>
      <c r="G146" s="51"/>
      <c r="H146" s="52"/>
      <c r="I146" s="51"/>
      <c r="J146" s="52"/>
      <c r="P146" s="45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29"/>
      <c r="AJ146" s="45"/>
      <c r="AK146" s="92"/>
      <c r="AL146" s="92"/>
      <c r="AM146" s="92"/>
      <c r="AN146" s="92"/>
      <c r="AO146" s="92"/>
      <c r="AP146" s="92"/>
      <c r="AQ146" s="92"/>
      <c r="AR146" s="92"/>
      <c r="AS146" s="92"/>
      <c r="AT146" s="92"/>
      <c r="AU146" s="92"/>
      <c r="AV146" s="92"/>
      <c r="AW146" s="92"/>
      <c r="AX146" s="92"/>
      <c r="AY146" s="92"/>
      <c r="AZ146" s="92"/>
      <c r="BA146" s="92"/>
      <c r="BB146" s="92"/>
      <c r="BD146" s="45"/>
      <c r="BE146" s="92"/>
      <c r="BF146" s="92"/>
      <c r="BG146" s="92"/>
      <c r="BH146" s="92"/>
      <c r="BI146" s="92"/>
      <c r="BJ146" s="92"/>
      <c r="BK146" s="92"/>
      <c r="BL146" s="92"/>
      <c r="BM146" s="92"/>
      <c r="BN146" s="92"/>
      <c r="BO146" s="92"/>
      <c r="BP146" s="92"/>
      <c r="BQ146" s="92"/>
      <c r="BR146" s="92"/>
      <c r="BS146" s="92"/>
      <c r="BT146" s="92"/>
      <c r="BU146" s="92"/>
      <c r="BV146" s="92"/>
      <c r="BX146" s="142"/>
      <c r="BY146" s="142"/>
      <c r="BZ146" s="142"/>
      <c r="CA146" s="142"/>
    </row>
    <row r="147" spans="1:79" ht="21" customHeight="1" x14ac:dyDescent="0.55000000000000004">
      <c r="A147" s="51"/>
      <c r="B147" s="52"/>
      <c r="C147" s="51"/>
      <c r="D147" s="52"/>
      <c r="E147" s="51"/>
      <c r="F147" s="52"/>
      <c r="G147" s="51"/>
      <c r="H147" s="52"/>
      <c r="I147" s="51"/>
      <c r="J147" s="52"/>
      <c r="P147" s="45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29"/>
      <c r="AJ147" s="45"/>
      <c r="AK147" s="92"/>
      <c r="AL147" s="92"/>
      <c r="AM147" s="92"/>
      <c r="AN147" s="92"/>
      <c r="AO147" s="92"/>
      <c r="AP147" s="92"/>
      <c r="AQ147" s="92"/>
      <c r="AR147" s="92"/>
      <c r="AS147" s="92"/>
      <c r="AT147" s="92"/>
      <c r="AU147" s="92"/>
      <c r="AV147" s="92"/>
      <c r="AW147" s="92"/>
      <c r="AX147" s="92"/>
      <c r="AY147" s="92"/>
      <c r="AZ147" s="92"/>
      <c r="BA147" s="92"/>
      <c r="BB147" s="92"/>
      <c r="BD147" s="45"/>
      <c r="BE147" s="92"/>
      <c r="BF147" s="92"/>
      <c r="BG147" s="92"/>
      <c r="BH147" s="92"/>
      <c r="BI147" s="92"/>
      <c r="BJ147" s="92"/>
      <c r="BK147" s="92"/>
      <c r="BL147" s="92"/>
      <c r="BM147" s="92"/>
      <c r="BN147" s="92"/>
      <c r="BO147" s="92"/>
      <c r="BP147" s="92"/>
      <c r="BQ147" s="92"/>
      <c r="BR147" s="92"/>
      <c r="BS147" s="92"/>
      <c r="BT147" s="92"/>
      <c r="BU147" s="92"/>
      <c r="BV147" s="92"/>
      <c r="BX147" s="142"/>
      <c r="BY147" s="142"/>
      <c r="BZ147" s="142"/>
      <c r="CA147" s="142"/>
    </row>
    <row r="148" spans="1:79" ht="21" customHeight="1" x14ac:dyDescent="0.55000000000000004">
      <c r="A148" s="51"/>
      <c r="B148" s="52"/>
      <c r="C148" s="51"/>
      <c r="D148" s="52"/>
      <c r="E148" s="51"/>
      <c r="F148" s="52"/>
      <c r="G148" s="51"/>
      <c r="H148" s="52"/>
      <c r="I148" s="51"/>
      <c r="J148" s="52"/>
      <c r="P148" s="45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J148" s="45"/>
      <c r="AK148" s="92"/>
      <c r="AL148" s="92"/>
      <c r="AM148" s="92"/>
      <c r="AN148" s="92"/>
      <c r="AO148" s="92"/>
      <c r="AP148" s="92"/>
      <c r="AQ148" s="92"/>
      <c r="AR148" s="92"/>
      <c r="AS148" s="92"/>
      <c r="AT148" s="92"/>
      <c r="AU148" s="92"/>
      <c r="AV148" s="92"/>
      <c r="AW148" s="92"/>
      <c r="AX148" s="92"/>
      <c r="AY148" s="92"/>
      <c r="AZ148" s="92"/>
      <c r="BA148" s="92"/>
      <c r="BB148" s="92"/>
      <c r="BD148" s="45"/>
      <c r="BE148" s="92"/>
      <c r="BF148" s="92"/>
      <c r="BG148" s="92"/>
      <c r="BH148" s="92"/>
      <c r="BI148" s="92"/>
      <c r="BJ148" s="92"/>
      <c r="BK148" s="92"/>
      <c r="BL148" s="92"/>
      <c r="BM148" s="92"/>
      <c r="BN148" s="92"/>
      <c r="BO148" s="92"/>
      <c r="BP148" s="92"/>
      <c r="BQ148" s="92"/>
      <c r="BR148" s="92"/>
      <c r="BS148" s="92"/>
      <c r="BT148" s="92"/>
      <c r="BU148" s="92"/>
      <c r="BV148" s="92"/>
      <c r="BX148" s="142"/>
      <c r="BY148" s="142"/>
      <c r="BZ148" s="142"/>
      <c r="CA148" s="142"/>
    </row>
    <row r="149" spans="1:79" ht="21" customHeight="1" x14ac:dyDescent="0.55000000000000004">
      <c r="A149" s="51"/>
      <c r="B149" s="52"/>
      <c r="C149" s="51"/>
      <c r="D149" s="52"/>
      <c r="E149" s="51"/>
      <c r="F149" s="52"/>
      <c r="G149" s="51"/>
      <c r="H149" s="52"/>
      <c r="I149" s="51"/>
      <c r="J149" s="52"/>
      <c r="P149" s="45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"/>
      <c r="AJ149" s="45"/>
      <c r="AK149" s="92"/>
      <c r="AL149" s="92"/>
      <c r="AM149" s="92"/>
      <c r="AN149" s="92"/>
      <c r="AO149" s="92"/>
      <c r="AP149" s="92"/>
      <c r="AQ149" s="92"/>
      <c r="AR149" s="92"/>
      <c r="AS149" s="92"/>
      <c r="AT149" s="92"/>
      <c r="AU149" s="92"/>
      <c r="AV149" s="92"/>
      <c r="AW149" s="92"/>
      <c r="AX149" s="92"/>
      <c r="AY149" s="92"/>
      <c r="AZ149" s="92"/>
      <c r="BA149" s="92"/>
      <c r="BB149" s="92"/>
      <c r="BD149" s="45"/>
      <c r="BE149" s="92"/>
      <c r="BF149" s="92"/>
      <c r="BG149" s="92"/>
      <c r="BH149" s="92"/>
      <c r="BI149" s="92"/>
      <c r="BJ149" s="92"/>
      <c r="BK149" s="92"/>
      <c r="BL149" s="92"/>
      <c r="BM149" s="92"/>
      <c r="BN149" s="92"/>
      <c r="BO149" s="92"/>
      <c r="BP149" s="92"/>
      <c r="BQ149" s="92"/>
      <c r="BR149" s="92"/>
      <c r="BS149" s="92"/>
      <c r="BT149" s="92"/>
      <c r="BU149" s="92"/>
      <c r="BV149" s="92"/>
      <c r="BX149" s="142"/>
      <c r="BY149" s="142"/>
      <c r="BZ149" s="142"/>
      <c r="CA149" s="142"/>
    </row>
    <row r="150" spans="1:79" ht="21" customHeight="1" x14ac:dyDescent="0.55000000000000004">
      <c r="A150" s="51"/>
      <c r="B150" s="52"/>
      <c r="C150" s="51"/>
      <c r="D150" s="52"/>
      <c r="E150" s="51"/>
      <c r="F150" s="52"/>
      <c r="G150" s="51"/>
      <c r="H150" s="52"/>
      <c r="I150" s="51"/>
      <c r="J150" s="52"/>
      <c r="P150" s="45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"/>
      <c r="AJ150" s="45"/>
      <c r="AK150" s="92"/>
      <c r="AL150" s="92"/>
      <c r="AM150" s="92"/>
      <c r="AN150" s="92"/>
      <c r="AO150" s="92"/>
      <c r="AP150" s="92"/>
      <c r="AQ150" s="92"/>
      <c r="AR150" s="92"/>
      <c r="AS150" s="92"/>
      <c r="AT150" s="92"/>
      <c r="AU150" s="92"/>
      <c r="AV150" s="92"/>
      <c r="AW150" s="92"/>
      <c r="AX150" s="92"/>
      <c r="AY150" s="92"/>
      <c r="AZ150" s="92"/>
      <c r="BA150" s="92"/>
      <c r="BB150" s="92"/>
      <c r="BD150" s="45"/>
      <c r="BE150" s="92"/>
      <c r="BF150" s="92"/>
      <c r="BG150" s="92"/>
      <c r="BH150" s="92"/>
      <c r="BI150" s="92"/>
      <c r="BJ150" s="92"/>
      <c r="BK150" s="92"/>
      <c r="BL150" s="92"/>
      <c r="BM150" s="92"/>
      <c r="BN150" s="92"/>
      <c r="BO150" s="92"/>
      <c r="BP150" s="92"/>
      <c r="BQ150" s="92"/>
      <c r="BR150" s="92"/>
      <c r="BS150" s="92"/>
      <c r="BT150" s="92"/>
      <c r="BU150" s="92"/>
      <c r="BV150" s="92"/>
      <c r="BX150" s="142"/>
      <c r="BY150" s="142"/>
      <c r="BZ150" s="142"/>
      <c r="CA150" s="142"/>
    </row>
    <row r="151" spans="1:79" ht="21" customHeight="1" x14ac:dyDescent="0.55000000000000004">
      <c r="A151" s="51"/>
      <c r="B151" s="52"/>
      <c r="C151" s="51"/>
      <c r="D151" s="52"/>
      <c r="E151" s="51"/>
      <c r="F151" s="52"/>
      <c r="G151" s="51"/>
      <c r="H151" s="52"/>
      <c r="I151" s="51"/>
      <c r="J151" s="52"/>
      <c r="P151" s="45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"/>
      <c r="AJ151" s="45"/>
      <c r="AK151" s="92"/>
      <c r="AL151" s="92"/>
      <c r="AM151" s="92"/>
      <c r="AN151" s="92"/>
      <c r="AO151" s="92"/>
      <c r="AP151" s="92"/>
      <c r="AQ151" s="92"/>
      <c r="AR151" s="92"/>
      <c r="AS151" s="92"/>
      <c r="AT151" s="92"/>
      <c r="AU151" s="92"/>
      <c r="AV151" s="92"/>
      <c r="AW151" s="92"/>
      <c r="AX151" s="92"/>
      <c r="AY151" s="92"/>
      <c r="AZ151" s="92"/>
      <c r="BA151" s="92"/>
      <c r="BB151" s="92"/>
      <c r="BD151" s="45"/>
      <c r="BE151" s="92"/>
      <c r="BF151" s="92"/>
      <c r="BG151" s="92"/>
      <c r="BH151" s="92"/>
      <c r="BI151" s="92"/>
      <c r="BJ151" s="92"/>
      <c r="BK151" s="92"/>
      <c r="BL151" s="92"/>
      <c r="BM151" s="92"/>
      <c r="BN151" s="92"/>
      <c r="BO151" s="92"/>
      <c r="BP151" s="92"/>
      <c r="BQ151" s="92"/>
      <c r="BR151" s="92"/>
      <c r="BS151" s="92"/>
      <c r="BT151" s="92"/>
      <c r="BU151" s="92"/>
      <c r="BV151" s="92"/>
      <c r="BX151" s="142"/>
      <c r="BY151" s="142"/>
      <c r="BZ151" s="142"/>
      <c r="CA151" s="142"/>
    </row>
    <row r="152" spans="1:79" ht="21" customHeight="1" x14ac:dyDescent="0.55000000000000004">
      <c r="A152" s="51"/>
      <c r="B152" s="52"/>
      <c r="C152" s="51"/>
      <c r="D152" s="52"/>
      <c r="E152" s="51"/>
      <c r="F152" s="52"/>
      <c r="G152" s="51"/>
      <c r="H152" s="52"/>
      <c r="I152" s="51"/>
      <c r="J152" s="52"/>
      <c r="P152" s="45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"/>
      <c r="AJ152" s="45"/>
      <c r="AK152" s="92"/>
      <c r="AL152" s="92"/>
      <c r="AM152" s="92"/>
      <c r="AN152" s="92"/>
      <c r="AO152" s="92"/>
      <c r="AP152" s="92"/>
      <c r="AQ152" s="92"/>
      <c r="AR152" s="92"/>
      <c r="AS152" s="92"/>
      <c r="AT152" s="92"/>
      <c r="AU152" s="92"/>
      <c r="AV152" s="92"/>
      <c r="AW152" s="92"/>
      <c r="AX152" s="92"/>
      <c r="AY152" s="92"/>
      <c r="AZ152" s="92"/>
      <c r="BA152" s="92"/>
      <c r="BB152" s="92"/>
      <c r="BD152" s="45"/>
      <c r="BE152" s="92"/>
      <c r="BF152" s="92"/>
      <c r="BG152" s="92"/>
      <c r="BH152" s="92"/>
      <c r="BI152" s="92"/>
      <c r="BJ152" s="92"/>
      <c r="BK152" s="92"/>
      <c r="BL152" s="92"/>
      <c r="BM152" s="92"/>
      <c r="BN152" s="92"/>
      <c r="BO152" s="92"/>
      <c r="BP152" s="92"/>
      <c r="BQ152" s="92"/>
      <c r="BR152" s="92"/>
      <c r="BS152" s="92"/>
      <c r="BT152" s="92"/>
      <c r="BU152" s="92"/>
      <c r="BV152" s="92"/>
      <c r="BX152" s="142"/>
      <c r="BY152" s="142"/>
      <c r="BZ152" s="142"/>
      <c r="CA152" s="142"/>
    </row>
    <row r="153" spans="1:79" ht="21" customHeight="1" x14ac:dyDescent="0.55000000000000004">
      <c r="A153" s="51"/>
      <c r="B153" s="52"/>
      <c r="C153" s="51"/>
      <c r="D153" s="52"/>
      <c r="E153" s="51"/>
      <c r="F153" s="52"/>
      <c r="G153" s="51"/>
      <c r="H153" s="52"/>
      <c r="I153" s="51"/>
      <c r="J153" s="52"/>
      <c r="P153" s="45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"/>
      <c r="AJ153" s="45"/>
      <c r="AK153" s="92"/>
      <c r="AL153" s="92"/>
      <c r="AM153" s="92"/>
      <c r="AN153" s="92"/>
      <c r="AO153" s="92"/>
      <c r="AP153" s="92"/>
      <c r="AQ153" s="92"/>
      <c r="AR153" s="92"/>
      <c r="AS153" s="92"/>
      <c r="AT153" s="92"/>
      <c r="AU153" s="92"/>
      <c r="AV153" s="92"/>
      <c r="AW153" s="92"/>
      <c r="AX153" s="92"/>
      <c r="AY153" s="92"/>
      <c r="AZ153" s="92"/>
      <c r="BA153" s="92"/>
      <c r="BB153" s="92"/>
      <c r="BD153" s="45"/>
      <c r="BE153" s="92"/>
      <c r="BF153" s="92"/>
      <c r="BG153" s="92"/>
      <c r="BH153" s="92"/>
      <c r="BI153" s="92"/>
      <c r="BJ153" s="92"/>
      <c r="BK153" s="92"/>
      <c r="BL153" s="92"/>
      <c r="BM153" s="92"/>
      <c r="BN153" s="92"/>
      <c r="BO153" s="92"/>
      <c r="BP153" s="92"/>
      <c r="BQ153" s="92"/>
      <c r="BR153" s="92"/>
      <c r="BS153" s="92"/>
      <c r="BT153" s="92"/>
      <c r="BU153" s="92"/>
      <c r="BV153" s="92"/>
      <c r="BX153" s="142"/>
      <c r="BY153" s="142"/>
      <c r="BZ153" s="142"/>
      <c r="CA153" s="142"/>
    </row>
    <row r="154" spans="1:79" ht="21" customHeight="1" x14ac:dyDescent="0.6">
      <c r="A154" s="51"/>
      <c r="B154" s="52"/>
      <c r="C154" s="51"/>
      <c r="D154" s="52"/>
      <c r="E154" s="51"/>
      <c r="F154" s="52"/>
      <c r="G154" s="51"/>
      <c r="H154" s="52"/>
      <c r="I154" s="51"/>
      <c r="J154" s="52"/>
      <c r="BX154" s="143"/>
    </row>
    <row r="155" spans="1:79" ht="21" customHeight="1" x14ac:dyDescent="0.6">
      <c r="A155" s="51"/>
      <c r="B155" s="52"/>
      <c r="C155" s="51"/>
      <c r="D155" s="52"/>
      <c r="E155" s="51"/>
      <c r="F155" s="52"/>
      <c r="G155" s="51"/>
      <c r="H155" s="52"/>
      <c r="I155" s="51"/>
      <c r="J155" s="52"/>
      <c r="P155" s="79" t="s">
        <v>48</v>
      </c>
      <c r="Q155" s="79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X155" s="143"/>
    </row>
    <row r="156" spans="1:79" ht="21" customHeight="1" x14ac:dyDescent="0.6">
      <c r="A156" s="51"/>
      <c r="B156" s="52"/>
      <c r="C156" s="51"/>
      <c r="D156" s="52"/>
      <c r="E156" s="51"/>
      <c r="F156" s="52"/>
      <c r="G156" s="51"/>
      <c r="H156" s="52"/>
      <c r="I156" s="51"/>
      <c r="J156" s="52"/>
      <c r="P156" s="78"/>
      <c r="Q156" s="78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X156" s="144" t="s">
        <v>87</v>
      </c>
      <c r="BY156" s="144"/>
      <c r="BZ156" s="144"/>
      <c r="CA156" s="144"/>
    </row>
    <row r="157" spans="1:79" ht="21" customHeight="1" x14ac:dyDescent="0.6">
      <c r="A157" s="51"/>
      <c r="B157" s="52"/>
      <c r="C157" s="51"/>
      <c r="D157" s="52"/>
      <c r="E157" s="51"/>
      <c r="F157" s="52"/>
      <c r="G157" s="51"/>
      <c r="H157" s="52"/>
      <c r="I157" s="51"/>
      <c r="J157" s="52"/>
      <c r="P157" s="97" t="s">
        <v>68</v>
      </c>
      <c r="Q157" s="98"/>
      <c r="R157" s="38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X157" s="145"/>
      <c r="BY157" s="145"/>
      <c r="BZ157" s="145"/>
      <c r="CA157" s="145"/>
    </row>
    <row r="158" spans="1:79" ht="21" customHeight="1" x14ac:dyDescent="0.6">
      <c r="A158" s="51"/>
      <c r="B158" s="52"/>
      <c r="C158" s="51"/>
      <c r="D158" s="52"/>
      <c r="E158" s="51"/>
      <c r="F158" s="52"/>
      <c r="G158" s="51"/>
      <c r="H158" s="52"/>
      <c r="I158" s="51"/>
      <c r="J158" s="52"/>
      <c r="P158" s="93" t="s">
        <v>29</v>
      </c>
      <c r="Q158" s="77" t="s">
        <v>66</v>
      </c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  <c r="AC158" s="78"/>
      <c r="AD158" s="78"/>
      <c r="AE158" s="78"/>
      <c r="AF158" s="78"/>
      <c r="AG158" s="78"/>
      <c r="AH158" s="78"/>
      <c r="AI158" s="29"/>
      <c r="AJ158" s="93" t="s">
        <v>29</v>
      </c>
      <c r="AK158" s="77" t="s">
        <v>66</v>
      </c>
      <c r="AL158" s="78"/>
      <c r="AM158" s="78"/>
      <c r="AN158" s="78"/>
      <c r="AO158" s="78"/>
      <c r="AP158" s="78"/>
      <c r="AQ158" s="78"/>
      <c r="AR158" s="78"/>
      <c r="AS158" s="78"/>
      <c r="AT158" s="78"/>
      <c r="AU158" s="78"/>
      <c r="AV158" s="78"/>
      <c r="AW158" s="78"/>
      <c r="AX158" s="78"/>
      <c r="AY158" s="78"/>
      <c r="AZ158" s="78"/>
      <c r="BA158" s="78"/>
      <c r="BB158" s="78"/>
      <c r="BD158" s="93" t="s">
        <v>29</v>
      </c>
      <c r="BE158" s="77" t="s">
        <v>66</v>
      </c>
      <c r="BF158" s="78"/>
      <c r="BG158" s="78"/>
      <c r="BH158" s="78"/>
      <c r="BI158" s="78"/>
      <c r="BJ158" s="78"/>
      <c r="BK158" s="78"/>
      <c r="BL158" s="78"/>
      <c r="BM158" s="78"/>
      <c r="BN158" s="78"/>
      <c r="BO158" s="78"/>
      <c r="BP158" s="78"/>
      <c r="BQ158" s="78"/>
      <c r="BR158" s="78"/>
      <c r="BS158" s="78"/>
      <c r="BT158" s="78"/>
      <c r="BU158" s="78"/>
      <c r="BV158" s="78"/>
      <c r="BX158" s="45" t="s">
        <v>86</v>
      </c>
      <c r="BY158" s="45" t="s">
        <v>83</v>
      </c>
      <c r="BZ158" s="45" t="s">
        <v>84</v>
      </c>
      <c r="CA158" s="45" t="s">
        <v>85</v>
      </c>
    </row>
    <row r="159" spans="1:79" ht="21" customHeight="1" x14ac:dyDescent="0.6">
      <c r="A159" s="51"/>
      <c r="B159" s="52"/>
      <c r="C159" s="51"/>
      <c r="D159" s="52"/>
      <c r="E159" s="51"/>
      <c r="F159" s="52"/>
      <c r="G159" s="51"/>
      <c r="H159" s="52"/>
      <c r="I159" s="51"/>
      <c r="J159" s="52"/>
      <c r="P159" s="94"/>
      <c r="Q159" s="45">
        <v>0.5</v>
      </c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29"/>
      <c r="AJ159" s="94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  <c r="BD159" s="94"/>
      <c r="BE159" s="45"/>
      <c r="BF159" s="45"/>
      <c r="BG159" s="45"/>
      <c r="BH159" s="45"/>
      <c r="BI159" s="45"/>
      <c r="BJ159" s="45"/>
      <c r="BK159" s="45"/>
      <c r="BL159" s="45"/>
      <c r="BM159" s="45"/>
      <c r="BN159" s="45"/>
      <c r="BO159" s="45"/>
      <c r="BP159" s="45"/>
      <c r="BQ159" s="45"/>
      <c r="BR159" s="45"/>
      <c r="BS159" s="45"/>
      <c r="BT159" s="45"/>
      <c r="BU159" s="45"/>
      <c r="BV159" s="45"/>
      <c r="BX159" s="4"/>
      <c r="BY159" s="4"/>
      <c r="BZ159" s="4"/>
      <c r="CA159" s="4"/>
    </row>
    <row r="160" spans="1:79" ht="21" customHeight="1" x14ac:dyDescent="0.55000000000000004">
      <c r="A160" s="51"/>
      <c r="B160" s="52"/>
      <c r="C160" s="51"/>
      <c r="D160" s="52"/>
      <c r="E160" s="51"/>
      <c r="F160" s="52"/>
      <c r="G160" s="51"/>
      <c r="H160" s="52"/>
      <c r="I160" s="51"/>
      <c r="J160" s="52"/>
      <c r="M160" s="4"/>
      <c r="N160" s="4"/>
      <c r="O160" s="4"/>
      <c r="P160" s="45">
        <v>0.9</v>
      </c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29"/>
      <c r="AJ160" s="45"/>
      <c r="AK160" s="92"/>
      <c r="AL160" s="92"/>
      <c r="AM160" s="92"/>
      <c r="AN160" s="92"/>
      <c r="AO160" s="92"/>
      <c r="AP160" s="92"/>
      <c r="AQ160" s="92"/>
      <c r="AR160" s="92"/>
      <c r="AS160" s="92"/>
      <c r="AT160" s="92"/>
      <c r="AU160" s="92"/>
      <c r="AV160" s="92"/>
      <c r="AW160" s="92"/>
      <c r="AX160" s="92"/>
      <c r="AY160" s="92"/>
      <c r="AZ160" s="92"/>
      <c r="BA160" s="92"/>
      <c r="BB160" s="92"/>
      <c r="BD160" s="45"/>
      <c r="BE160" s="92"/>
      <c r="BF160" s="92"/>
      <c r="BG160" s="92"/>
      <c r="BH160" s="92"/>
      <c r="BI160" s="92"/>
      <c r="BJ160" s="92"/>
      <c r="BK160" s="92"/>
      <c r="BL160" s="92"/>
      <c r="BM160" s="92"/>
      <c r="BN160" s="92"/>
      <c r="BO160" s="92"/>
      <c r="BP160" s="92"/>
      <c r="BQ160" s="92"/>
      <c r="BR160" s="92"/>
      <c r="BS160" s="92"/>
      <c r="BT160" s="92"/>
      <c r="BU160" s="92"/>
      <c r="BV160" s="92"/>
      <c r="BX160" s="142"/>
      <c r="BY160" s="142"/>
      <c r="BZ160" s="142"/>
      <c r="CA160" s="142"/>
    </row>
    <row r="161" spans="1:79" ht="21" customHeight="1" x14ac:dyDescent="0.55000000000000004">
      <c r="A161" s="51"/>
      <c r="B161" s="52"/>
      <c r="C161" s="51"/>
      <c r="D161" s="52"/>
      <c r="E161" s="51"/>
      <c r="F161" s="52"/>
      <c r="G161" s="51"/>
      <c r="H161" s="52"/>
      <c r="I161" s="51"/>
      <c r="J161" s="52"/>
      <c r="P161" s="45">
        <v>1</v>
      </c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29"/>
      <c r="AJ161" s="45"/>
      <c r="AK161" s="92"/>
      <c r="AL161" s="92"/>
      <c r="AM161" s="92"/>
      <c r="AN161" s="92"/>
      <c r="AO161" s="92"/>
      <c r="AP161" s="92"/>
      <c r="AQ161" s="92"/>
      <c r="AR161" s="92"/>
      <c r="AS161" s="92"/>
      <c r="AT161" s="92"/>
      <c r="AU161" s="92"/>
      <c r="AV161" s="92"/>
      <c r="AW161" s="92"/>
      <c r="AX161" s="92"/>
      <c r="AY161" s="92"/>
      <c r="AZ161" s="92"/>
      <c r="BA161" s="92"/>
      <c r="BB161" s="92"/>
      <c r="BD161" s="45"/>
      <c r="BE161" s="92"/>
      <c r="BF161" s="92"/>
      <c r="BG161" s="92"/>
      <c r="BH161" s="92"/>
      <c r="BI161" s="92"/>
      <c r="BJ161" s="92"/>
      <c r="BK161" s="92"/>
      <c r="BL161" s="92"/>
      <c r="BM161" s="92"/>
      <c r="BN161" s="92"/>
      <c r="BO161" s="92"/>
      <c r="BP161" s="92"/>
      <c r="BQ161" s="92"/>
      <c r="BR161" s="92"/>
      <c r="BS161" s="92"/>
      <c r="BT161" s="92"/>
      <c r="BU161" s="92"/>
      <c r="BV161" s="92"/>
      <c r="BX161" s="142"/>
      <c r="BY161" s="142"/>
      <c r="BZ161" s="142"/>
      <c r="CA161" s="142"/>
    </row>
    <row r="162" spans="1:79" ht="21" customHeight="1" x14ac:dyDescent="0.55000000000000004">
      <c r="A162" s="51"/>
      <c r="B162" s="52"/>
      <c r="C162" s="51"/>
      <c r="D162" s="52"/>
      <c r="E162" s="51"/>
      <c r="F162" s="52"/>
      <c r="G162" s="51"/>
      <c r="H162" s="52"/>
      <c r="I162" s="51"/>
      <c r="J162" s="52"/>
      <c r="P162" s="45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29"/>
      <c r="AJ162" s="45"/>
      <c r="AK162" s="92"/>
      <c r="AL162" s="92"/>
      <c r="AM162" s="92"/>
      <c r="AN162" s="92"/>
      <c r="AO162" s="92"/>
      <c r="AP162" s="92"/>
      <c r="AQ162" s="92"/>
      <c r="AR162" s="92"/>
      <c r="AS162" s="92"/>
      <c r="AT162" s="92"/>
      <c r="AU162" s="92"/>
      <c r="AV162" s="92"/>
      <c r="AW162" s="92"/>
      <c r="AX162" s="92"/>
      <c r="AY162" s="92"/>
      <c r="AZ162" s="92"/>
      <c r="BA162" s="92"/>
      <c r="BB162" s="92"/>
      <c r="BD162" s="45"/>
      <c r="BE162" s="92"/>
      <c r="BF162" s="92"/>
      <c r="BG162" s="92"/>
      <c r="BH162" s="92"/>
      <c r="BI162" s="92"/>
      <c r="BJ162" s="92"/>
      <c r="BK162" s="92"/>
      <c r="BL162" s="92"/>
      <c r="BM162" s="92"/>
      <c r="BN162" s="92"/>
      <c r="BO162" s="92"/>
      <c r="BP162" s="92"/>
      <c r="BQ162" s="92"/>
      <c r="BR162" s="92"/>
      <c r="BS162" s="92"/>
      <c r="BT162" s="92"/>
      <c r="BU162" s="92"/>
      <c r="BV162" s="92"/>
      <c r="BX162" s="142"/>
      <c r="BY162" s="142"/>
      <c r="BZ162" s="142"/>
      <c r="CA162" s="142"/>
    </row>
    <row r="163" spans="1:79" ht="21" customHeight="1" x14ac:dyDescent="0.55000000000000004">
      <c r="A163" s="51"/>
      <c r="B163" s="52"/>
      <c r="C163" s="51"/>
      <c r="D163" s="52"/>
      <c r="E163" s="51"/>
      <c r="F163" s="52"/>
      <c r="G163" s="51"/>
      <c r="H163" s="52"/>
      <c r="I163" s="51"/>
      <c r="J163" s="52"/>
      <c r="P163" s="45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J163" s="45"/>
      <c r="AK163" s="92"/>
      <c r="AL163" s="92"/>
      <c r="AM163" s="92"/>
      <c r="AN163" s="92"/>
      <c r="AO163" s="92"/>
      <c r="AP163" s="92"/>
      <c r="AQ163" s="92"/>
      <c r="AR163" s="92"/>
      <c r="AS163" s="92"/>
      <c r="AT163" s="92"/>
      <c r="AU163" s="92"/>
      <c r="AV163" s="92"/>
      <c r="AW163" s="92"/>
      <c r="AX163" s="92"/>
      <c r="AY163" s="92"/>
      <c r="AZ163" s="92"/>
      <c r="BA163" s="92"/>
      <c r="BB163" s="92"/>
      <c r="BD163" s="45"/>
      <c r="BE163" s="92"/>
      <c r="BF163" s="92"/>
      <c r="BG163" s="92"/>
      <c r="BH163" s="92"/>
      <c r="BI163" s="92"/>
      <c r="BJ163" s="92"/>
      <c r="BK163" s="92"/>
      <c r="BL163" s="92"/>
      <c r="BM163" s="92"/>
      <c r="BN163" s="92"/>
      <c r="BO163" s="92"/>
      <c r="BP163" s="92"/>
      <c r="BQ163" s="92"/>
      <c r="BR163" s="92"/>
      <c r="BS163" s="92"/>
      <c r="BT163" s="92"/>
      <c r="BU163" s="92"/>
      <c r="BV163" s="92"/>
      <c r="BX163" s="142"/>
      <c r="BY163" s="142"/>
      <c r="BZ163" s="142"/>
      <c r="CA163" s="142"/>
    </row>
    <row r="164" spans="1:79" ht="21" customHeight="1" x14ac:dyDescent="0.55000000000000004">
      <c r="P164" s="45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"/>
      <c r="AJ164" s="45"/>
      <c r="AK164" s="92"/>
      <c r="AL164" s="92"/>
      <c r="AM164" s="92"/>
      <c r="AN164" s="92"/>
      <c r="AO164" s="92"/>
      <c r="AP164" s="92"/>
      <c r="AQ164" s="92"/>
      <c r="AR164" s="92"/>
      <c r="AS164" s="92"/>
      <c r="AT164" s="92"/>
      <c r="AU164" s="92"/>
      <c r="AV164" s="92"/>
      <c r="AW164" s="92"/>
      <c r="AX164" s="92"/>
      <c r="AY164" s="92"/>
      <c r="AZ164" s="92"/>
      <c r="BA164" s="92"/>
      <c r="BB164" s="92"/>
      <c r="BD164" s="45"/>
      <c r="BE164" s="92"/>
      <c r="BF164" s="92"/>
      <c r="BG164" s="92"/>
      <c r="BH164" s="92"/>
      <c r="BI164" s="92"/>
      <c r="BJ164" s="92"/>
      <c r="BK164" s="92"/>
      <c r="BL164" s="92"/>
      <c r="BM164" s="92"/>
      <c r="BN164" s="92"/>
      <c r="BO164" s="92"/>
      <c r="BP164" s="92"/>
      <c r="BQ164" s="92"/>
      <c r="BR164" s="92"/>
      <c r="BS164" s="92"/>
      <c r="BT164" s="92"/>
      <c r="BU164" s="92"/>
      <c r="BV164" s="92"/>
      <c r="BX164" s="142"/>
      <c r="BY164" s="142"/>
      <c r="BZ164" s="142"/>
      <c r="CA164" s="142"/>
    </row>
    <row r="165" spans="1:79" ht="21" customHeight="1" x14ac:dyDescent="0.55000000000000004">
      <c r="A165" s="99" t="s">
        <v>40</v>
      </c>
      <c r="B165" s="99"/>
      <c r="C165" s="99"/>
      <c r="D165" s="99"/>
      <c r="E165" s="99"/>
      <c r="F165" s="99"/>
      <c r="G165" s="99"/>
      <c r="H165" s="99"/>
      <c r="P165" s="45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"/>
      <c r="AJ165" s="45"/>
      <c r="AK165" s="92"/>
      <c r="AL165" s="92"/>
      <c r="AM165" s="92"/>
      <c r="AN165" s="92"/>
      <c r="AO165" s="92"/>
      <c r="AP165" s="92"/>
      <c r="AQ165" s="92"/>
      <c r="AR165" s="92"/>
      <c r="AS165" s="92"/>
      <c r="AT165" s="92"/>
      <c r="AU165" s="92"/>
      <c r="AV165" s="92"/>
      <c r="AW165" s="92"/>
      <c r="AX165" s="92"/>
      <c r="AY165" s="92"/>
      <c r="AZ165" s="92"/>
      <c r="BA165" s="92"/>
      <c r="BB165" s="92"/>
      <c r="BD165" s="45"/>
      <c r="BE165" s="92"/>
      <c r="BF165" s="92"/>
      <c r="BG165" s="92"/>
      <c r="BH165" s="92"/>
      <c r="BI165" s="92"/>
      <c r="BJ165" s="92"/>
      <c r="BK165" s="92"/>
      <c r="BL165" s="92"/>
      <c r="BM165" s="92"/>
      <c r="BN165" s="92"/>
      <c r="BO165" s="92"/>
      <c r="BP165" s="92"/>
      <c r="BQ165" s="92"/>
      <c r="BR165" s="92"/>
      <c r="BS165" s="92"/>
      <c r="BT165" s="92"/>
      <c r="BU165" s="92"/>
      <c r="BV165" s="92"/>
      <c r="BX165" s="142"/>
      <c r="BY165" s="142"/>
      <c r="BZ165" s="142"/>
      <c r="CA165" s="142"/>
    </row>
    <row r="166" spans="1:79" ht="21" customHeight="1" x14ac:dyDescent="0.55000000000000004">
      <c r="A166" s="99"/>
      <c r="B166" s="99"/>
      <c r="C166" s="99"/>
      <c r="D166" s="99"/>
      <c r="E166" s="99"/>
      <c r="F166" s="99"/>
      <c r="G166" s="99"/>
      <c r="H166" s="99"/>
      <c r="P166" s="45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"/>
      <c r="AJ166" s="45"/>
      <c r="AK166" s="92"/>
      <c r="AL166" s="92"/>
      <c r="AM166" s="92"/>
      <c r="AN166" s="92"/>
      <c r="AO166" s="92"/>
      <c r="AP166" s="92"/>
      <c r="AQ166" s="92"/>
      <c r="AR166" s="92"/>
      <c r="AS166" s="92"/>
      <c r="AT166" s="92"/>
      <c r="AU166" s="92"/>
      <c r="AV166" s="92"/>
      <c r="AW166" s="92"/>
      <c r="AX166" s="92"/>
      <c r="AY166" s="92"/>
      <c r="AZ166" s="92"/>
      <c r="BA166" s="92"/>
      <c r="BB166" s="92"/>
      <c r="BD166" s="45"/>
      <c r="BE166" s="92"/>
      <c r="BF166" s="92"/>
      <c r="BG166" s="92"/>
      <c r="BH166" s="92"/>
      <c r="BI166" s="92"/>
      <c r="BJ166" s="92"/>
      <c r="BK166" s="92"/>
      <c r="BL166" s="92"/>
      <c r="BM166" s="92"/>
      <c r="BN166" s="92"/>
      <c r="BO166" s="92"/>
      <c r="BP166" s="92"/>
      <c r="BQ166" s="92"/>
      <c r="BR166" s="92"/>
      <c r="BS166" s="92"/>
      <c r="BT166" s="92"/>
      <c r="BU166" s="92"/>
      <c r="BV166" s="92"/>
      <c r="BX166" s="142"/>
      <c r="BY166" s="142"/>
      <c r="BZ166" s="142"/>
      <c r="CA166" s="142"/>
    </row>
    <row r="167" spans="1:79" ht="21" customHeight="1" x14ac:dyDescent="0.55000000000000004">
      <c r="A167" s="41"/>
      <c r="B167" s="11" t="s">
        <v>8</v>
      </c>
      <c r="C167" s="11" t="s">
        <v>26</v>
      </c>
      <c r="D167" s="11" t="s">
        <v>13</v>
      </c>
      <c r="E167" s="11" t="s">
        <v>69</v>
      </c>
      <c r="F167" s="11" t="s">
        <v>70</v>
      </c>
      <c r="P167" s="45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"/>
      <c r="AJ167" s="45"/>
      <c r="AK167" s="92"/>
      <c r="AL167" s="92"/>
      <c r="AM167" s="92"/>
      <c r="AN167" s="92"/>
      <c r="AO167" s="92"/>
      <c r="AP167" s="92"/>
      <c r="AQ167" s="92"/>
      <c r="AR167" s="92"/>
      <c r="AS167" s="92"/>
      <c r="AT167" s="92"/>
      <c r="AU167" s="92"/>
      <c r="AV167" s="92"/>
      <c r="AW167" s="92"/>
      <c r="AX167" s="92"/>
      <c r="AY167" s="92"/>
      <c r="AZ167" s="92"/>
      <c r="BA167" s="92"/>
      <c r="BB167" s="92"/>
      <c r="BD167" s="45"/>
      <c r="BE167" s="92"/>
      <c r="BF167" s="92"/>
      <c r="BG167" s="92"/>
      <c r="BH167" s="92"/>
      <c r="BI167" s="92"/>
      <c r="BJ167" s="92"/>
      <c r="BK167" s="92"/>
      <c r="BL167" s="92"/>
      <c r="BM167" s="92"/>
      <c r="BN167" s="92"/>
      <c r="BO167" s="92"/>
      <c r="BP167" s="92"/>
      <c r="BQ167" s="92"/>
      <c r="BR167" s="92"/>
      <c r="BS167" s="92"/>
      <c r="BT167" s="92"/>
      <c r="BU167" s="92"/>
      <c r="BV167" s="92"/>
      <c r="BX167" s="142"/>
      <c r="BY167" s="142"/>
      <c r="BZ167" s="142"/>
      <c r="CA167" s="142"/>
    </row>
    <row r="168" spans="1:79" ht="21" customHeight="1" x14ac:dyDescent="0.55000000000000004">
      <c r="A168" s="11" t="s">
        <v>41</v>
      </c>
      <c r="B168" s="54">
        <v>0</v>
      </c>
      <c r="C168" s="54">
        <v>0</v>
      </c>
      <c r="D168" s="54">
        <v>0</v>
      </c>
      <c r="E168" s="54">
        <v>0</v>
      </c>
      <c r="F168" s="54">
        <v>0</v>
      </c>
      <c r="P168" s="45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"/>
      <c r="AJ168" s="45"/>
      <c r="AK168" s="92"/>
      <c r="AL168" s="92"/>
      <c r="AM168" s="92"/>
      <c r="AN168" s="92"/>
      <c r="AO168" s="92"/>
      <c r="AP168" s="92"/>
      <c r="AQ168" s="92"/>
      <c r="AR168" s="92"/>
      <c r="AS168" s="92"/>
      <c r="AT168" s="92"/>
      <c r="AU168" s="92"/>
      <c r="AV168" s="92"/>
      <c r="AW168" s="92"/>
      <c r="AX168" s="92"/>
      <c r="AY168" s="92"/>
      <c r="AZ168" s="92"/>
      <c r="BA168" s="92"/>
      <c r="BB168" s="92"/>
      <c r="BD168" s="45"/>
      <c r="BE168" s="92"/>
      <c r="BF168" s="92"/>
      <c r="BG168" s="92"/>
      <c r="BH168" s="92"/>
      <c r="BI168" s="92"/>
      <c r="BJ168" s="92"/>
      <c r="BK168" s="92"/>
      <c r="BL168" s="92"/>
      <c r="BM168" s="92"/>
      <c r="BN168" s="92"/>
      <c r="BO168" s="92"/>
      <c r="BP168" s="92"/>
      <c r="BQ168" s="92"/>
      <c r="BR168" s="92"/>
      <c r="BS168" s="92"/>
      <c r="BT168" s="92"/>
      <c r="BU168" s="92"/>
      <c r="BV168" s="92"/>
      <c r="BX168" s="142"/>
      <c r="BY168" s="142"/>
      <c r="BZ168" s="142"/>
      <c r="CA168" s="142"/>
    </row>
    <row r="169" spans="1:79" ht="21" customHeight="1" x14ac:dyDescent="0.55000000000000004">
      <c r="A169" s="11" t="s">
        <v>42</v>
      </c>
      <c r="B169" s="55">
        <v>7.0000000000000007E-2</v>
      </c>
      <c r="C169" s="55">
        <v>-0.03</v>
      </c>
      <c r="D169" s="55">
        <v>0</v>
      </c>
      <c r="E169" s="55">
        <v>0</v>
      </c>
      <c r="F169" s="55">
        <v>2.8047217199999998E-2</v>
      </c>
      <c r="P169" s="45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29"/>
      <c r="AJ169" s="45"/>
      <c r="AK169" s="92"/>
      <c r="AL169" s="92"/>
      <c r="AM169" s="92"/>
      <c r="AN169" s="92"/>
      <c r="AO169" s="92"/>
      <c r="AP169" s="92"/>
      <c r="AQ169" s="92"/>
      <c r="AR169" s="92"/>
      <c r="AS169" s="92"/>
      <c r="AT169" s="92"/>
      <c r="AU169" s="92"/>
      <c r="AV169" s="92"/>
      <c r="AW169" s="92"/>
      <c r="AX169" s="92"/>
      <c r="AY169" s="92"/>
      <c r="AZ169" s="92"/>
      <c r="BA169" s="92"/>
      <c r="BB169" s="92"/>
      <c r="BD169" s="45"/>
      <c r="BE169" s="92"/>
      <c r="BF169" s="92"/>
      <c r="BG169" s="92"/>
      <c r="BH169" s="92"/>
      <c r="BI169" s="92"/>
      <c r="BJ169" s="92"/>
      <c r="BK169" s="92"/>
      <c r="BL169" s="92"/>
      <c r="BM169" s="92"/>
      <c r="BN169" s="92"/>
      <c r="BO169" s="92"/>
      <c r="BP169" s="92"/>
      <c r="BQ169" s="92"/>
      <c r="BR169" s="92"/>
      <c r="BS169" s="92"/>
      <c r="BT169" s="92"/>
      <c r="BU169" s="92"/>
      <c r="BV169" s="92"/>
      <c r="BX169" s="142"/>
      <c r="BY169" s="142"/>
      <c r="BZ169" s="142"/>
      <c r="CA169" s="142"/>
    </row>
    <row r="170" spans="1:79" ht="21" customHeight="1" x14ac:dyDescent="0.55000000000000004">
      <c r="A170" s="100"/>
      <c r="B170" s="100"/>
      <c r="P170" s="45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29"/>
      <c r="AJ170" s="45"/>
      <c r="AK170" s="92"/>
      <c r="AL170" s="92"/>
      <c r="AM170" s="92"/>
      <c r="AN170" s="92"/>
      <c r="AO170" s="92"/>
      <c r="AP170" s="92"/>
      <c r="AQ170" s="92"/>
      <c r="AR170" s="92"/>
      <c r="AS170" s="92"/>
      <c r="AT170" s="92"/>
      <c r="AU170" s="92"/>
      <c r="AV170" s="92"/>
      <c r="AW170" s="92"/>
      <c r="AX170" s="92"/>
      <c r="AY170" s="92"/>
      <c r="AZ170" s="92"/>
      <c r="BA170" s="92"/>
      <c r="BB170" s="92"/>
      <c r="BD170" s="45"/>
      <c r="BE170" s="92"/>
      <c r="BF170" s="92"/>
      <c r="BG170" s="92"/>
      <c r="BH170" s="92"/>
      <c r="BI170" s="92"/>
      <c r="BJ170" s="92"/>
      <c r="BK170" s="92"/>
      <c r="BL170" s="92"/>
      <c r="BM170" s="92"/>
      <c r="BN170" s="92"/>
      <c r="BO170" s="92"/>
      <c r="BP170" s="92"/>
      <c r="BQ170" s="92"/>
      <c r="BR170" s="92"/>
      <c r="BS170" s="92"/>
      <c r="BT170" s="92"/>
      <c r="BU170" s="92"/>
      <c r="BV170" s="92"/>
      <c r="BX170" s="142"/>
      <c r="BY170" s="142"/>
      <c r="BZ170" s="142"/>
      <c r="CA170" s="142"/>
    </row>
    <row r="171" spans="1:79" ht="21" customHeight="1" x14ac:dyDescent="0.55000000000000004">
      <c r="A171" s="95" t="s">
        <v>8</v>
      </c>
      <c r="B171" s="95"/>
      <c r="C171" s="95" t="s">
        <v>26</v>
      </c>
      <c r="D171" s="95"/>
      <c r="E171" s="95" t="s">
        <v>27</v>
      </c>
      <c r="F171" s="95"/>
      <c r="G171" s="95" t="s">
        <v>48</v>
      </c>
      <c r="H171" s="95"/>
      <c r="I171" s="95" t="s">
        <v>49</v>
      </c>
      <c r="J171" s="95"/>
      <c r="P171" s="45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29"/>
      <c r="AJ171" s="45"/>
      <c r="AK171" s="92"/>
      <c r="AL171" s="92"/>
      <c r="AM171" s="92"/>
      <c r="AN171" s="92"/>
      <c r="AO171" s="92"/>
      <c r="AP171" s="92"/>
      <c r="AQ171" s="92"/>
      <c r="AR171" s="92"/>
      <c r="AS171" s="92"/>
      <c r="AT171" s="92"/>
      <c r="AU171" s="92"/>
      <c r="AV171" s="92"/>
      <c r="AW171" s="92"/>
      <c r="AX171" s="92"/>
      <c r="AY171" s="92"/>
      <c r="AZ171" s="92"/>
      <c r="BA171" s="92"/>
      <c r="BB171" s="92"/>
      <c r="BD171" s="45"/>
      <c r="BE171" s="92"/>
      <c r="BF171" s="92"/>
      <c r="BG171" s="92"/>
      <c r="BH171" s="92"/>
      <c r="BI171" s="92"/>
      <c r="BJ171" s="92"/>
      <c r="BK171" s="92"/>
      <c r="BL171" s="92"/>
      <c r="BM171" s="92"/>
      <c r="BN171" s="92"/>
      <c r="BO171" s="92"/>
      <c r="BP171" s="92"/>
      <c r="BQ171" s="92"/>
      <c r="BR171" s="92"/>
      <c r="BS171" s="92"/>
      <c r="BT171" s="92"/>
      <c r="BU171" s="92"/>
      <c r="BV171" s="92"/>
      <c r="BX171" s="142"/>
      <c r="BY171" s="142"/>
      <c r="BZ171" s="142"/>
      <c r="CA171" s="142"/>
    </row>
    <row r="172" spans="1:79" ht="21" customHeight="1" x14ac:dyDescent="0.55000000000000004">
      <c r="P172" s="45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29"/>
      <c r="AJ172" s="45"/>
      <c r="AK172" s="92"/>
      <c r="AL172" s="92"/>
      <c r="AM172" s="92"/>
      <c r="AN172" s="92"/>
      <c r="AO172" s="92"/>
      <c r="AP172" s="92"/>
      <c r="AQ172" s="92"/>
      <c r="AR172" s="92"/>
      <c r="AS172" s="92"/>
      <c r="AT172" s="92"/>
      <c r="AU172" s="92"/>
      <c r="AV172" s="92"/>
      <c r="AW172" s="92"/>
      <c r="AX172" s="92"/>
      <c r="AY172" s="92"/>
      <c r="AZ172" s="92"/>
      <c r="BA172" s="92"/>
      <c r="BB172" s="92"/>
      <c r="BD172" s="45"/>
      <c r="BE172" s="92"/>
      <c r="BF172" s="92"/>
      <c r="BG172" s="92"/>
      <c r="BH172" s="92"/>
      <c r="BI172" s="92"/>
      <c r="BJ172" s="92"/>
      <c r="BK172" s="92"/>
      <c r="BL172" s="92"/>
      <c r="BM172" s="92"/>
      <c r="BN172" s="92"/>
      <c r="BO172" s="92"/>
      <c r="BP172" s="92"/>
      <c r="BQ172" s="92"/>
      <c r="BR172" s="92"/>
      <c r="BS172" s="92"/>
      <c r="BT172" s="92"/>
      <c r="BU172" s="92"/>
      <c r="BV172" s="92"/>
      <c r="BX172" s="142"/>
      <c r="BY172" s="142"/>
      <c r="BZ172" s="142"/>
      <c r="CA172" s="142"/>
    </row>
    <row r="173" spans="1:79" ht="21" customHeight="1" x14ac:dyDescent="0.55000000000000004">
      <c r="A173" s="11" t="s">
        <v>36</v>
      </c>
      <c r="B173" s="11" t="s">
        <v>37</v>
      </c>
      <c r="C173" s="11" t="s">
        <v>36</v>
      </c>
      <c r="D173" s="11" t="s">
        <v>37</v>
      </c>
      <c r="E173" s="11" t="s">
        <v>36</v>
      </c>
      <c r="F173" s="11" t="s">
        <v>37</v>
      </c>
      <c r="G173" s="11" t="s">
        <v>36</v>
      </c>
      <c r="H173" s="11" t="s">
        <v>37</v>
      </c>
      <c r="I173" s="11" t="s">
        <v>36</v>
      </c>
      <c r="J173" s="11" t="s">
        <v>37</v>
      </c>
      <c r="P173" s="45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29"/>
      <c r="AJ173" s="45"/>
      <c r="AK173" s="92"/>
      <c r="AL173" s="92"/>
      <c r="AM173" s="92"/>
      <c r="AN173" s="92"/>
      <c r="AO173" s="92"/>
      <c r="AP173" s="92"/>
      <c r="AQ173" s="92"/>
      <c r="AR173" s="92"/>
      <c r="AS173" s="92"/>
      <c r="AT173" s="92"/>
      <c r="AU173" s="92"/>
      <c r="AV173" s="92"/>
      <c r="AW173" s="92"/>
      <c r="AX173" s="92"/>
      <c r="AY173" s="92"/>
      <c r="AZ173" s="92"/>
      <c r="BA173" s="92"/>
      <c r="BB173" s="92"/>
      <c r="BD173" s="45"/>
      <c r="BE173" s="92"/>
      <c r="BF173" s="92"/>
      <c r="BG173" s="92"/>
      <c r="BH173" s="92"/>
      <c r="BI173" s="92"/>
      <c r="BJ173" s="92"/>
      <c r="BK173" s="92"/>
      <c r="BL173" s="92"/>
      <c r="BM173" s="92"/>
      <c r="BN173" s="92"/>
      <c r="BO173" s="92"/>
      <c r="BP173" s="92"/>
      <c r="BQ173" s="92"/>
      <c r="BR173" s="92"/>
      <c r="BS173" s="92"/>
      <c r="BT173" s="92"/>
      <c r="BU173" s="92"/>
      <c r="BV173" s="92"/>
      <c r="BX173" s="142"/>
      <c r="BY173" s="142"/>
      <c r="BZ173" s="142"/>
      <c r="CA173" s="142"/>
    </row>
    <row r="174" spans="1:79" ht="21" customHeight="1" x14ac:dyDescent="0.55000000000000004">
      <c r="A174" s="45">
        <v>2.7777779999999998E-3</v>
      </c>
      <c r="B174" s="47">
        <v>0.05</v>
      </c>
      <c r="C174" s="45">
        <v>2.7777779999999998E-3</v>
      </c>
      <c r="D174" s="47">
        <v>0.05</v>
      </c>
      <c r="E174" s="45">
        <v>2.7777779999999998E-3</v>
      </c>
      <c r="F174" s="47">
        <v>0</v>
      </c>
      <c r="G174" s="45">
        <v>2.7777779999999998E-3</v>
      </c>
      <c r="H174" s="47">
        <v>1.43E-2</v>
      </c>
      <c r="I174" s="45">
        <v>2.7777779999999998E-3</v>
      </c>
      <c r="J174" s="47">
        <v>1.43E-2</v>
      </c>
      <c r="P174" s="45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29"/>
      <c r="AJ174" s="45"/>
      <c r="AK174" s="92"/>
      <c r="AL174" s="92"/>
      <c r="AM174" s="92"/>
      <c r="AN174" s="92"/>
      <c r="AO174" s="92"/>
      <c r="AP174" s="92"/>
      <c r="AQ174" s="92"/>
      <c r="AR174" s="92"/>
      <c r="AS174" s="92"/>
      <c r="AT174" s="92"/>
      <c r="AU174" s="92"/>
      <c r="AV174" s="92"/>
      <c r="AW174" s="92"/>
      <c r="AX174" s="92"/>
      <c r="AY174" s="92"/>
      <c r="AZ174" s="92"/>
      <c r="BA174" s="92"/>
      <c r="BB174" s="92"/>
      <c r="BD174" s="45"/>
      <c r="BE174" s="92"/>
      <c r="BF174" s="92"/>
      <c r="BG174" s="92"/>
      <c r="BH174" s="92"/>
      <c r="BI174" s="92"/>
      <c r="BJ174" s="92"/>
      <c r="BK174" s="92"/>
      <c r="BL174" s="92"/>
      <c r="BM174" s="92"/>
      <c r="BN174" s="92"/>
      <c r="BO174" s="92"/>
      <c r="BP174" s="92"/>
      <c r="BQ174" s="92"/>
      <c r="BR174" s="92"/>
      <c r="BS174" s="92"/>
      <c r="BT174" s="92"/>
      <c r="BU174" s="92"/>
      <c r="BV174" s="92"/>
      <c r="BX174" s="142"/>
      <c r="BY174" s="142"/>
      <c r="BZ174" s="142"/>
      <c r="CA174" s="142"/>
    </row>
    <row r="175" spans="1:79" ht="21" customHeight="1" x14ac:dyDescent="0.55000000000000004">
      <c r="A175" s="45">
        <v>0.25</v>
      </c>
      <c r="B175" s="47">
        <v>0.05</v>
      </c>
      <c r="C175" s="45">
        <v>0.25</v>
      </c>
      <c r="D175" s="47">
        <v>0.05</v>
      </c>
      <c r="E175" s="45">
        <v>0.25</v>
      </c>
      <c r="F175" s="47">
        <v>0</v>
      </c>
      <c r="G175" s="45">
        <v>0.25</v>
      </c>
      <c r="H175" s="47">
        <v>1.6500000000000001E-2</v>
      </c>
      <c r="I175" s="45">
        <v>0.25</v>
      </c>
      <c r="J175" s="47">
        <v>1.6500000000000001E-2</v>
      </c>
      <c r="P175" s="45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29"/>
      <c r="AJ175" s="45"/>
      <c r="AK175" s="92"/>
      <c r="AL175" s="92"/>
      <c r="AM175" s="92"/>
      <c r="AN175" s="92"/>
      <c r="AO175" s="92"/>
      <c r="AP175" s="92"/>
      <c r="AQ175" s="92"/>
      <c r="AR175" s="92"/>
      <c r="AS175" s="92"/>
      <c r="AT175" s="92"/>
      <c r="AU175" s="92"/>
      <c r="AV175" s="92"/>
      <c r="AW175" s="92"/>
      <c r="AX175" s="92"/>
      <c r="AY175" s="92"/>
      <c r="AZ175" s="92"/>
      <c r="BA175" s="92"/>
      <c r="BB175" s="92"/>
      <c r="BD175" s="45"/>
      <c r="BE175" s="92"/>
      <c r="BF175" s="92"/>
      <c r="BG175" s="92"/>
      <c r="BH175" s="92"/>
      <c r="BI175" s="92"/>
      <c r="BJ175" s="92"/>
      <c r="BK175" s="92"/>
      <c r="BL175" s="92"/>
      <c r="BM175" s="92"/>
      <c r="BN175" s="92"/>
      <c r="BO175" s="92"/>
      <c r="BP175" s="92"/>
      <c r="BQ175" s="92"/>
      <c r="BR175" s="92"/>
      <c r="BS175" s="92"/>
      <c r="BT175" s="92"/>
      <c r="BU175" s="92"/>
      <c r="BV175" s="92"/>
      <c r="BX175" s="142"/>
      <c r="BY175" s="142"/>
      <c r="BZ175" s="142"/>
      <c r="CA175" s="142"/>
    </row>
    <row r="176" spans="1:79" ht="21" customHeight="1" x14ac:dyDescent="0.55000000000000004">
      <c r="A176" s="45">
        <v>0.5</v>
      </c>
      <c r="B176" s="47">
        <v>0.05</v>
      </c>
      <c r="C176" s="45">
        <v>0.5</v>
      </c>
      <c r="D176" s="47">
        <v>0.05</v>
      </c>
      <c r="E176" s="45">
        <v>0.5</v>
      </c>
      <c r="F176" s="47">
        <v>0</v>
      </c>
      <c r="G176" s="45">
        <v>0.5</v>
      </c>
      <c r="H176" s="47">
        <v>1.7149996760000001E-2</v>
      </c>
      <c r="I176" s="45">
        <v>0.5</v>
      </c>
      <c r="J176" s="47">
        <v>1.7149996760000001E-2</v>
      </c>
      <c r="P176" s="45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29"/>
      <c r="AJ176" s="45"/>
      <c r="AK176" s="92"/>
      <c r="AL176" s="92"/>
      <c r="AM176" s="92"/>
      <c r="AN176" s="92"/>
      <c r="AO176" s="92"/>
      <c r="AP176" s="92"/>
      <c r="AQ176" s="92"/>
      <c r="AR176" s="92"/>
      <c r="AS176" s="92"/>
      <c r="AT176" s="92"/>
      <c r="AU176" s="92"/>
      <c r="AV176" s="92"/>
      <c r="AW176" s="92"/>
      <c r="AX176" s="92"/>
      <c r="AY176" s="92"/>
      <c r="AZ176" s="92"/>
      <c r="BA176" s="92"/>
      <c r="BB176" s="92"/>
      <c r="BD176" s="45"/>
      <c r="BE176" s="92"/>
      <c r="BF176" s="92"/>
      <c r="BG176" s="92"/>
      <c r="BH176" s="92"/>
      <c r="BI176" s="92"/>
      <c r="BJ176" s="92"/>
      <c r="BK176" s="92"/>
      <c r="BL176" s="92"/>
      <c r="BM176" s="92"/>
      <c r="BN176" s="92"/>
      <c r="BO176" s="92"/>
      <c r="BP176" s="92"/>
      <c r="BQ176" s="92"/>
      <c r="BR176" s="92"/>
      <c r="BS176" s="92"/>
      <c r="BT176" s="92"/>
      <c r="BU176" s="92"/>
      <c r="BV176" s="92"/>
      <c r="BX176" s="142"/>
      <c r="BY176" s="142"/>
      <c r="BZ176" s="142"/>
      <c r="CA176" s="142"/>
    </row>
    <row r="177" spans="1:79" ht="21" customHeight="1" x14ac:dyDescent="0.55000000000000004">
      <c r="A177" s="45">
        <v>0.75</v>
      </c>
      <c r="B177" s="47">
        <v>0.05</v>
      </c>
      <c r="C177" s="45">
        <v>0.75</v>
      </c>
      <c r="D177" s="47">
        <v>0.05</v>
      </c>
      <c r="E177" s="45">
        <v>0.75</v>
      </c>
      <c r="F177" s="47">
        <v>0</v>
      </c>
      <c r="G177" s="45">
        <v>0.75</v>
      </c>
      <c r="H177" s="47">
        <v>1.7849993710000001E-2</v>
      </c>
      <c r="I177" s="45">
        <v>0.75</v>
      </c>
      <c r="J177" s="47">
        <v>1.7849993710000001E-2</v>
      </c>
      <c r="P177" s="45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29"/>
      <c r="AJ177" s="45"/>
      <c r="AK177" s="92"/>
      <c r="AL177" s="92"/>
      <c r="AM177" s="92"/>
      <c r="AN177" s="92"/>
      <c r="AO177" s="92"/>
      <c r="AP177" s="92"/>
      <c r="AQ177" s="92"/>
      <c r="AR177" s="92"/>
      <c r="AS177" s="92"/>
      <c r="AT177" s="92"/>
      <c r="AU177" s="92"/>
      <c r="AV177" s="92"/>
      <c r="AW177" s="92"/>
      <c r="AX177" s="92"/>
      <c r="AY177" s="92"/>
      <c r="AZ177" s="92"/>
      <c r="BA177" s="92"/>
      <c r="BB177" s="92"/>
      <c r="BD177" s="45"/>
      <c r="BE177" s="92"/>
      <c r="BF177" s="92"/>
      <c r="BG177" s="92"/>
      <c r="BH177" s="92"/>
      <c r="BI177" s="92"/>
      <c r="BJ177" s="92"/>
      <c r="BK177" s="92"/>
      <c r="BL177" s="92"/>
      <c r="BM177" s="92"/>
      <c r="BN177" s="92"/>
      <c r="BO177" s="92"/>
      <c r="BP177" s="92"/>
      <c r="BQ177" s="92"/>
      <c r="BR177" s="92"/>
      <c r="BS177" s="92"/>
      <c r="BT177" s="92"/>
      <c r="BU177" s="92"/>
      <c r="BV177" s="92"/>
      <c r="BX177" s="142"/>
      <c r="BY177" s="142"/>
      <c r="BZ177" s="142"/>
      <c r="CA177" s="142"/>
    </row>
    <row r="178" spans="1:79" ht="21" customHeight="1" x14ac:dyDescent="0.55000000000000004">
      <c r="A178" s="45">
        <v>1</v>
      </c>
      <c r="B178" s="47">
        <v>0.05</v>
      </c>
      <c r="C178" s="45">
        <v>1</v>
      </c>
      <c r="D178" s="47">
        <v>0.05</v>
      </c>
      <c r="E178" s="45">
        <v>1</v>
      </c>
      <c r="F178" s="47">
        <v>0</v>
      </c>
      <c r="G178" s="45">
        <v>1</v>
      </c>
      <c r="H178" s="48">
        <v>1.8424997330000002E-2</v>
      </c>
      <c r="I178" s="45">
        <v>1</v>
      </c>
      <c r="J178" s="48">
        <v>1.8424997330000002E-2</v>
      </c>
      <c r="P178" s="45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J178" s="45"/>
      <c r="AK178" s="92"/>
      <c r="AL178" s="92"/>
      <c r="AM178" s="92"/>
      <c r="AN178" s="92"/>
      <c r="AO178" s="92"/>
      <c r="AP178" s="92"/>
      <c r="AQ178" s="92"/>
      <c r="AR178" s="92"/>
      <c r="AS178" s="92"/>
      <c r="AT178" s="92"/>
      <c r="AU178" s="92"/>
      <c r="AV178" s="92"/>
      <c r="AW178" s="92"/>
      <c r="AX178" s="92"/>
      <c r="AY178" s="92"/>
      <c r="AZ178" s="92"/>
      <c r="BA178" s="92"/>
      <c r="BB178" s="92"/>
      <c r="BD178" s="45"/>
      <c r="BE178" s="92"/>
      <c r="BF178" s="92"/>
      <c r="BG178" s="92"/>
      <c r="BH178" s="92"/>
      <c r="BI178" s="92"/>
      <c r="BJ178" s="92"/>
      <c r="BK178" s="92"/>
      <c r="BL178" s="92"/>
      <c r="BM178" s="92"/>
      <c r="BN178" s="92"/>
      <c r="BO178" s="92"/>
      <c r="BP178" s="92"/>
      <c r="BQ178" s="92"/>
      <c r="BR178" s="92"/>
      <c r="BS178" s="92"/>
      <c r="BT178" s="92"/>
      <c r="BU178" s="92"/>
      <c r="BV178" s="92"/>
      <c r="BX178" s="142"/>
      <c r="BY178" s="142"/>
      <c r="BZ178" s="142"/>
      <c r="CA178" s="142"/>
    </row>
    <row r="179" spans="1:79" ht="21" customHeight="1" x14ac:dyDescent="0.55000000000000004">
      <c r="A179" s="45">
        <v>2</v>
      </c>
      <c r="B179" s="47">
        <v>0.05</v>
      </c>
      <c r="C179" s="45">
        <v>2</v>
      </c>
      <c r="D179" s="47">
        <v>0.05</v>
      </c>
      <c r="E179" s="45">
        <v>2</v>
      </c>
      <c r="F179" s="47">
        <v>0</v>
      </c>
      <c r="G179" s="45">
        <v>2</v>
      </c>
      <c r="H179" s="48">
        <v>2.0074999999999999E-2</v>
      </c>
      <c r="I179" s="45">
        <v>2</v>
      </c>
      <c r="J179" s="48">
        <v>2.0074999999999999E-2</v>
      </c>
      <c r="P179" s="45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  <c r="AG179" s="46"/>
      <c r="AH179" s="46"/>
      <c r="AI179" s="4"/>
      <c r="AJ179" s="45"/>
      <c r="AK179" s="92"/>
      <c r="AL179" s="92"/>
      <c r="AM179" s="92"/>
      <c r="AN179" s="92"/>
      <c r="AO179" s="92"/>
      <c r="AP179" s="92"/>
      <c r="AQ179" s="92"/>
      <c r="AR179" s="92"/>
      <c r="AS179" s="92"/>
      <c r="AT179" s="92"/>
      <c r="AU179" s="92"/>
      <c r="AV179" s="92"/>
      <c r="AW179" s="92"/>
      <c r="AX179" s="92"/>
      <c r="AY179" s="92"/>
      <c r="AZ179" s="92"/>
      <c r="BA179" s="92"/>
      <c r="BB179" s="92"/>
      <c r="BD179" s="45"/>
      <c r="BE179" s="92"/>
      <c r="BF179" s="92"/>
      <c r="BG179" s="92"/>
      <c r="BH179" s="92"/>
      <c r="BI179" s="92"/>
      <c r="BJ179" s="92"/>
      <c r="BK179" s="92"/>
      <c r="BL179" s="92"/>
      <c r="BM179" s="92"/>
      <c r="BN179" s="92"/>
      <c r="BO179" s="92"/>
      <c r="BP179" s="92"/>
      <c r="BQ179" s="92"/>
      <c r="BR179" s="92"/>
      <c r="BS179" s="92"/>
      <c r="BT179" s="92"/>
      <c r="BU179" s="92"/>
      <c r="BV179" s="92"/>
      <c r="BX179" s="142"/>
      <c r="BY179" s="142"/>
      <c r="BZ179" s="142"/>
      <c r="CA179" s="142"/>
    </row>
    <row r="180" spans="1:79" ht="21" customHeight="1" x14ac:dyDescent="0.55000000000000004">
      <c r="A180" s="45">
        <v>3</v>
      </c>
      <c r="B180" s="47">
        <v>0.05</v>
      </c>
      <c r="C180" s="45">
        <v>3</v>
      </c>
      <c r="D180" s="47">
        <v>0.05</v>
      </c>
      <c r="E180" s="45">
        <v>3</v>
      </c>
      <c r="F180" s="47">
        <v>0</v>
      </c>
      <c r="G180" s="45">
        <v>3</v>
      </c>
      <c r="H180" s="48">
        <v>2.1100000000000001E-2</v>
      </c>
      <c r="I180" s="45">
        <v>3</v>
      </c>
      <c r="J180" s="48">
        <v>2.1100000000000001E-2</v>
      </c>
      <c r="P180" s="45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  <c r="AG180" s="46"/>
      <c r="AH180" s="46"/>
      <c r="AI180" s="4"/>
      <c r="AJ180" s="45"/>
      <c r="AK180" s="92"/>
      <c r="AL180" s="92"/>
      <c r="AM180" s="92"/>
      <c r="AN180" s="92"/>
      <c r="AO180" s="92"/>
      <c r="AP180" s="92"/>
      <c r="AQ180" s="92"/>
      <c r="AR180" s="92"/>
      <c r="AS180" s="92"/>
      <c r="AT180" s="92"/>
      <c r="AU180" s="92"/>
      <c r="AV180" s="92"/>
      <c r="AW180" s="92"/>
      <c r="AX180" s="92"/>
      <c r="AY180" s="92"/>
      <c r="AZ180" s="92"/>
      <c r="BA180" s="92"/>
      <c r="BB180" s="92"/>
      <c r="BD180" s="45"/>
      <c r="BE180" s="92"/>
      <c r="BF180" s="92"/>
      <c r="BG180" s="92"/>
      <c r="BH180" s="92"/>
      <c r="BI180" s="92"/>
      <c r="BJ180" s="92"/>
      <c r="BK180" s="92"/>
      <c r="BL180" s="92"/>
      <c r="BM180" s="92"/>
      <c r="BN180" s="92"/>
      <c r="BO180" s="92"/>
      <c r="BP180" s="92"/>
      <c r="BQ180" s="92"/>
      <c r="BR180" s="92"/>
      <c r="BS180" s="92"/>
      <c r="BT180" s="92"/>
      <c r="BU180" s="92"/>
      <c r="BV180" s="92"/>
      <c r="BX180" s="142"/>
      <c r="BY180" s="142"/>
      <c r="BZ180" s="142"/>
      <c r="CA180" s="142"/>
    </row>
    <row r="181" spans="1:79" ht="21" customHeight="1" x14ac:dyDescent="0.55000000000000004">
      <c r="A181" s="45">
        <v>4</v>
      </c>
      <c r="B181" s="47">
        <v>0.05</v>
      </c>
      <c r="C181" s="45">
        <v>4</v>
      </c>
      <c r="D181" s="47">
        <v>0.05</v>
      </c>
      <c r="E181" s="45">
        <v>4</v>
      </c>
      <c r="F181" s="47">
        <v>0</v>
      </c>
      <c r="G181" s="45">
        <v>4</v>
      </c>
      <c r="H181" s="49">
        <v>2.18E-2</v>
      </c>
      <c r="I181" s="45">
        <v>4</v>
      </c>
      <c r="J181" s="49">
        <v>2.18E-2</v>
      </c>
      <c r="P181" s="45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  <c r="AG181" s="46"/>
      <c r="AH181" s="46"/>
      <c r="AI181" s="4"/>
      <c r="AJ181" s="45"/>
      <c r="AK181" s="92"/>
      <c r="AL181" s="92"/>
      <c r="AM181" s="92"/>
      <c r="AN181" s="92"/>
      <c r="AO181" s="92"/>
      <c r="AP181" s="92"/>
      <c r="AQ181" s="92"/>
      <c r="AR181" s="92"/>
      <c r="AS181" s="92"/>
      <c r="AT181" s="92"/>
      <c r="AU181" s="92"/>
      <c r="AV181" s="92"/>
      <c r="AW181" s="92"/>
      <c r="AX181" s="92"/>
      <c r="AY181" s="92"/>
      <c r="AZ181" s="92"/>
      <c r="BA181" s="92"/>
      <c r="BB181" s="92"/>
      <c r="BD181" s="45"/>
      <c r="BE181" s="92"/>
      <c r="BF181" s="92"/>
      <c r="BG181" s="92"/>
      <c r="BH181" s="92"/>
      <c r="BI181" s="92"/>
      <c r="BJ181" s="92"/>
      <c r="BK181" s="92"/>
      <c r="BL181" s="92"/>
      <c r="BM181" s="92"/>
      <c r="BN181" s="92"/>
      <c r="BO181" s="92"/>
      <c r="BP181" s="92"/>
      <c r="BQ181" s="92"/>
      <c r="BR181" s="92"/>
      <c r="BS181" s="92"/>
      <c r="BT181" s="92"/>
      <c r="BU181" s="92"/>
      <c r="BV181" s="92"/>
      <c r="BX181" s="142"/>
      <c r="BY181" s="142"/>
      <c r="BZ181" s="142"/>
      <c r="CA181" s="142"/>
    </row>
    <row r="182" spans="1:79" ht="21" customHeight="1" x14ac:dyDescent="0.55000000000000004">
      <c r="A182" s="45"/>
      <c r="B182" s="47"/>
      <c r="C182" s="45">
        <v>5</v>
      </c>
      <c r="D182" s="47">
        <v>0.05</v>
      </c>
      <c r="E182" s="45">
        <v>5</v>
      </c>
      <c r="F182" s="47">
        <v>0</v>
      </c>
      <c r="G182" s="45">
        <v>5</v>
      </c>
      <c r="H182" s="49">
        <v>2.2280000000000001E-2</v>
      </c>
      <c r="I182" s="45">
        <v>5</v>
      </c>
      <c r="J182" s="49">
        <v>2.2280000000000001E-2</v>
      </c>
      <c r="P182" s="45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"/>
      <c r="AJ182" s="45"/>
      <c r="AK182" s="92"/>
      <c r="AL182" s="92"/>
      <c r="AM182" s="92"/>
      <c r="AN182" s="92"/>
      <c r="AO182" s="92"/>
      <c r="AP182" s="92"/>
      <c r="AQ182" s="92"/>
      <c r="AR182" s="92"/>
      <c r="AS182" s="92"/>
      <c r="AT182" s="92"/>
      <c r="AU182" s="92"/>
      <c r="AV182" s="92"/>
      <c r="AW182" s="92"/>
      <c r="AX182" s="92"/>
      <c r="AY182" s="92"/>
      <c r="AZ182" s="92"/>
      <c r="BA182" s="92"/>
      <c r="BB182" s="92"/>
      <c r="BD182" s="45"/>
      <c r="BE182" s="92"/>
      <c r="BF182" s="92"/>
      <c r="BG182" s="92"/>
      <c r="BH182" s="92"/>
      <c r="BI182" s="92"/>
      <c r="BJ182" s="92"/>
      <c r="BK182" s="92"/>
      <c r="BL182" s="92"/>
      <c r="BM182" s="92"/>
      <c r="BN182" s="92"/>
      <c r="BO182" s="92"/>
      <c r="BP182" s="92"/>
      <c r="BQ182" s="92"/>
      <c r="BR182" s="92"/>
      <c r="BS182" s="92"/>
      <c r="BT182" s="92"/>
      <c r="BU182" s="92"/>
      <c r="BV182" s="92"/>
      <c r="BX182" s="142"/>
      <c r="BY182" s="142"/>
      <c r="BZ182" s="142"/>
      <c r="CA182" s="142"/>
    </row>
    <row r="183" spans="1:79" ht="21" customHeight="1" x14ac:dyDescent="0.55000000000000004">
      <c r="A183" s="50"/>
      <c r="B183" s="47"/>
      <c r="C183" s="50"/>
      <c r="D183" s="47"/>
      <c r="E183" s="50">
        <v>7</v>
      </c>
      <c r="F183" s="47">
        <v>0</v>
      </c>
      <c r="G183" s="50">
        <v>7</v>
      </c>
      <c r="H183" s="47">
        <v>2.2800000000000001E-2</v>
      </c>
      <c r="I183" s="50">
        <v>7</v>
      </c>
      <c r="J183" s="47">
        <v>2.2800000000000001E-2</v>
      </c>
      <c r="P183" s="45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  <c r="AG183" s="46"/>
      <c r="AH183" s="46"/>
      <c r="AI183" s="4"/>
      <c r="AJ183" s="45"/>
      <c r="AK183" s="92"/>
      <c r="AL183" s="92"/>
      <c r="AM183" s="92"/>
      <c r="AN183" s="92"/>
      <c r="AO183" s="92"/>
      <c r="AP183" s="92"/>
      <c r="AQ183" s="92"/>
      <c r="AR183" s="92"/>
      <c r="AS183" s="92"/>
      <c r="AT183" s="92"/>
      <c r="AU183" s="92"/>
      <c r="AV183" s="92"/>
      <c r="AW183" s="92"/>
      <c r="AX183" s="92"/>
      <c r="AY183" s="92"/>
      <c r="AZ183" s="92"/>
      <c r="BA183" s="92"/>
      <c r="BB183" s="92"/>
      <c r="BD183" s="45"/>
      <c r="BE183" s="92"/>
      <c r="BF183" s="92"/>
      <c r="BG183" s="92"/>
      <c r="BH183" s="92"/>
      <c r="BI183" s="92"/>
      <c r="BJ183" s="92"/>
      <c r="BK183" s="92"/>
      <c r="BL183" s="92"/>
      <c r="BM183" s="92"/>
      <c r="BN183" s="92"/>
      <c r="BO183" s="92"/>
      <c r="BP183" s="92"/>
      <c r="BQ183" s="92"/>
      <c r="BR183" s="92"/>
      <c r="BS183" s="92"/>
      <c r="BT183" s="92"/>
      <c r="BU183" s="92"/>
      <c r="BV183" s="92"/>
      <c r="BX183" s="142"/>
      <c r="BY183" s="142"/>
      <c r="BZ183" s="142"/>
      <c r="CA183" s="142"/>
    </row>
    <row r="184" spans="1:79" ht="21" customHeight="1" x14ac:dyDescent="0.55000000000000004">
      <c r="A184" s="50"/>
      <c r="B184" s="47"/>
      <c r="C184" s="50"/>
      <c r="D184" s="47"/>
      <c r="E184" s="50"/>
      <c r="F184" s="47"/>
      <c r="G184" s="50">
        <v>10</v>
      </c>
      <c r="H184" s="47">
        <v>2.3525000000000001E-2</v>
      </c>
      <c r="I184" s="50">
        <v>10</v>
      </c>
      <c r="J184" s="47">
        <v>2.3525000000000001E-2</v>
      </c>
    </row>
    <row r="185" spans="1:79" ht="21" customHeight="1" x14ac:dyDescent="0.6">
      <c r="A185" s="45"/>
      <c r="B185" s="49"/>
      <c r="C185" s="45"/>
      <c r="D185" s="49"/>
      <c r="E185" s="45"/>
      <c r="F185" s="49"/>
      <c r="G185" s="45"/>
      <c r="H185" s="49"/>
      <c r="I185" s="45"/>
      <c r="J185" s="49"/>
      <c r="P185" s="79" t="s">
        <v>49</v>
      </c>
      <c r="Q185" s="79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</row>
    <row r="186" spans="1:79" ht="21" customHeight="1" x14ac:dyDescent="0.6">
      <c r="A186" s="45"/>
      <c r="B186" s="48"/>
      <c r="C186" s="45"/>
      <c r="D186" s="48"/>
      <c r="E186" s="45"/>
      <c r="F186" s="48"/>
      <c r="G186" s="45"/>
      <c r="H186" s="48"/>
      <c r="I186" s="45"/>
      <c r="J186" s="48"/>
      <c r="P186" s="78"/>
      <c r="Q186" s="78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X186" s="144" t="s">
        <v>87</v>
      </c>
      <c r="BY186" s="144"/>
      <c r="BZ186" s="144"/>
      <c r="CA186" s="144"/>
    </row>
    <row r="187" spans="1:79" ht="21" customHeight="1" x14ac:dyDescent="0.6">
      <c r="A187" s="45"/>
      <c r="B187" s="49"/>
      <c r="C187" s="45"/>
      <c r="D187" s="49"/>
      <c r="E187" s="45"/>
      <c r="F187" s="49"/>
      <c r="G187" s="45"/>
      <c r="H187" s="49"/>
      <c r="I187" s="45"/>
      <c r="J187" s="49"/>
      <c r="P187" s="97" t="s">
        <v>68</v>
      </c>
      <c r="Q187" s="98"/>
      <c r="R187" s="38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X187" s="145"/>
      <c r="BY187" s="145"/>
      <c r="BZ187" s="145"/>
      <c r="CA187" s="145"/>
    </row>
    <row r="188" spans="1:79" ht="21" customHeight="1" x14ac:dyDescent="0.6">
      <c r="A188" s="45"/>
      <c r="B188" s="49"/>
      <c r="C188" s="45"/>
      <c r="D188" s="49"/>
      <c r="E188" s="45"/>
      <c r="F188" s="49"/>
      <c r="G188" s="45"/>
      <c r="H188" s="49"/>
      <c r="I188" s="45"/>
      <c r="J188" s="49"/>
      <c r="P188" s="93" t="s">
        <v>29</v>
      </c>
      <c r="Q188" s="77" t="s">
        <v>66</v>
      </c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78"/>
      <c r="AG188" s="78"/>
      <c r="AH188" s="78"/>
      <c r="AI188" s="29"/>
      <c r="AJ188" s="93" t="s">
        <v>29</v>
      </c>
      <c r="AK188" s="77" t="s">
        <v>66</v>
      </c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  <c r="AX188" s="78"/>
      <c r="AY188" s="78"/>
      <c r="AZ188" s="78"/>
      <c r="BA188" s="78"/>
      <c r="BB188" s="78"/>
      <c r="BD188" s="93" t="s">
        <v>29</v>
      </c>
      <c r="BE188" s="77" t="s">
        <v>66</v>
      </c>
      <c r="BF188" s="78"/>
      <c r="BG188" s="78"/>
      <c r="BH188" s="78"/>
      <c r="BI188" s="78"/>
      <c r="BJ188" s="78"/>
      <c r="BK188" s="78"/>
      <c r="BL188" s="78"/>
      <c r="BM188" s="78"/>
      <c r="BN188" s="78"/>
      <c r="BO188" s="78"/>
      <c r="BP188" s="78"/>
      <c r="BQ188" s="78"/>
      <c r="BR188" s="78"/>
      <c r="BS188" s="78"/>
      <c r="BT188" s="78"/>
      <c r="BU188" s="78"/>
      <c r="BV188" s="78"/>
      <c r="BX188" s="45" t="s">
        <v>86</v>
      </c>
      <c r="BY188" s="45" t="s">
        <v>83</v>
      </c>
      <c r="BZ188" s="45" t="s">
        <v>84</v>
      </c>
      <c r="CA188" s="45" t="s">
        <v>85</v>
      </c>
    </row>
    <row r="189" spans="1:79" ht="21" customHeight="1" x14ac:dyDescent="0.55000000000000004">
      <c r="A189" s="50"/>
      <c r="B189" s="47"/>
      <c r="C189" s="50"/>
      <c r="D189" s="47"/>
      <c r="E189" s="50"/>
      <c r="F189" s="47"/>
      <c r="G189" s="50"/>
      <c r="H189" s="47"/>
      <c r="I189" s="50"/>
      <c r="J189" s="47"/>
      <c r="P189" s="94"/>
      <c r="Q189" s="45">
        <v>0.5</v>
      </c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29"/>
      <c r="AJ189" s="94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  <c r="BD189" s="94"/>
      <c r="BE189" s="45"/>
      <c r="BF189" s="45"/>
      <c r="BG189" s="45"/>
      <c r="BH189" s="45"/>
      <c r="BI189" s="45"/>
      <c r="BJ189" s="45"/>
      <c r="BK189" s="45"/>
      <c r="BL189" s="45"/>
      <c r="BM189" s="45"/>
      <c r="BN189" s="45"/>
      <c r="BO189" s="45"/>
      <c r="BP189" s="45"/>
      <c r="BQ189" s="45"/>
      <c r="BR189" s="45"/>
      <c r="BS189" s="45"/>
      <c r="BT189" s="45"/>
      <c r="BU189" s="45"/>
      <c r="BV189" s="45"/>
      <c r="BX189" s="4"/>
      <c r="BY189" s="4"/>
      <c r="BZ189" s="4"/>
      <c r="CA189" s="4"/>
    </row>
    <row r="190" spans="1:79" ht="21" customHeight="1" x14ac:dyDescent="0.55000000000000004">
      <c r="A190" s="50"/>
      <c r="B190" s="47"/>
      <c r="C190" s="50"/>
      <c r="D190" s="47"/>
      <c r="E190" s="50"/>
      <c r="F190" s="47"/>
      <c r="G190" s="50"/>
      <c r="H190" s="47"/>
      <c r="I190" s="50"/>
      <c r="J190" s="47"/>
      <c r="P190" s="45">
        <v>0.9</v>
      </c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  <c r="AG190" s="46"/>
      <c r="AH190" s="46"/>
      <c r="AI190" s="29"/>
      <c r="AJ190" s="45"/>
      <c r="AK190" s="92"/>
      <c r="AL190" s="92"/>
      <c r="AM190" s="92"/>
      <c r="AN190" s="92"/>
      <c r="AO190" s="92"/>
      <c r="AP190" s="92"/>
      <c r="AQ190" s="92"/>
      <c r="AR190" s="92"/>
      <c r="AS190" s="92"/>
      <c r="AT190" s="92"/>
      <c r="AU190" s="92"/>
      <c r="AV190" s="92"/>
      <c r="AW190" s="92"/>
      <c r="AX190" s="92"/>
      <c r="AY190" s="92"/>
      <c r="AZ190" s="92"/>
      <c r="BA190" s="92"/>
      <c r="BB190" s="92"/>
      <c r="BD190" s="45"/>
      <c r="BE190" s="92"/>
      <c r="BF190" s="92"/>
      <c r="BG190" s="92"/>
      <c r="BH190" s="92"/>
      <c r="BI190" s="92"/>
      <c r="BJ190" s="92"/>
      <c r="BK190" s="92"/>
      <c r="BL190" s="92"/>
      <c r="BM190" s="92"/>
      <c r="BN190" s="92"/>
      <c r="BO190" s="92"/>
      <c r="BP190" s="92"/>
      <c r="BQ190" s="92"/>
      <c r="BR190" s="92"/>
      <c r="BS190" s="92"/>
      <c r="BT190" s="92"/>
      <c r="BU190" s="92"/>
      <c r="BV190" s="92"/>
      <c r="BX190" s="142"/>
      <c r="BY190" s="142"/>
      <c r="BZ190" s="142"/>
      <c r="CA190" s="142"/>
    </row>
    <row r="191" spans="1:79" ht="21" customHeight="1" x14ac:dyDescent="0.55000000000000004">
      <c r="A191" s="45"/>
      <c r="B191" s="49"/>
      <c r="C191" s="45"/>
      <c r="D191" s="49"/>
      <c r="E191" s="45"/>
      <c r="F191" s="49"/>
      <c r="G191" s="45"/>
      <c r="H191" s="49"/>
      <c r="I191" s="45"/>
      <c r="J191" s="49"/>
      <c r="P191" s="45">
        <v>1</v>
      </c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  <c r="AG191" s="46"/>
      <c r="AH191" s="46"/>
      <c r="AI191" s="29"/>
      <c r="AJ191" s="45"/>
      <c r="AK191" s="92"/>
      <c r="AL191" s="92"/>
      <c r="AM191" s="92"/>
      <c r="AN191" s="92"/>
      <c r="AO191" s="92"/>
      <c r="AP191" s="92"/>
      <c r="AQ191" s="92"/>
      <c r="AR191" s="92"/>
      <c r="AS191" s="92"/>
      <c r="AT191" s="92"/>
      <c r="AU191" s="92"/>
      <c r="AV191" s="92"/>
      <c r="AW191" s="92"/>
      <c r="AX191" s="92"/>
      <c r="AY191" s="92"/>
      <c r="AZ191" s="92"/>
      <c r="BA191" s="92"/>
      <c r="BB191" s="92"/>
      <c r="BD191" s="45"/>
      <c r="BE191" s="92"/>
      <c r="BF191" s="92"/>
      <c r="BG191" s="92"/>
      <c r="BH191" s="92"/>
      <c r="BI191" s="92"/>
      <c r="BJ191" s="92"/>
      <c r="BK191" s="92"/>
      <c r="BL191" s="92"/>
      <c r="BM191" s="92"/>
      <c r="BN191" s="92"/>
      <c r="BO191" s="92"/>
      <c r="BP191" s="92"/>
      <c r="BQ191" s="92"/>
      <c r="BR191" s="92"/>
      <c r="BS191" s="92"/>
      <c r="BT191" s="92"/>
      <c r="BU191" s="92"/>
      <c r="BV191" s="92"/>
      <c r="BX191" s="142"/>
      <c r="BY191" s="142"/>
      <c r="BZ191" s="142"/>
      <c r="CA191" s="142"/>
    </row>
    <row r="192" spans="1:79" ht="21" customHeight="1" x14ac:dyDescent="0.55000000000000004">
      <c r="A192" s="45"/>
      <c r="B192" s="48"/>
      <c r="C192" s="45"/>
      <c r="D192" s="48"/>
      <c r="E192" s="45"/>
      <c r="F192" s="48"/>
      <c r="G192" s="45"/>
      <c r="H192" s="48"/>
      <c r="I192" s="45"/>
      <c r="J192" s="48"/>
      <c r="P192" s="45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  <c r="AG192" s="46"/>
      <c r="AH192" s="46"/>
      <c r="AI192" s="29"/>
      <c r="AJ192" s="45"/>
      <c r="AK192" s="92"/>
      <c r="AL192" s="92"/>
      <c r="AM192" s="92"/>
      <c r="AN192" s="92"/>
      <c r="AO192" s="92"/>
      <c r="AP192" s="92"/>
      <c r="AQ192" s="92"/>
      <c r="AR192" s="92"/>
      <c r="AS192" s="92"/>
      <c r="AT192" s="92"/>
      <c r="AU192" s="92"/>
      <c r="AV192" s="92"/>
      <c r="AW192" s="92"/>
      <c r="AX192" s="92"/>
      <c r="AY192" s="92"/>
      <c r="AZ192" s="92"/>
      <c r="BA192" s="92"/>
      <c r="BB192" s="92"/>
      <c r="BD192" s="45"/>
      <c r="BE192" s="92"/>
      <c r="BF192" s="92"/>
      <c r="BG192" s="92"/>
      <c r="BH192" s="92"/>
      <c r="BI192" s="92"/>
      <c r="BJ192" s="92"/>
      <c r="BK192" s="92"/>
      <c r="BL192" s="92"/>
      <c r="BM192" s="92"/>
      <c r="BN192" s="92"/>
      <c r="BO192" s="92"/>
      <c r="BP192" s="92"/>
      <c r="BQ192" s="92"/>
      <c r="BR192" s="92"/>
      <c r="BS192" s="92"/>
      <c r="BT192" s="92"/>
      <c r="BU192" s="92"/>
      <c r="BV192" s="92"/>
      <c r="BX192" s="142"/>
      <c r="BY192" s="142"/>
      <c r="BZ192" s="142"/>
      <c r="CA192" s="142"/>
    </row>
    <row r="193" spans="1:79" ht="21" customHeight="1" x14ac:dyDescent="0.55000000000000004">
      <c r="A193" s="51"/>
      <c r="B193" s="52"/>
      <c r="C193" s="51"/>
      <c r="D193" s="52"/>
      <c r="E193" s="51"/>
      <c r="F193" s="52"/>
      <c r="G193" s="51"/>
      <c r="H193" s="52"/>
      <c r="I193" s="51"/>
      <c r="J193" s="52"/>
      <c r="P193" s="45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  <c r="AG193" s="46"/>
      <c r="AH193" s="46"/>
      <c r="AJ193" s="45"/>
      <c r="AK193" s="92"/>
      <c r="AL193" s="92"/>
      <c r="AM193" s="92"/>
      <c r="AN193" s="92"/>
      <c r="AO193" s="92"/>
      <c r="AP193" s="92"/>
      <c r="AQ193" s="92"/>
      <c r="AR193" s="92"/>
      <c r="AS193" s="92"/>
      <c r="AT193" s="92"/>
      <c r="AU193" s="92"/>
      <c r="AV193" s="92"/>
      <c r="AW193" s="92"/>
      <c r="AX193" s="92"/>
      <c r="AY193" s="92"/>
      <c r="AZ193" s="92"/>
      <c r="BA193" s="92"/>
      <c r="BB193" s="92"/>
      <c r="BD193" s="45"/>
      <c r="BE193" s="92"/>
      <c r="BF193" s="92"/>
      <c r="BG193" s="92"/>
      <c r="BH193" s="92"/>
      <c r="BI193" s="92"/>
      <c r="BJ193" s="92"/>
      <c r="BK193" s="92"/>
      <c r="BL193" s="92"/>
      <c r="BM193" s="92"/>
      <c r="BN193" s="92"/>
      <c r="BO193" s="92"/>
      <c r="BP193" s="92"/>
      <c r="BQ193" s="92"/>
      <c r="BR193" s="92"/>
      <c r="BS193" s="92"/>
      <c r="BT193" s="92"/>
      <c r="BU193" s="92"/>
      <c r="BV193" s="92"/>
      <c r="BX193" s="142"/>
      <c r="BY193" s="142"/>
      <c r="BZ193" s="142"/>
      <c r="CA193" s="142"/>
    </row>
    <row r="194" spans="1:79" ht="21" customHeight="1" x14ac:dyDescent="0.55000000000000004">
      <c r="A194" s="51"/>
      <c r="B194" s="52"/>
      <c r="C194" s="51"/>
      <c r="D194" s="52"/>
      <c r="E194" s="51"/>
      <c r="F194" s="52"/>
      <c r="G194" s="51"/>
      <c r="H194" s="52"/>
      <c r="I194" s="51"/>
      <c r="J194" s="52"/>
      <c r="P194" s="45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  <c r="AG194" s="46"/>
      <c r="AH194" s="46"/>
      <c r="AI194" s="4"/>
      <c r="AJ194" s="45"/>
      <c r="AK194" s="92"/>
      <c r="AL194" s="92"/>
      <c r="AM194" s="92"/>
      <c r="AN194" s="92"/>
      <c r="AO194" s="92"/>
      <c r="AP194" s="92"/>
      <c r="AQ194" s="92"/>
      <c r="AR194" s="92"/>
      <c r="AS194" s="92"/>
      <c r="AT194" s="92"/>
      <c r="AU194" s="92"/>
      <c r="AV194" s="92"/>
      <c r="AW194" s="92"/>
      <c r="AX194" s="92"/>
      <c r="AY194" s="92"/>
      <c r="AZ194" s="92"/>
      <c r="BA194" s="92"/>
      <c r="BB194" s="92"/>
      <c r="BD194" s="45"/>
      <c r="BE194" s="92"/>
      <c r="BF194" s="92"/>
      <c r="BG194" s="92"/>
      <c r="BH194" s="92"/>
      <c r="BI194" s="92"/>
      <c r="BJ194" s="92"/>
      <c r="BK194" s="92"/>
      <c r="BL194" s="92"/>
      <c r="BM194" s="92"/>
      <c r="BN194" s="92"/>
      <c r="BO194" s="92"/>
      <c r="BP194" s="92"/>
      <c r="BQ194" s="92"/>
      <c r="BR194" s="92"/>
      <c r="BS194" s="92"/>
      <c r="BT194" s="92"/>
      <c r="BU194" s="92"/>
      <c r="BV194" s="92"/>
      <c r="BX194" s="142"/>
      <c r="BY194" s="142"/>
      <c r="BZ194" s="142"/>
      <c r="CA194" s="142"/>
    </row>
    <row r="195" spans="1:79" ht="21" customHeight="1" x14ac:dyDescent="0.55000000000000004">
      <c r="A195" s="51"/>
      <c r="B195" s="52"/>
      <c r="C195" s="51"/>
      <c r="D195" s="52"/>
      <c r="E195" s="51"/>
      <c r="F195" s="52"/>
      <c r="G195" s="51"/>
      <c r="H195" s="52"/>
      <c r="I195" s="51"/>
      <c r="J195" s="52"/>
      <c r="P195" s="45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  <c r="AG195" s="46"/>
      <c r="AH195" s="46"/>
      <c r="AI195" s="4"/>
      <c r="AJ195" s="45"/>
      <c r="AK195" s="92"/>
      <c r="AL195" s="92"/>
      <c r="AM195" s="92"/>
      <c r="AN195" s="92"/>
      <c r="AO195" s="92"/>
      <c r="AP195" s="92"/>
      <c r="AQ195" s="92"/>
      <c r="AR195" s="92"/>
      <c r="AS195" s="92"/>
      <c r="AT195" s="92"/>
      <c r="AU195" s="92"/>
      <c r="AV195" s="92"/>
      <c r="AW195" s="92"/>
      <c r="AX195" s="92"/>
      <c r="AY195" s="92"/>
      <c r="AZ195" s="92"/>
      <c r="BA195" s="92"/>
      <c r="BB195" s="92"/>
      <c r="BD195" s="45"/>
      <c r="BE195" s="92"/>
      <c r="BF195" s="92"/>
      <c r="BG195" s="92"/>
      <c r="BH195" s="92"/>
      <c r="BI195" s="92"/>
      <c r="BJ195" s="92"/>
      <c r="BK195" s="92"/>
      <c r="BL195" s="92"/>
      <c r="BM195" s="92"/>
      <c r="BN195" s="92"/>
      <c r="BO195" s="92"/>
      <c r="BP195" s="92"/>
      <c r="BQ195" s="92"/>
      <c r="BR195" s="92"/>
      <c r="BS195" s="92"/>
      <c r="BT195" s="92"/>
      <c r="BU195" s="92"/>
      <c r="BV195" s="92"/>
      <c r="BX195" s="142"/>
      <c r="BY195" s="142"/>
      <c r="BZ195" s="142"/>
      <c r="CA195" s="142"/>
    </row>
    <row r="196" spans="1:79" ht="21" customHeight="1" x14ac:dyDescent="0.55000000000000004">
      <c r="A196" s="51"/>
      <c r="B196" s="52"/>
      <c r="C196" s="51"/>
      <c r="D196" s="52"/>
      <c r="E196" s="51"/>
      <c r="F196" s="52"/>
      <c r="G196" s="51"/>
      <c r="H196" s="52"/>
      <c r="I196" s="51"/>
      <c r="J196" s="52"/>
      <c r="P196" s="45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  <c r="AG196" s="46"/>
      <c r="AH196" s="46"/>
      <c r="AI196" s="4"/>
      <c r="AJ196" s="45"/>
      <c r="AK196" s="92"/>
      <c r="AL196" s="92"/>
      <c r="AM196" s="92"/>
      <c r="AN196" s="92"/>
      <c r="AO196" s="92"/>
      <c r="AP196" s="92"/>
      <c r="AQ196" s="92"/>
      <c r="AR196" s="92"/>
      <c r="AS196" s="92"/>
      <c r="AT196" s="92"/>
      <c r="AU196" s="92"/>
      <c r="AV196" s="92"/>
      <c r="AW196" s="92"/>
      <c r="AX196" s="92"/>
      <c r="AY196" s="92"/>
      <c r="AZ196" s="92"/>
      <c r="BA196" s="92"/>
      <c r="BB196" s="92"/>
      <c r="BD196" s="45"/>
      <c r="BE196" s="92"/>
      <c r="BF196" s="92"/>
      <c r="BG196" s="92"/>
      <c r="BH196" s="92"/>
      <c r="BI196" s="92"/>
      <c r="BJ196" s="92"/>
      <c r="BK196" s="92"/>
      <c r="BL196" s="92"/>
      <c r="BM196" s="92"/>
      <c r="BN196" s="92"/>
      <c r="BO196" s="92"/>
      <c r="BP196" s="92"/>
      <c r="BQ196" s="92"/>
      <c r="BR196" s="92"/>
      <c r="BS196" s="92"/>
      <c r="BT196" s="92"/>
      <c r="BU196" s="92"/>
      <c r="BV196" s="92"/>
      <c r="BX196" s="142"/>
      <c r="BY196" s="142"/>
      <c r="BZ196" s="142"/>
      <c r="CA196" s="142"/>
    </row>
    <row r="197" spans="1:79" ht="21" customHeight="1" x14ac:dyDescent="0.55000000000000004">
      <c r="A197" s="51"/>
      <c r="B197" s="52"/>
      <c r="C197" s="51"/>
      <c r="D197" s="52"/>
      <c r="E197" s="51"/>
      <c r="F197" s="52"/>
      <c r="G197" s="51"/>
      <c r="H197" s="52"/>
      <c r="I197" s="51"/>
      <c r="J197" s="52"/>
      <c r="P197" s="45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  <c r="AG197" s="46"/>
      <c r="AH197" s="46"/>
      <c r="AI197" s="4"/>
      <c r="AJ197" s="45"/>
      <c r="AK197" s="92"/>
      <c r="AL197" s="92"/>
      <c r="AM197" s="92"/>
      <c r="AN197" s="92"/>
      <c r="AO197" s="92"/>
      <c r="AP197" s="92"/>
      <c r="AQ197" s="92"/>
      <c r="AR197" s="92"/>
      <c r="AS197" s="92"/>
      <c r="AT197" s="92"/>
      <c r="AU197" s="92"/>
      <c r="AV197" s="92"/>
      <c r="AW197" s="92"/>
      <c r="AX197" s="92"/>
      <c r="AY197" s="92"/>
      <c r="AZ197" s="92"/>
      <c r="BA197" s="92"/>
      <c r="BB197" s="92"/>
      <c r="BD197" s="45"/>
      <c r="BE197" s="92"/>
      <c r="BF197" s="92"/>
      <c r="BG197" s="92"/>
      <c r="BH197" s="92"/>
      <c r="BI197" s="92"/>
      <c r="BJ197" s="92"/>
      <c r="BK197" s="92"/>
      <c r="BL197" s="92"/>
      <c r="BM197" s="92"/>
      <c r="BN197" s="92"/>
      <c r="BO197" s="92"/>
      <c r="BP197" s="92"/>
      <c r="BQ197" s="92"/>
      <c r="BR197" s="92"/>
      <c r="BS197" s="92"/>
      <c r="BT197" s="92"/>
      <c r="BU197" s="92"/>
      <c r="BV197" s="92"/>
      <c r="BX197" s="142"/>
      <c r="BY197" s="142"/>
      <c r="BZ197" s="142"/>
      <c r="CA197" s="142"/>
    </row>
    <row r="198" spans="1:79" ht="21" customHeight="1" x14ac:dyDescent="0.55000000000000004">
      <c r="A198" s="51"/>
      <c r="B198" s="52"/>
      <c r="C198" s="51"/>
      <c r="D198" s="52"/>
      <c r="E198" s="51"/>
      <c r="F198" s="52"/>
      <c r="G198" s="51"/>
      <c r="H198" s="52"/>
      <c r="I198" s="51"/>
      <c r="J198" s="52"/>
      <c r="P198" s="45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"/>
      <c r="AJ198" s="45"/>
      <c r="AK198" s="92"/>
      <c r="AL198" s="92"/>
      <c r="AM198" s="92"/>
      <c r="AN198" s="92"/>
      <c r="AO198" s="92"/>
      <c r="AP198" s="92"/>
      <c r="AQ198" s="92"/>
      <c r="AR198" s="92"/>
      <c r="AS198" s="92"/>
      <c r="AT198" s="92"/>
      <c r="AU198" s="92"/>
      <c r="AV198" s="92"/>
      <c r="AW198" s="92"/>
      <c r="AX198" s="92"/>
      <c r="AY198" s="92"/>
      <c r="AZ198" s="92"/>
      <c r="BA198" s="92"/>
      <c r="BB198" s="92"/>
      <c r="BD198" s="45"/>
      <c r="BE198" s="92"/>
      <c r="BF198" s="92"/>
      <c r="BG198" s="92"/>
      <c r="BH198" s="92"/>
      <c r="BI198" s="92"/>
      <c r="BJ198" s="92"/>
      <c r="BK198" s="92"/>
      <c r="BL198" s="92"/>
      <c r="BM198" s="92"/>
      <c r="BN198" s="92"/>
      <c r="BO198" s="92"/>
      <c r="BP198" s="92"/>
      <c r="BQ198" s="92"/>
      <c r="BR198" s="92"/>
      <c r="BS198" s="92"/>
      <c r="BT198" s="92"/>
      <c r="BU198" s="92"/>
      <c r="BV198" s="92"/>
      <c r="BX198" s="142"/>
      <c r="BY198" s="142"/>
      <c r="BZ198" s="142"/>
      <c r="CA198" s="142"/>
    </row>
    <row r="199" spans="1:79" ht="21" customHeight="1" x14ac:dyDescent="0.55000000000000004">
      <c r="A199" s="51"/>
      <c r="B199" s="52"/>
      <c r="C199" s="51"/>
      <c r="D199" s="52"/>
      <c r="E199" s="51"/>
      <c r="F199" s="52"/>
      <c r="G199" s="51"/>
      <c r="H199" s="52"/>
      <c r="I199" s="51"/>
      <c r="J199" s="52"/>
      <c r="P199" s="45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  <c r="AG199" s="46"/>
      <c r="AH199" s="46"/>
      <c r="AI199" s="29"/>
      <c r="AJ199" s="45"/>
      <c r="AK199" s="92"/>
      <c r="AL199" s="92"/>
      <c r="AM199" s="92"/>
      <c r="AN199" s="92"/>
      <c r="AO199" s="92"/>
      <c r="AP199" s="92"/>
      <c r="AQ199" s="92"/>
      <c r="AR199" s="92"/>
      <c r="AS199" s="92"/>
      <c r="AT199" s="92"/>
      <c r="AU199" s="92"/>
      <c r="AV199" s="92"/>
      <c r="AW199" s="92"/>
      <c r="AX199" s="92"/>
      <c r="AY199" s="92"/>
      <c r="AZ199" s="92"/>
      <c r="BA199" s="92"/>
      <c r="BB199" s="92"/>
      <c r="BD199" s="45"/>
      <c r="BE199" s="92"/>
      <c r="BF199" s="92"/>
      <c r="BG199" s="92"/>
      <c r="BH199" s="92"/>
      <c r="BI199" s="92"/>
      <c r="BJ199" s="92"/>
      <c r="BK199" s="92"/>
      <c r="BL199" s="92"/>
      <c r="BM199" s="92"/>
      <c r="BN199" s="92"/>
      <c r="BO199" s="92"/>
      <c r="BP199" s="92"/>
      <c r="BQ199" s="92"/>
      <c r="BR199" s="92"/>
      <c r="BS199" s="92"/>
      <c r="BT199" s="92"/>
      <c r="BU199" s="92"/>
      <c r="BV199" s="92"/>
      <c r="BX199" s="142"/>
      <c r="BY199" s="142"/>
      <c r="BZ199" s="142"/>
      <c r="CA199" s="142"/>
    </row>
    <row r="200" spans="1:79" ht="21" customHeight="1" x14ac:dyDescent="0.55000000000000004">
      <c r="A200" s="51"/>
      <c r="B200" s="52"/>
      <c r="C200" s="51"/>
      <c r="D200" s="52"/>
      <c r="E200" s="51"/>
      <c r="F200" s="52"/>
      <c r="G200" s="51"/>
      <c r="H200" s="52"/>
      <c r="I200" s="51"/>
      <c r="J200" s="52"/>
      <c r="P200" s="45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  <c r="AG200" s="46"/>
      <c r="AH200" s="46"/>
      <c r="AI200" s="29"/>
      <c r="AJ200" s="45"/>
      <c r="AK200" s="92"/>
      <c r="AL200" s="92"/>
      <c r="AM200" s="92"/>
      <c r="AN200" s="92"/>
      <c r="AO200" s="92"/>
      <c r="AP200" s="92"/>
      <c r="AQ200" s="92"/>
      <c r="AR200" s="92"/>
      <c r="AS200" s="92"/>
      <c r="AT200" s="92"/>
      <c r="AU200" s="92"/>
      <c r="AV200" s="92"/>
      <c r="AW200" s="92"/>
      <c r="AX200" s="92"/>
      <c r="AY200" s="92"/>
      <c r="AZ200" s="92"/>
      <c r="BA200" s="92"/>
      <c r="BB200" s="92"/>
      <c r="BD200" s="45"/>
      <c r="BE200" s="92"/>
      <c r="BF200" s="92"/>
      <c r="BG200" s="92"/>
      <c r="BH200" s="92"/>
      <c r="BI200" s="92"/>
      <c r="BJ200" s="92"/>
      <c r="BK200" s="92"/>
      <c r="BL200" s="92"/>
      <c r="BM200" s="92"/>
      <c r="BN200" s="92"/>
      <c r="BO200" s="92"/>
      <c r="BP200" s="92"/>
      <c r="BQ200" s="92"/>
      <c r="BR200" s="92"/>
      <c r="BS200" s="92"/>
      <c r="BT200" s="92"/>
      <c r="BU200" s="92"/>
      <c r="BV200" s="92"/>
      <c r="BX200" s="142"/>
      <c r="BY200" s="142"/>
      <c r="BZ200" s="142"/>
      <c r="CA200" s="142"/>
    </row>
    <row r="201" spans="1:79" ht="21" customHeight="1" x14ac:dyDescent="0.55000000000000004">
      <c r="A201" s="51"/>
      <c r="B201" s="52"/>
      <c r="C201" s="51"/>
      <c r="D201" s="52"/>
      <c r="E201" s="51"/>
      <c r="F201" s="52"/>
      <c r="G201" s="51"/>
      <c r="H201" s="52"/>
      <c r="I201" s="51"/>
      <c r="J201" s="52"/>
      <c r="P201" s="45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  <c r="AG201" s="46"/>
      <c r="AH201" s="46"/>
      <c r="AI201" s="29"/>
      <c r="AJ201" s="45"/>
      <c r="AK201" s="92"/>
      <c r="AL201" s="92"/>
      <c r="AM201" s="92"/>
      <c r="AN201" s="92"/>
      <c r="AO201" s="92"/>
      <c r="AP201" s="92"/>
      <c r="AQ201" s="92"/>
      <c r="AR201" s="92"/>
      <c r="AS201" s="92"/>
      <c r="AT201" s="92"/>
      <c r="AU201" s="92"/>
      <c r="AV201" s="92"/>
      <c r="AW201" s="92"/>
      <c r="AX201" s="92"/>
      <c r="AY201" s="92"/>
      <c r="AZ201" s="92"/>
      <c r="BA201" s="92"/>
      <c r="BB201" s="92"/>
      <c r="BD201" s="45"/>
      <c r="BE201" s="92"/>
      <c r="BF201" s="92"/>
      <c r="BG201" s="92"/>
      <c r="BH201" s="92"/>
      <c r="BI201" s="92"/>
      <c r="BJ201" s="92"/>
      <c r="BK201" s="92"/>
      <c r="BL201" s="92"/>
      <c r="BM201" s="92"/>
      <c r="BN201" s="92"/>
      <c r="BO201" s="92"/>
      <c r="BP201" s="92"/>
      <c r="BQ201" s="92"/>
      <c r="BR201" s="92"/>
      <c r="BS201" s="92"/>
      <c r="BT201" s="92"/>
      <c r="BU201" s="92"/>
      <c r="BV201" s="92"/>
      <c r="BX201" s="142"/>
      <c r="BY201" s="142"/>
      <c r="BZ201" s="142"/>
      <c r="CA201" s="142"/>
    </row>
    <row r="202" spans="1:79" ht="21" customHeight="1" x14ac:dyDescent="0.55000000000000004">
      <c r="A202" s="51"/>
      <c r="B202" s="52"/>
      <c r="C202" s="51"/>
      <c r="D202" s="52"/>
      <c r="E202" s="51"/>
      <c r="F202" s="52"/>
      <c r="G202" s="51"/>
      <c r="H202" s="52"/>
      <c r="I202" s="51"/>
      <c r="J202" s="52"/>
      <c r="P202" s="45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  <c r="AG202" s="46"/>
      <c r="AH202" s="46"/>
      <c r="AI202" s="29"/>
      <c r="AJ202" s="45"/>
      <c r="AK202" s="92"/>
      <c r="AL202" s="92"/>
      <c r="AM202" s="92"/>
      <c r="AN202" s="92"/>
      <c r="AO202" s="92"/>
      <c r="AP202" s="92"/>
      <c r="AQ202" s="92"/>
      <c r="AR202" s="92"/>
      <c r="AS202" s="92"/>
      <c r="AT202" s="92"/>
      <c r="AU202" s="92"/>
      <c r="AV202" s="92"/>
      <c r="AW202" s="92"/>
      <c r="AX202" s="92"/>
      <c r="AY202" s="92"/>
      <c r="AZ202" s="92"/>
      <c r="BA202" s="92"/>
      <c r="BB202" s="92"/>
      <c r="BD202" s="45"/>
      <c r="BE202" s="92"/>
      <c r="BF202" s="92"/>
      <c r="BG202" s="92"/>
      <c r="BH202" s="92"/>
      <c r="BI202" s="92"/>
      <c r="BJ202" s="92"/>
      <c r="BK202" s="92"/>
      <c r="BL202" s="92"/>
      <c r="BM202" s="92"/>
      <c r="BN202" s="92"/>
      <c r="BO202" s="92"/>
      <c r="BP202" s="92"/>
      <c r="BQ202" s="92"/>
      <c r="BR202" s="92"/>
      <c r="BS202" s="92"/>
      <c r="BT202" s="92"/>
      <c r="BU202" s="92"/>
      <c r="BV202" s="92"/>
      <c r="BX202" s="142"/>
      <c r="BY202" s="142"/>
      <c r="BZ202" s="142"/>
      <c r="CA202" s="142"/>
    </row>
    <row r="203" spans="1:79" ht="21" customHeight="1" x14ac:dyDescent="0.55000000000000004">
      <c r="A203" s="51"/>
      <c r="B203" s="52"/>
      <c r="C203" s="51"/>
      <c r="D203" s="52"/>
      <c r="E203" s="51"/>
      <c r="F203" s="52"/>
      <c r="G203" s="51"/>
      <c r="H203" s="52"/>
      <c r="I203" s="51"/>
      <c r="J203" s="52"/>
      <c r="P203" s="45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  <c r="AG203" s="46"/>
      <c r="AH203" s="46"/>
      <c r="AI203" s="29"/>
      <c r="AJ203" s="45"/>
      <c r="AK203" s="92"/>
      <c r="AL203" s="92"/>
      <c r="AM203" s="92"/>
      <c r="AN203" s="92"/>
      <c r="AO203" s="92"/>
      <c r="AP203" s="92"/>
      <c r="AQ203" s="92"/>
      <c r="AR203" s="92"/>
      <c r="AS203" s="92"/>
      <c r="AT203" s="92"/>
      <c r="AU203" s="92"/>
      <c r="AV203" s="92"/>
      <c r="AW203" s="92"/>
      <c r="AX203" s="92"/>
      <c r="AY203" s="92"/>
      <c r="AZ203" s="92"/>
      <c r="BA203" s="92"/>
      <c r="BB203" s="92"/>
      <c r="BD203" s="45"/>
      <c r="BE203" s="92"/>
      <c r="BF203" s="92"/>
      <c r="BG203" s="92"/>
      <c r="BH203" s="92"/>
      <c r="BI203" s="92"/>
      <c r="BJ203" s="92"/>
      <c r="BK203" s="92"/>
      <c r="BL203" s="92"/>
      <c r="BM203" s="92"/>
      <c r="BN203" s="92"/>
      <c r="BO203" s="92"/>
      <c r="BP203" s="92"/>
      <c r="BQ203" s="92"/>
      <c r="BR203" s="92"/>
      <c r="BS203" s="92"/>
      <c r="BT203" s="92"/>
      <c r="BU203" s="92"/>
      <c r="BV203" s="92"/>
      <c r="BX203" s="142"/>
      <c r="BY203" s="142"/>
      <c r="BZ203" s="142"/>
      <c r="CA203" s="142"/>
    </row>
    <row r="204" spans="1:79" ht="21" customHeight="1" x14ac:dyDescent="0.55000000000000004">
      <c r="A204" s="51"/>
      <c r="B204" s="52"/>
      <c r="C204" s="51"/>
      <c r="D204" s="52"/>
      <c r="E204" s="51"/>
      <c r="F204" s="52"/>
      <c r="G204" s="51"/>
      <c r="H204" s="52"/>
      <c r="I204" s="51"/>
      <c r="J204" s="52"/>
      <c r="P204" s="45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  <c r="AG204" s="46"/>
      <c r="AH204" s="46"/>
      <c r="AI204" s="29"/>
      <c r="AJ204" s="45"/>
      <c r="AK204" s="92"/>
      <c r="AL204" s="92"/>
      <c r="AM204" s="92"/>
      <c r="AN204" s="92"/>
      <c r="AO204" s="92"/>
      <c r="AP204" s="92"/>
      <c r="AQ204" s="92"/>
      <c r="AR204" s="92"/>
      <c r="AS204" s="92"/>
      <c r="AT204" s="92"/>
      <c r="AU204" s="92"/>
      <c r="AV204" s="92"/>
      <c r="AW204" s="92"/>
      <c r="AX204" s="92"/>
      <c r="AY204" s="92"/>
      <c r="AZ204" s="92"/>
      <c r="BA204" s="92"/>
      <c r="BB204" s="92"/>
      <c r="BD204" s="45"/>
      <c r="BE204" s="92"/>
      <c r="BF204" s="92"/>
      <c r="BG204" s="92"/>
      <c r="BH204" s="92"/>
      <c r="BI204" s="92"/>
      <c r="BJ204" s="92"/>
      <c r="BK204" s="92"/>
      <c r="BL204" s="92"/>
      <c r="BM204" s="92"/>
      <c r="BN204" s="92"/>
      <c r="BO204" s="92"/>
      <c r="BP204" s="92"/>
      <c r="BQ204" s="92"/>
      <c r="BR204" s="92"/>
      <c r="BS204" s="92"/>
      <c r="BT204" s="92"/>
      <c r="BU204" s="92"/>
      <c r="BV204" s="92"/>
      <c r="BX204" s="142"/>
      <c r="BY204" s="142"/>
      <c r="BZ204" s="142"/>
      <c r="CA204" s="142"/>
    </row>
    <row r="205" spans="1:79" ht="21" customHeight="1" x14ac:dyDescent="0.55000000000000004">
      <c r="A205" s="51"/>
      <c r="B205" s="52"/>
      <c r="C205" s="51"/>
      <c r="D205" s="52"/>
      <c r="E205" s="51"/>
      <c r="F205" s="52"/>
      <c r="G205" s="51"/>
      <c r="H205" s="52"/>
      <c r="I205" s="51"/>
      <c r="J205" s="52"/>
      <c r="P205" s="45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  <c r="AG205" s="46"/>
      <c r="AH205" s="46"/>
      <c r="AI205" s="29"/>
      <c r="AJ205" s="45"/>
      <c r="AK205" s="92"/>
      <c r="AL205" s="92"/>
      <c r="AM205" s="92"/>
      <c r="AN205" s="92"/>
      <c r="AO205" s="92"/>
      <c r="AP205" s="92"/>
      <c r="AQ205" s="92"/>
      <c r="AR205" s="92"/>
      <c r="AS205" s="92"/>
      <c r="AT205" s="92"/>
      <c r="AU205" s="92"/>
      <c r="AV205" s="92"/>
      <c r="AW205" s="92"/>
      <c r="AX205" s="92"/>
      <c r="AY205" s="92"/>
      <c r="AZ205" s="92"/>
      <c r="BA205" s="92"/>
      <c r="BB205" s="92"/>
      <c r="BD205" s="45"/>
      <c r="BE205" s="92"/>
      <c r="BF205" s="92"/>
      <c r="BG205" s="92"/>
      <c r="BH205" s="92"/>
      <c r="BI205" s="92"/>
      <c r="BJ205" s="92"/>
      <c r="BK205" s="92"/>
      <c r="BL205" s="92"/>
      <c r="BM205" s="92"/>
      <c r="BN205" s="92"/>
      <c r="BO205" s="92"/>
      <c r="BP205" s="92"/>
      <c r="BQ205" s="92"/>
      <c r="BR205" s="92"/>
      <c r="BS205" s="92"/>
      <c r="BT205" s="92"/>
      <c r="BU205" s="92"/>
      <c r="BV205" s="92"/>
      <c r="BX205" s="142"/>
      <c r="BY205" s="142"/>
      <c r="BZ205" s="142"/>
      <c r="CA205" s="142"/>
    </row>
    <row r="206" spans="1:79" ht="21" customHeight="1" x14ac:dyDescent="0.55000000000000004">
      <c r="A206" s="51"/>
      <c r="B206" s="52"/>
      <c r="C206" s="51"/>
      <c r="D206" s="52"/>
      <c r="E206" s="51"/>
      <c r="F206" s="52"/>
      <c r="G206" s="51"/>
      <c r="H206" s="52"/>
      <c r="I206" s="51"/>
      <c r="J206" s="52"/>
      <c r="P206" s="45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  <c r="AG206" s="46"/>
      <c r="AH206" s="46"/>
      <c r="AI206" s="29"/>
      <c r="AJ206" s="45"/>
      <c r="AK206" s="92"/>
      <c r="AL206" s="92"/>
      <c r="AM206" s="92"/>
      <c r="AN206" s="92"/>
      <c r="AO206" s="92"/>
      <c r="AP206" s="92"/>
      <c r="AQ206" s="92"/>
      <c r="AR206" s="92"/>
      <c r="AS206" s="92"/>
      <c r="AT206" s="92"/>
      <c r="AU206" s="92"/>
      <c r="AV206" s="92"/>
      <c r="AW206" s="92"/>
      <c r="AX206" s="92"/>
      <c r="AY206" s="92"/>
      <c r="AZ206" s="92"/>
      <c r="BA206" s="92"/>
      <c r="BB206" s="92"/>
      <c r="BD206" s="45"/>
      <c r="BE206" s="92"/>
      <c r="BF206" s="92"/>
      <c r="BG206" s="92"/>
      <c r="BH206" s="92"/>
      <c r="BI206" s="92"/>
      <c r="BJ206" s="92"/>
      <c r="BK206" s="92"/>
      <c r="BL206" s="92"/>
      <c r="BM206" s="92"/>
      <c r="BN206" s="92"/>
      <c r="BO206" s="92"/>
      <c r="BP206" s="92"/>
      <c r="BQ206" s="92"/>
      <c r="BR206" s="92"/>
      <c r="BS206" s="92"/>
      <c r="BT206" s="92"/>
      <c r="BU206" s="92"/>
      <c r="BV206" s="92"/>
      <c r="BX206" s="142"/>
      <c r="BY206" s="142"/>
      <c r="BZ206" s="142"/>
      <c r="CA206" s="142"/>
    </row>
    <row r="207" spans="1:79" ht="21" customHeight="1" x14ac:dyDescent="0.55000000000000004">
      <c r="A207" s="51"/>
      <c r="B207" s="52"/>
      <c r="C207" s="51"/>
      <c r="D207" s="52"/>
      <c r="E207" s="51"/>
      <c r="F207" s="52"/>
      <c r="G207" s="51"/>
      <c r="H207" s="52"/>
      <c r="I207" s="51"/>
      <c r="J207" s="52"/>
      <c r="P207" s="45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  <c r="AG207" s="46"/>
      <c r="AH207" s="46"/>
      <c r="AI207" s="29"/>
      <c r="AJ207" s="45"/>
      <c r="AK207" s="92"/>
      <c r="AL207" s="92"/>
      <c r="AM207" s="92"/>
      <c r="AN207" s="92"/>
      <c r="AO207" s="92"/>
      <c r="AP207" s="92"/>
      <c r="AQ207" s="92"/>
      <c r="AR207" s="92"/>
      <c r="AS207" s="92"/>
      <c r="AT207" s="92"/>
      <c r="AU207" s="92"/>
      <c r="AV207" s="92"/>
      <c r="AW207" s="92"/>
      <c r="AX207" s="92"/>
      <c r="AY207" s="92"/>
      <c r="AZ207" s="92"/>
      <c r="BA207" s="92"/>
      <c r="BB207" s="92"/>
      <c r="BD207" s="45"/>
      <c r="BE207" s="92"/>
      <c r="BF207" s="92"/>
      <c r="BG207" s="92"/>
      <c r="BH207" s="92"/>
      <c r="BI207" s="92"/>
      <c r="BJ207" s="92"/>
      <c r="BK207" s="92"/>
      <c r="BL207" s="92"/>
      <c r="BM207" s="92"/>
      <c r="BN207" s="92"/>
      <c r="BO207" s="92"/>
      <c r="BP207" s="92"/>
      <c r="BQ207" s="92"/>
      <c r="BR207" s="92"/>
      <c r="BS207" s="92"/>
      <c r="BT207" s="92"/>
      <c r="BU207" s="92"/>
      <c r="BV207" s="92"/>
      <c r="BX207" s="142"/>
      <c r="BY207" s="142"/>
      <c r="BZ207" s="142"/>
      <c r="CA207" s="142"/>
    </row>
    <row r="208" spans="1:79" ht="21" customHeight="1" x14ac:dyDescent="0.55000000000000004">
      <c r="A208" s="51"/>
      <c r="B208" s="52"/>
      <c r="C208" s="51"/>
      <c r="D208" s="52"/>
      <c r="E208" s="51"/>
      <c r="F208" s="52"/>
      <c r="G208" s="51"/>
      <c r="H208" s="52"/>
      <c r="I208" s="51"/>
      <c r="J208" s="52"/>
      <c r="P208" s="45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  <c r="AG208" s="46"/>
      <c r="AH208" s="46"/>
      <c r="AJ208" s="45"/>
      <c r="AK208" s="92"/>
      <c r="AL208" s="92"/>
      <c r="AM208" s="92"/>
      <c r="AN208" s="92"/>
      <c r="AO208" s="92"/>
      <c r="AP208" s="92"/>
      <c r="AQ208" s="92"/>
      <c r="AR208" s="92"/>
      <c r="AS208" s="92"/>
      <c r="AT208" s="92"/>
      <c r="AU208" s="92"/>
      <c r="AV208" s="92"/>
      <c r="AW208" s="92"/>
      <c r="AX208" s="92"/>
      <c r="AY208" s="92"/>
      <c r="AZ208" s="92"/>
      <c r="BA208" s="92"/>
      <c r="BB208" s="92"/>
      <c r="BD208" s="45"/>
      <c r="BE208" s="92"/>
      <c r="BF208" s="92"/>
      <c r="BG208" s="92"/>
      <c r="BH208" s="92"/>
      <c r="BI208" s="92"/>
      <c r="BJ208" s="92"/>
      <c r="BK208" s="92"/>
      <c r="BL208" s="92"/>
      <c r="BM208" s="92"/>
      <c r="BN208" s="92"/>
      <c r="BO208" s="92"/>
      <c r="BP208" s="92"/>
      <c r="BQ208" s="92"/>
      <c r="BR208" s="92"/>
      <c r="BS208" s="92"/>
      <c r="BT208" s="92"/>
      <c r="BU208" s="92"/>
      <c r="BV208" s="92"/>
      <c r="BX208" s="142"/>
      <c r="BY208" s="142"/>
      <c r="BZ208" s="142"/>
      <c r="CA208" s="142"/>
    </row>
    <row r="209" spans="1:79" ht="21" customHeight="1" x14ac:dyDescent="0.55000000000000004">
      <c r="A209" s="51"/>
      <c r="B209" s="52"/>
      <c r="C209" s="51"/>
      <c r="D209" s="52"/>
      <c r="E209" s="51"/>
      <c r="F209" s="52"/>
      <c r="G209" s="51"/>
      <c r="H209" s="52"/>
      <c r="I209" s="51"/>
      <c r="J209" s="52"/>
      <c r="P209" s="45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  <c r="AG209" s="46"/>
      <c r="AH209" s="46"/>
      <c r="AI209" s="4"/>
      <c r="AJ209" s="45"/>
      <c r="AK209" s="92"/>
      <c r="AL209" s="92"/>
      <c r="AM209" s="92"/>
      <c r="AN209" s="92"/>
      <c r="AO209" s="92"/>
      <c r="AP209" s="92"/>
      <c r="AQ209" s="92"/>
      <c r="AR209" s="92"/>
      <c r="AS209" s="92"/>
      <c r="AT209" s="92"/>
      <c r="AU209" s="92"/>
      <c r="AV209" s="92"/>
      <c r="AW209" s="92"/>
      <c r="AX209" s="92"/>
      <c r="AY209" s="92"/>
      <c r="AZ209" s="92"/>
      <c r="BA209" s="92"/>
      <c r="BB209" s="92"/>
      <c r="BD209" s="45"/>
      <c r="BE209" s="92"/>
      <c r="BF209" s="92"/>
      <c r="BG209" s="92"/>
      <c r="BH209" s="92"/>
      <c r="BI209" s="92"/>
      <c r="BJ209" s="92"/>
      <c r="BK209" s="92"/>
      <c r="BL209" s="92"/>
      <c r="BM209" s="92"/>
      <c r="BN209" s="92"/>
      <c r="BO209" s="92"/>
      <c r="BP209" s="92"/>
      <c r="BQ209" s="92"/>
      <c r="BR209" s="92"/>
      <c r="BS209" s="92"/>
      <c r="BT209" s="92"/>
      <c r="BU209" s="92"/>
      <c r="BV209" s="92"/>
      <c r="BX209" s="142"/>
      <c r="BY209" s="142"/>
      <c r="BZ209" s="142"/>
      <c r="CA209" s="142"/>
    </row>
    <row r="210" spans="1:79" ht="21" customHeight="1" x14ac:dyDescent="0.55000000000000004">
      <c r="A210" s="51"/>
      <c r="B210" s="52"/>
      <c r="C210" s="51"/>
      <c r="D210" s="52"/>
      <c r="E210" s="51"/>
      <c r="F210" s="52"/>
      <c r="G210" s="51"/>
      <c r="H210" s="52"/>
      <c r="I210" s="51"/>
      <c r="J210" s="52"/>
      <c r="P210" s="45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  <c r="AG210" s="46"/>
      <c r="AH210" s="46"/>
      <c r="AI210" s="4"/>
      <c r="AJ210" s="45"/>
      <c r="AK210" s="92"/>
      <c r="AL210" s="92"/>
      <c r="AM210" s="92"/>
      <c r="AN210" s="92"/>
      <c r="AO210" s="92"/>
      <c r="AP210" s="92"/>
      <c r="AQ210" s="92"/>
      <c r="AR210" s="92"/>
      <c r="AS210" s="92"/>
      <c r="AT210" s="92"/>
      <c r="AU210" s="92"/>
      <c r="AV210" s="92"/>
      <c r="AW210" s="92"/>
      <c r="AX210" s="92"/>
      <c r="AY210" s="92"/>
      <c r="AZ210" s="92"/>
      <c r="BA210" s="92"/>
      <c r="BB210" s="92"/>
      <c r="BD210" s="45"/>
      <c r="BE210" s="92"/>
      <c r="BF210" s="92"/>
      <c r="BG210" s="92"/>
      <c r="BH210" s="92"/>
      <c r="BI210" s="92"/>
      <c r="BJ210" s="92"/>
      <c r="BK210" s="92"/>
      <c r="BL210" s="92"/>
      <c r="BM210" s="92"/>
      <c r="BN210" s="92"/>
      <c r="BO210" s="92"/>
      <c r="BP210" s="92"/>
      <c r="BQ210" s="92"/>
      <c r="BR210" s="92"/>
      <c r="BS210" s="92"/>
      <c r="BT210" s="92"/>
      <c r="BU210" s="92"/>
      <c r="BV210" s="92"/>
      <c r="BX210" s="142"/>
      <c r="BY210" s="142"/>
      <c r="BZ210" s="142"/>
      <c r="CA210" s="142"/>
    </row>
    <row r="211" spans="1:79" ht="21" customHeight="1" x14ac:dyDescent="0.55000000000000004">
      <c r="A211" s="51"/>
      <c r="B211" s="52"/>
      <c r="C211" s="51"/>
      <c r="D211" s="52"/>
      <c r="E211" s="51"/>
      <c r="F211" s="52"/>
      <c r="G211" s="51"/>
      <c r="H211" s="52"/>
      <c r="I211" s="51"/>
      <c r="J211" s="52"/>
      <c r="P211" s="45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  <c r="AG211" s="46"/>
      <c r="AH211" s="46"/>
      <c r="AI211" s="4"/>
      <c r="AJ211" s="45"/>
      <c r="AK211" s="92"/>
      <c r="AL211" s="92"/>
      <c r="AM211" s="92"/>
      <c r="AN211" s="92"/>
      <c r="AO211" s="92"/>
      <c r="AP211" s="92"/>
      <c r="AQ211" s="92"/>
      <c r="AR211" s="92"/>
      <c r="AS211" s="92"/>
      <c r="AT211" s="92"/>
      <c r="AU211" s="92"/>
      <c r="AV211" s="92"/>
      <c r="AW211" s="92"/>
      <c r="AX211" s="92"/>
      <c r="AY211" s="92"/>
      <c r="AZ211" s="92"/>
      <c r="BA211" s="92"/>
      <c r="BB211" s="92"/>
      <c r="BD211" s="45"/>
      <c r="BE211" s="92"/>
      <c r="BF211" s="92"/>
      <c r="BG211" s="92"/>
      <c r="BH211" s="92"/>
      <c r="BI211" s="92"/>
      <c r="BJ211" s="92"/>
      <c r="BK211" s="92"/>
      <c r="BL211" s="92"/>
      <c r="BM211" s="92"/>
      <c r="BN211" s="92"/>
      <c r="BO211" s="92"/>
      <c r="BP211" s="92"/>
      <c r="BQ211" s="92"/>
      <c r="BR211" s="92"/>
      <c r="BS211" s="92"/>
      <c r="BT211" s="92"/>
      <c r="BU211" s="92"/>
      <c r="BV211" s="92"/>
      <c r="BX211" s="142"/>
      <c r="BY211" s="142"/>
      <c r="BZ211" s="142"/>
      <c r="CA211" s="142"/>
    </row>
    <row r="212" spans="1:79" ht="21" customHeight="1" x14ac:dyDescent="0.55000000000000004">
      <c r="A212" s="51"/>
      <c r="B212" s="52"/>
      <c r="C212" s="51"/>
      <c r="D212" s="52"/>
      <c r="E212" s="51"/>
      <c r="F212" s="52"/>
      <c r="G212" s="51"/>
      <c r="H212" s="52"/>
      <c r="I212" s="51"/>
      <c r="J212" s="52"/>
      <c r="P212" s="45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  <c r="AG212" s="46"/>
      <c r="AH212" s="46"/>
      <c r="AI212" s="4"/>
      <c r="AJ212" s="45"/>
      <c r="AK212" s="92"/>
      <c r="AL212" s="92"/>
      <c r="AM212" s="92"/>
      <c r="AN212" s="92"/>
      <c r="AO212" s="92"/>
      <c r="AP212" s="92"/>
      <c r="AQ212" s="92"/>
      <c r="AR212" s="92"/>
      <c r="AS212" s="92"/>
      <c r="AT212" s="92"/>
      <c r="AU212" s="92"/>
      <c r="AV212" s="92"/>
      <c r="AW212" s="92"/>
      <c r="AX212" s="92"/>
      <c r="AY212" s="92"/>
      <c r="AZ212" s="92"/>
      <c r="BA212" s="92"/>
      <c r="BB212" s="92"/>
      <c r="BD212" s="45"/>
      <c r="BE212" s="92"/>
      <c r="BF212" s="92"/>
      <c r="BG212" s="92"/>
      <c r="BH212" s="92"/>
      <c r="BI212" s="92"/>
      <c r="BJ212" s="92"/>
      <c r="BK212" s="92"/>
      <c r="BL212" s="92"/>
      <c r="BM212" s="92"/>
      <c r="BN212" s="92"/>
      <c r="BO212" s="92"/>
      <c r="BP212" s="92"/>
      <c r="BQ212" s="92"/>
      <c r="BR212" s="92"/>
      <c r="BS212" s="92"/>
      <c r="BT212" s="92"/>
      <c r="BU212" s="92"/>
      <c r="BV212" s="92"/>
      <c r="BX212" s="142"/>
      <c r="BY212" s="142"/>
      <c r="BZ212" s="142"/>
      <c r="CA212" s="142"/>
    </row>
    <row r="213" spans="1:79" ht="21" customHeight="1" x14ac:dyDescent="0.55000000000000004">
      <c r="A213" s="51"/>
      <c r="B213" s="52"/>
      <c r="C213" s="51"/>
      <c r="D213" s="52"/>
      <c r="E213" s="51"/>
      <c r="F213" s="52"/>
      <c r="G213" s="51"/>
      <c r="H213" s="52"/>
      <c r="I213" s="51"/>
      <c r="J213" s="52"/>
      <c r="P213" s="45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  <c r="AG213" s="46"/>
      <c r="AH213" s="46"/>
      <c r="AI213" s="4"/>
      <c r="AJ213" s="45"/>
      <c r="AK213" s="92"/>
      <c r="AL213" s="92"/>
      <c r="AM213" s="92"/>
      <c r="AN213" s="92"/>
      <c r="AO213" s="92"/>
      <c r="AP213" s="92"/>
      <c r="AQ213" s="92"/>
      <c r="AR213" s="92"/>
      <c r="AS213" s="92"/>
      <c r="AT213" s="92"/>
      <c r="AU213" s="92"/>
      <c r="AV213" s="92"/>
      <c r="AW213" s="92"/>
      <c r="AX213" s="92"/>
      <c r="AY213" s="92"/>
      <c r="AZ213" s="92"/>
      <c r="BA213" s="92"/>
      <c r="BB213" s="92"/>
      <c r="BD213" s="45"/>
      <c r="BE213" s="92"/>
      <c r="BF213" s="92"/>
      <c r="BG213" s="92"/>
      <c r="BH213" s="92"/>
      <c r="BI213" s="92"/>
      <c r="BJ213" s="92"/>
      <c r="BK213" s="92"/>
      <c r="BL213" s="92"/>
      <c r="BM213" s="92"/>
      <c r="BN213" s="92"/>
      <c r="BO213" s="92"/>
      <c r="BP213" s="92"/>
      <c r="BQ213" s="92"/>
      <c r="BR213" s="92"/>
      <c r="BS213" s="92"/>
      <c r="BT213" s="92"/>
      <c r="BU213" s="92"/>
      <c r="BV213" s="92"/>
      <c r="BX213" s="142"/>
      <c r="BY213" s="142"/>
      <c r="BZ213" s="142"/>
      <c r="CA213" s="142"/>
    </row>
    <row r="214" spans="1:79" ht="21" customHeight="1" x14ac:dyDescent="0.6">
      <c r="A214" s="51"/>
      <c r="B214" s="52"/>
      <c r="C214" s="51"/>
      <c r="D214" s="52"/>
      <c r="E214" s="51"/>
      <c r="F214" s="52"/>
      <c r="G214" s="51"/>
      <c r="H214" s="52"/>
      <c r="I214" s="51"/>
      <c r="J214" s="52"/>
    </row>
  </sheetData>
  <mergeCells count="228">
    <mergeCell ref="BD62:BV64"/>
    <mergeCell ref="BD68:BD69"/>
    <mergeCell ref="BD98:BD99"/>
    <mergeCell ref="BD128:BD129"/>
    <mergeCell ref="BD158:BD159"/>
    <mergeCell ref="BD188:BD189"/>
    <mergeCell ref="DD47:DD48"/>
    <mergeCell ref="DE47:DE48"/>
    <mergeCell ref="DF47:DF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BX66:CA67"/>
    <mergeCell ref="BX96:CA97"/>
    <mergeCell ref="BX126:CA127"/>
    <mergeCell ref="BX156:CA157"/>
    <mergeCell ref="BX186:CA187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BN47:BN48"/>
    <mergeCell ref="BO47:BO48"/>
    <mergeCell ref="CK47:CK48"/>
    <mergeCell ref="CL47:CL48"/>
    <mergeCell ref="CM47:CM48"/>
    <mergeCell ref="CN47:CN48"/>
    <mergeCell ref="CO47:CO48"/>
    <mergeCell ref="CP47:CP48"/>
    <mergeCell ref="CE47:CE48"/>
    <mergeCell ref="CF47:CF48"/>
    <mergeCell ref="A45:B45"/>
    <mergeCell ref="BV47:BV48"/>
    <mergeCell ref="BW47:BW48"/>
    <mergeCell ref="BX47:BX48"/>
    <mergeCell ref="BM47:BM48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  <mergeCell ref="AX47:AX48"/>
    <mergeCell ref="AY47:AY48"/>
    <mergeCell ref="AZ47:AZ48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36:B36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K47:K48"/>
    <mergeCell ref="G47:G48"/>
    <mergeCell ref="H47:H48"/>
    <mergeCell ref="Q47:Q48"/>
    <mergeCell ref="R47:R48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0:B170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P67:Q67"/>
    <mergeCell ref="A62:AH62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866775</xdr:colOff>
                    <xdr:row>2</xdr:row>
                    <xdr:rowOff>114300</xdr:rowOff>
                  </from>
                  <to>
                    <xdr:col>10</xdr:col>
                    <xdr:colOff>785813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KDB</cp:lastModifiedBy>
  <dcterms:created xsi:type="dcterms:W3CDTF">2021-12-29T01:27:14Z</dcterms:created>
  <dcterms:modified xsi:type="dcterms:W3CDTF">2022-09-02T08:44:05Z</dcterms:modified>
</cp:coreProperties>
</file>