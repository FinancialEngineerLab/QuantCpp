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<sst xmlns="http://schemas.openxmlformats.org/spreadsheetml/2006/main" count="173" uniqueCount="82">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</sst>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2" borderId="1" xfId="0" applyNumberFormat="1" applyFont="1" applyFill="1" applyBorder="1" applyAlignment="1" applyProtection="1"/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left" vertical="center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785813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D1" zoomScale="80" zoomScaleNormal="80" workbookViewId="0">
      <selection activeCell="J8" sqref="J8"/>
    </sheetView>
  </sheetViews>
  <sheetFormatPr defaultColWidth="13.6875" defaultRowHeight="21" customHeight="1" x14ac:dyDescent="0.6"/>
  <cols>
    <col min="1" max="6" width="13.6875" style="1"/>
    <col min="7" max="7" width="13.6875" style="1" customWidth="1"/>
    <col min="8" max="16384" width="13.6875" style="1"/>
  </cols>
  <sheetData>
    <row r="1" spans="1:49" ht="21" customHeight="1" x14ac:dyDescent="0.6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49" ht="21" customHeight="1" x14ac:dyDescent="0.6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6">
      <c r="A3" s="2"/>
      <c r="C3" s="2"/>
      <c r="D3" s="2"/>
      <c r="F3" s="117" t="s">
        <v>1</v>
      </c>
      <c r="G3" s="117"/>
      <c r="H3" s="118">
        <v>100000</v>
      </c>
      <c r="I3" s="119"/>
    </row>
    <row r="4" spans="1:49" s="3" customFormat="1" ht="21" customHeight="1" x14ac:dyDescent="0.6">
      <c r="A4" s="105" t="s">
        <v>2</v>
      </c>
      <c r="B4" s="106"/>
      <c r="C4" s="125">
        <v>10000</v>
      </c>
      <c r="D4" s="126"/>
      <c r="F4" s="117" t="s">
        <v>3</v>
      </c>
      <c r="G4" s="117"/>
      <c r="H4" s="118">
        <v>1</v>
      </c>
      <c r="I4" s="119"/>
      <c r="M4" s="4"/>
      <c r="N4" s="5" t="s">
        <v>4</v>
      </c>
      <c r="O4" s="6" t="s">
        <v>5</v>
      </c>
      <c r="P4" s="5" t="s">
        <v>6</v>
      </c>
      <c r="R4" s="90" t="s">
        <v>79</v>
      </c>
      <c r="S4" s="124">
        <v>1</v>
      </c>
      <c r="T4" s="124"/>
    </row>
    <row r="5" spans="1:49" s="3" customFormat="1" ht="21" customHeight="1" thickBot="1" x14ac:dyDescent="0.65">
      <c r="A5" s="105" t="s">
        <v>7</v>
      </c>
      <c r="B5" s="106"/>
      <c r="C5" s="127">
        <v>1</v>
      </c>
      <c r="D5" s="128"/>
      <c r="M5" s="7" t="s">
        <v>8</v>
      </c>
      <c r="N5" s="8"/>
      <c r="O5" s="8"/>
      <c r="P5" s="8"/>
      <c r="R5" s="90" t="s">
        <v>77</v>
      </c>
      <c r="S5" s="122">
        <v>44803.632210648146</v>
      </c>
      <c r="T5" s="122"/>
    </row>
    <row r="6" spans="1:49" s="3" customFormat="1" ht="21" customHeight="1" thickBot="1" x14ac:dyDescent="0.65">
      <c r="A6" s="107" t="s">
        <v>9</v>
      </c>
      <c r="B6" s="108"/>
      <c r="C6" s="109">
        <v>42919</v>
      </c>
      <c r="D6" s="110"/>
      <c r="E6" s="2"/>
      <c r="F6" s="111" t="s">
        <v>10</v>
      </c>
      <c r="G6" s="111"/>
      <c r="H6" s="112">
        <v>10000</v>
      </c>
      <c r="I6" s="112"/>
      <c r="M6" s="7" t="s">
        <v>11</v>
      </c>
      <c r="N6" s="8"/>
      <c r="O6" s="8"/>
      <c r="P6" s="8"/>
      <c r="R6" s="90" t="s">
        <v>78</v>
      </c>
      <c r="S6" s="122">
        <v>44803.632222222222</v>
      </c>
      <c r="T6" s="122"/>
    </row>
    <row r="7" spans="1:49" s="3" customFormat="1" ht="21" customHeight="1" thickBot="1" x14ac:dyDescent="0.65">
      <c r="A7" s="107" t="s">
        <v>23</v>
      </c>
      <c r="B7" s="108"/>
      <c r="C7" s="120">
        <v>3</v>
      </c>
      <c r="D7" s="121"/>
      <c r="F7" s="113" t="s">
        <v>12</v>
      </c>
      <c r="G7" s="114"/>
      <c r="H7" s="115">
        <v>0</v>
      </c>
      <c r="I7" s="116"/>
      <c r="M7" s="7" t="s">
        <v>13</v>
      </c>
      <c r="N7" s="8"/>
      <c r="O7" s="8"/>
      <c r="P7" s="8"/>
      <c r="R7" s="90"/>
      <c r="S7" s="123"/>
      <c r="T7" s="123"/>
    </row>
    <row r="8" spans="1:49" s="3" customFormat="1" ht="21" customHeight="1" x14ac:dyDescent="0.6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6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6">
      <c r="A10" s="9"/>
      <c r="B10" s="9"/>
      <c r="C10" s="9"/>
    </row>
    <row r="11" spans="1:49" s="3" customFormat="1" ht="21" hidden="1" customHeight="1" x14ac:dyDescent="0.6">
      <c r="A11" s="9"/>
      <c r="B11" s="9"/>
      <c r="C11" s="9"/>
    </row>
    <row r="12" spans="1:49" s="3" customFormat="1" ht="21" hidden="1" customHeight="1" x14ac:dyDescent="0.6">
      <c r="A12" s="9"/>
      <c r="B12" s="9"/>
      <c r="C12" s="9"/>
    </row>
    <row r="13" spans="1:49" s="3" customFormat="1" ht="21" hidden="1" customHeight="1" x14ac:dyDescent="0.6">
      <c r="A13" s="9"/>
      <c r="B13" s="9"/>
      <c r="C13" s="9"/>
    </row>
    <row r="14" spans="1:49" s="3" customFormat="1" ht="21" hidden="1" customHeight="1" x14ac:dyDescent="0.6">
      <c r="A14" s="9"/>
      <c r="B14" s="9"/>
      <c r="C14" s="9"/>
    </row>
    <row r="15" spans="1:49" s="3" customFormat="1" ht="21" hidden="1" customHeight="1" x14ac:dyDescent="0.6">
      <c r="A15" s="9"/>
      <c r="B15" s="9"/>
      <c r="C15" s="9"/>
    </row>
    <row r="16" spans="1:49" s="3" customFormat="1" ht="21" customHeight="1" thickBot="1" x14ac:dyDescent="0.65">
      <c r="Q16" s="3">
        <f t="shared" ref="Q16:X16" si="1">Q17/Q18</f>
        <v>10250.000000000295</v>
      </c>
      <c r="R16" s="3">
        <f t="shared" si="1"/>
        <v>10499.999999999642</v>
      </c>
      <c r="S16" s="3">
        <f t="shared" si="1"/>
        <v>10749.999999999933</v>
      </c>
      <c r="T16" s="3">
        <f t="shared" si="1"/>
        <v>11000.000000000035</v>
      </c>
      <c r="U16" s="3">
        <f t="shared" si="1"/>
        <v>11250.000000000029</v>
      </c>
      <c r="V16" s="3">
        <f t="shared" si="1"/>
        <v>11500.000000000042</v>
      </c>
      <c r="W16" s="3">
        <f t="shared" si="1"/>
        <v>11500.000000000035</v>
      </c>
      <c r="X16" s="3">
        <f t="shared" si="1"/>
        <v>4536.8552417586852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65">
      <c r="A17" s="117" t="s">
        <v>81</v>
      </c>
      <c r="B17" s="117"/>
      <c r="C17" s="135">
        <v>6</v>
      </c>
      <c r="D17" s="134"/>
      <c r="F17" s="105" t="s">
        <v>51</v>
      </c>
      <c r="G17" s="106"/>
      <c r="H17" s="135">
        <v>0</v>
      </c>
      <c r="I17" s="134"/>
      <c r="K17" s="136" t="s">
        <v>14</v>
      </c>
      <c r="L17" s="136"/>
      <c r="M17" s="137">
        <v>9579.5568911937135</v>
      </c>
      <c r="N17" s="137"/>
      <c r="O17" s="129" t="s">
        <v>76</v>
      </c>
      <c r="P17" s="130"/>
      <c r="Q17" s="86">
        <v>5642.6249999997081</v>
      </c>
      <c r="R17" s="86">
        <v>1439.5499999999638</v>
      </c>
      <c r="S17" s="86">
        <v>721.32500000000505</v>
      </c>
      <c r="T17" s="86">
        <v>456.50000000000324</v>
      </c>
      <c r="U17" s="86">
        <v>370.125</v>
      </c>
      <c r="V17" s="86">
        <v>307.0499999999999</v>
      </c>
      <c r="W17" s="86">
        <v>319.69999999999965</v>
      </c>
      <c r="X17" s="86">
        <v>528.08995014072138</v>
      </c>
    </row>
    <row r="18" spans="1:111" s="3" customFormat="1" ht="21" customHeight="1" thickBot="1" x14ac:dyDescent="0.65">
      <c r="F18" s="117" t="s">
        <v>16</v>
      </c>
      <c r="G18" s="117"/>
      <c r="H18" s="131">
        <v>1</v>
      </c>
      <c r="I18" s="132"/>
      <c r="K18" s="136"/>
      <c r="L18" s="136"/>
      <c r="M18" s="137"/>
      <c r="N18" s="137"/>
      <c r="O18" s="129" t="s">
        <v>15</v>
      </c>
      <c r="P18" s="130"/>
      <c r="Q18" s="10">
        <v>0.55049999999995569</v>
      </c>
      <c r="R18" s="10">
        <v>0.13710000000000122</v>
      </c>
      <c r="S18" s="10">
        <v>6.7100000000000895E-2</v>
      </c>
      <c r="T18" s="10">
        <v>4.1500000000000162E-2</v>
      </c>
      <c r="U18" s="10">
        <v>3.2899999999999915E-2</v>
      </c>
      <c r="V18" s="10">
        <v>2.6699999999999894E-2</v>
      </c>
      <c r="W18" s="10">
        <v>2.7799999999999887E-2</v>
      </c>
      <c r="X18" s="10">
        <v>0.11640000000000231</v>
      </c>
    </row>
    <row r="19" spans="1:111" s="3" customFormat="1" ht="21" customHeight="1" x14ac:dyDescent="0.6">
      <c r="A19" s="117" t="s">
        <v>17</v>
      </c>
      <c r="B19" s="117"/>
      <c r="C19" s="133">
        <v>0.5</v>
      </c>
      <c r="D19" s="134"/>
      <c r="K19" s="138" t="s">
        <v>80</v>
      </c>
      <c r="L19" s="138"/>
      <c r="M19" s="138"/>
      <c r="N19" s="138"/>
      <c r="X19" s="87">
        <f>SUM(Q18:Z18)</f>
        <v>0.99999999999996014</v>
      </c>
    </row>
    <row r="20" spans="1:111" s="3" customFormat="1" ht="21" customHeight="1" x14ac:dyDescent="0.6">
      <c r="A20" s="9"/>
      <c r="B20" s="9"/>
      <c r="C20" s="9"/>
    </row>
    <row r="21" spans="1:111" s="3" customFormat="1" ht="21" hidden="1" customHeight="1" x14ac:dyDescent="0.6">
      <c r="A21" s="9"/>
      <c r="B21" s="9"/>
      <c r="C21" s="9"/>
    </row>
    <row r="22" spans="1:111" s="3" customFormat="1" ht="21" hidden="1" customHeight="1" x14ac:dyDescent="0.6">
      <c r="A22" s="9"/>
      <c r="B22" s="9"/>
      <c r="C22" s="9"/>
    </row>
    <row r="23" spans="1:111" s="3" customFormat="1" ht="21" hidden="1" customHeight="1" x14ac:dyDescent="0.6">
      <c r="A23" s="9"/>
      <c r="B23" s="9"/>
      <c r="C23" s="9"/>
    </row>
    <row r="24" spans="1:111" s="3" customFormat="1" ht="21" hidden="1" customHeight="1" x14ac:dyDescent="0.6">
      <c r="A24" s="9"/>
      <c r="B24" s="9"/>
      <c r="C24" s="9"/>
    </row>
    <row r="25" spans="1:111" s="3" customFormat="1" ht="21" hidden="1" customHeight="1" x14ac:dyDescent="0.6">
      <c r="A25" s="9"/>
      <c r="B25" s="9"/>
      <c r="C25" s="9"/>
    </row>
    <row r="26" spans="1:111" s="11" customFormat="1" ht="21" customHeight="1" x14ac:dyDescent="0.6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6">
      <c r="A27" s="105" t="s">
        <v>18</v>
      </c>
      <c r="B27" s="106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6">
      <c r="A28" s="105" t="s">
        <v>19</v>
      </c>
      <c r="B28" s="106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6">
      <c r="A29" s="105" t="s">
        <v>43</v>
      </c>
      <c r="B29" s="106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6">
      <c r="A30" s="105" t="s">
        <v>53</v>
      </c>
      <c r="B30" s="106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6">
      <c r="A31" s="105" t="s">
        <v>54</v>
      </c>
      <c r="B31" s="106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6">
      <c r="A32" s="105"/>
      <c r="B32" s="10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6">
      <c r="A33" s="105"/>
      <c r="B33" s="106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6">
      <c r="A34" s="105" t="s">
        <v>20</v>
      </c>
      <c r="B34" s="106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6">
      <c r="A35" s="105" t="s">
        <v>55</v>
      </c>
      <c r="B35" s="106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6">
      <c r="A36" s="105" t="s">
        <v>56</v>
      </c>
      <c r="B36" s="106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6">
      <c r="A37" s="105" t="s">
        <v>21</v>
      </c>
      <c r="B37" s="106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6">
      <c r="A38" s="97" t="s">
        <v>57</v>
      </c>
      <c r="B38" s="98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6">
      <c r="A39" s="97" t="s">
        <v>58</v>
      </c>
      <c r="B39" s="98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6">
      <c r="A40" s="97" t="s">
        <v>59</v>
      </c>
      <c r="B40" s="98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6">
      <c r="A41" s="97" t="s">
        <v>63</v>
      </c>
      <c r="B41" s="98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6">
      <c r="A42" s="97" t="s">
        <v>62</v>
      </c>
      <c r="B42" s="98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6">
      <c r="A43" s="97" t="s">
        <v>61</v>
      </c>
      <c r="B43" s="98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6">
      <c r="A44" s="97" t="s">
        <v>60</v>
      </c>
      <c r="B44" s="98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6">
      <c r="A45" s="97" t="s">
        <v>72</v>
      </c>
      <c r="B45" s="98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6">
      <c r="A46" s="97" t="s">
        <v>64</v>
      </c>
      <c r="B46" s="98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6">
      <c r="A47" s="102"/>
      <c r="B47" s="102"/>
      <c r="C47" s="96" t="str">
        <f t="shared" ref="C47:AH47" si="2">IFERROR(IF(AND(C29="",D29="",B29&lt;&gt;"",C34&lt;&gt;""),"Not Autocalled Not KI Payoff",IF(AND(C29="",B29="",A29&lt;&gt;""),"Not Autocalled KI Payoff","")), "")</f>
        <v/>
      </c>
      <c r="D47" s="96" t="str">
        <f t="shared" si="2"/>
        <v/>
      </c>
      <c r="E47" s="96" t="str">
        <f t="shared" si="2"/>
        <v/>
      </c>
      <c r="F47" s="96" t="str">
        <f t="shared" si="2"/>
        <v/>
      </c>
      <c r="G47" s="96" t="str">
        <f t="shared" si="2"/>
        <v/>
      </c>
      <c r="H47" s="96" t="str">
        <f t="shared" si="2"/>
        <v/>
      </c>
      <c r="I47" s="96" t="str">
        <f t="shared" si="2"/>
        <v>Not Autocalled Not KI Payoff</v>
      </c>
      <c r="J47" s="96" t="str">
        <f t="shared" si="2"/>
        <v>Not Autocalled KI Payoff</v>
      </c>
      <c r="K47" s="96" t="str">
        <f t="shared" si="2"/>
        <v/>
      </c>
      <c r="L47" s="96" t="str">
        <f t="shared" si="2"/>
        <v/>
      </c>
      <c r="M47" s="96" t="str">
        <f t="shared" si="2"/>
        <v/>
      </c>
      <c r="N47" s="96" t="str">
        <f t="shared" si="2"/>
        <v/>
      </c>
      <c r="O47" s="96" t="str">
        <f t="shared" si="2"/>
        <v/>
      </c>
      <c r="P47" s="96" t="str">
        <f t="shared" si="2"/>
        <v/>
      </c>
      <c r="Q47" s="96" t="str">
        <f t="shared" si="2"/>
        <v/>
      </c>
      <c r="R47" s="96" t="str">
        <f t="shared" si="2"/>
        <v/>
      </c>
      <c r="S47" s="96" t="str">
        <f t="shared" si="2"/>
        <v/>
      </c>
      <c r="T47" s="96" t="str">
        <f t="shared" si="2"/>
        <v/>
      </c>
      <c r="U47" s="96" t="str">
        <f t="shared" si="2"/>
        <v/>
      </c>
      <c r="V47" s="96" t="str">
        <f t="shared" si="2"/>
        <v/>
      </c>
      <c r="W47" s="96" t="str">
        <f t="shared" si="2"/>
        <v/>
      </c>
      <c r="X47" s="96" t="str">
        <f t="shared" si="2"/>
        <v/>
      </c>
      <c r="Y47" s="96" t="str">
        <f t="shared" si="2"/>
        <v/>
      </c>
      <c r="Z47" s="96" t="str">
        <f t="shared" si="2"/>
        <v/>
      </c>
      <c r="AA47" s="96" t="str">
        <f t="shared" si="2"/>
        <v/>
      </c>
      <c r="AB47" s="96" t="str">
        <f t="shared" si="2"/>
        <v/>
      </c>
      <c r="AC47" s="96" t="str">
        <f t="shared" si="2"/>
        <v/>
      </c>
      <c r="AD47" s="96" t="str">
        <f t="shared" si="2"/>
        <v/>
      </c>
      <c r="AE47" s="96" t="str">
        <f t="shared" si="2"/>
        <v/>
      </c>
      <c r="AF47" s="96" t="str">
        <f t="shared" si="2"/>
        <v/>
      </c>
      <c r="AG47" s="96" t="str">
        <f t="shared" si="2"/>
        <v/>
      </c>
      <c r="AH47" s="96" t="str">
        <f t="shared" si="2"/>
        <v/>
      </c>
      <c r="AI47" s="96" t="str">
        <f t="shared" ref="AI47:BN47" si="3">IFERROR(IF(AND(AI29="",AJ29="",AH29&lt;&gt;"",AI34&lt;&gt;""),"Not Autocalled Not KI Payoff",IF(AND(AI29="",AH29="",AG29&lt;&gt;""),"Not Autocalled KI Payoff","")), "")</f>
        <v/>
      </c>
      <c r="AJ47" s="96" t="str">
        <f t="shared" si="3"/>
        <v/>
      </c>
      <c r="AK47" s="96" t="str">
        <f t="shared" si="3"/>
        <v/>
      </c>
      <c r="AL47" s="96" t="str">
        <f t="shared" si="3"/>
        <v/>
      </c>
      <c r="AM47" s="96" t="str">
        <f t="shared" si="3"/>
        <v/>
      </c>
      <c r="AN47" s="96" t="str">
        <f t="shared" si="3"/>
        <v/>
      </c>
      <c r="AO47" s="96" t="str">
        <f t="shared" si="3"/>
        <v/>
      </c>
      <c r="AP47" s="96" t="str">
        <f t="shared" si="3"/>
        <v/>
      </c>
      <c r="AQ47" s="96" t="str">
        <f t="shared" si="3"/>
        <v/>
      </c>
      <c r="AR47" s="96" t="str">
        <f t="shared" si="3"/>
        <v/>
      </c>
      <c r="AS47" s="96" t="str">
        <f t="shared" si="3"/>
        <v/>
      </c>
      <c r="AT47" s="96" t="str">
        <f t="shared" si="3"/>
        <v/>
      </c>
      <c r="AU47" s="96" t="str">
        <f t="shared" si="3"/>
        <v/>
      </c>
      <c r="AV47" s="96" t="str">
        <f t="shared" si="3"/>
        <v/>
      </c>
      <c r="AW47" s="96" t="str">
        <f t="shared" si="3"/>
        <v/>
      </c>
      <c r="AX47" s="96" t="str">
        <f t="shared" si="3"/>
        <v/>
      </c>
      <c r="AY47" s="96" t="str">
        <f t="shared" si="3"/>
        <v/>
      </c>
      <c r="AZ47" s="96" t="str">
        <f t="shared" si="3"/>
        <v/>
      </c>
      <c r="BA47" s="96" t="str">
        <f t="shared" si="3"/>
        <v/>
      </c>
      <c r="BB47" s="96" t="str">
        <f t="shared" si="3"/>
        <v/>
      </c>
      <c r="BC47" s="96" t="str">
        <f t="shared" si="3"/>
        <v/>
      </c>
      <c r="BD47" s="96" t="str">
        <f t="shared" si="3"/>
        <v/>
      </c>
      <c r="BE47" s="96" t="str">
        <f t="shared" si="3"/>
        <v/>
      </c>
      <c r="BF47" s="96" t="str">
        <f t="shared" si="3"/>
        <v/>
      </c>
      <c r="BG47" s="96" t="str">
        <f t="shared" si="3"/>
        <v/>
      </c>
      <c r="BH47" s="96" t="str">
        <f t="shared" si="3"/>
        <v/>
      </c>
      <c r="BI47" s="96" t="str">
        <f t="shared" si="3"/>
        <v/>
      </c>
      <c r="BJ47" s="96" t="str">
        <f t="shared" si="3"/>
        <v/>
      </c>
      <c r="BK47" s="96" t="str">
        <f t="shared" si="3"/>
        <v/>
      </c>
      <c r="BL47" s="96" t="str">
        <f t="shared" si="3"/>
        <v/>
      </c>
      <c r="BM47" s="96" t="str">
        <f t="shared" si="3"/>
        <v/>
      </c>
      <c r="BN47" s="96" t="str">
        <f t="shared" si="3"/>
        <v/>
      </c>
      <c r="BO47" s="96" t="str">
        <f t="shared" ref="BO47:CT47" si="4">IFERROR(IF(AND(BO29="",BP29="",BN29&lt;&gt;"",BO34&lt;&gt;""),"Not Autocalled Not KI Payoff",IF(AND(BO29="",BN29="",BM29&lt;&gt;""),"Not Autocalled KI Payoff","")), "")</f>
        <v/>
      </c>
      <c r="BP47" s="96" t="str">
        <f t="shared" si="4"/>
        <v/>
      </c>
      <c r="BQ47" s="96" t="str">
        <f t="shared" si="4"/>
        <v/>
      </c>
      <c r="BR47" s="96" t="str">
        <f t="shared" si="4"/>
        <v/>
      </c>
      <c r="BS47" s="96" t="str">
        <f t="shared" si="4"/>
        <v/>
      </c>
      <c r="BT47" s="96" t="str">
        <f t="shared" si="4"/>
        <v/>
      </c>
      <c r="BU47" s="96" t="str">
        <f t="shared" si="4"/>
        <v/>
      </c>
      <c r="BV47" s="96" t="str">
        <f t="shared" si="4"/>
        <v/>
      </c>
      <c r="BW47" s="96" t="str">
        <f t="shared" si="4"/>
        <v/>
      </c>
      <c r="BX47" s="96" t="str">
        <f t="shared" si="4"/>
        <v/>
      </c>
      <c r="BY47" s="96" t="str">
        <f t="shared" si="4"/>
        <v/>
      </c>
      <c r="BZ47" s="96" t="str">
        <f t="shared" si="4"/>
        <v/>
      </c>
      <c r="CA47" s="96" t="str">
        <f t="shared" si="4"/>
        <v/>
      </c>
      <c r="CB47" s="96" t="str">
        <f t="shared" si="4"/>
        <v/>
      </c>
      <c r="CC47" s="96" t="str">
        <f t="shared" si="4"/>
        <v/>
      </c>
      <c r="CD47" s="96" t="str">
        <f t="shared" si="4"/>
        <v/>
      </c>
      <c r="CE47" s="96" t="str">
        <f t="shared" si="4"/>
        <v/>
      </c>
      <c r="CF47" s="96" t="str">
        <f t="shared" si="4"/>
        <v/>
      </c>
      <c r="CG47" s="96" t="str">
        <f t="shared" si="4"/>
        <v/>
      </c>
      <c r="CH47" s="96" t="str">
        <f t="shared" si="4"/>
        <v/>
      </c>
      <c r="CI47" s="96" t="str">
        <f t="shared" si="4"/>
        <v/>
      </c>
      <c r="CJ47" s="96" t="str">
        <f t="shared" si="4"/>
        <v/>
      </c>
      <c r="CK47" s="96" t="str">
        <f t="shared" si="4"/>
        <v/>
      </c>
      <c r="CL47" s="96" t="str">
        <f t="shared" si="4"/>
        <v/>
      </c>
      <c r="CM47" s="96" t="str">
        <f t="shared" si="4"/>
        <v/>
      </c>
      <c r="CN47" s="96" t="str">
        <f t="shared" si="4"/>
        <v/>
      </c>
      <c r="CO47" s="96" t="str">
        <f t="shared" si="4"/>
        <v/>
      </c>
      <c r="CP47" s="96" t="str">
        <f t="shared" si="4"/>
        <v/>
      </c>
      <c r="CQ47" s="96" t="str">
        <f t="shared" si="4"/>
        <v/>
      </c>
      <c r="CR47" s="96" t="str">
        <f t="shared" si="4"/>
        <v/>
      </c>
      <c r="CS47" s="96" t="str">
        <f t="shared" si="4"/>
        <v/>
      </c>
      <c r="CT47" s="96" t="str">
        <f t="shared" si="4"/>
        <v/>
      </c>
      <c r="CU47" s="96" t="str">
        <f t="shared" ref="CU47:DF47" si="5">IFERROR(IF(AND(CU29="",CV29="",CT29&lt;&gt;"",CU34&lt;&gt;""),"Not Autocalled Not KI Payoff",IF(AND(CU29="",CT29="",CS29&lt;&gt;""),"Not Autocalled KI Payoff","")), "")</f>
        <v/>
      </c>
      <c r="CV47" s="96" t="str">
        <f t="shared" si="5"/>
        <v/>
      </c>
      <c r="CW47" s="96" t="str">
        <f t="shared" si="5"/>
        <v/>
      </c>
      <c r="CX47" s="96" t="str">
        <f t="shared" si="5"/>
        <v/>
      </c>
      <c r="CY47" s="96" t="str">
        <f t="shared" si="5"/>
        <v/>
      </c>
      <c r="CZ47" s="96" t="str">
        <f t="shared" si="5"/>
        <v/>
      </c>
      <c r="DA47" s="96" t="str">
        <f t="shared" si="5"/>
        <v/>
      </c>
      <c r="DB47" s="96" t="str">
        <f t="shared" si="5"/>
        <v/>
      </c>
      <c r="DC47" s="96" t="str">
        <f t="shared" si="5"/>
        <v/>
      </c>
      <c r="DD47" s="96" t="str">
        <f t="shared" si="5"/>
        <v/>
      </c>
      <c r="DE47" s="96" t="str">
        <f t="shared" si="5"/>
        <v/>
      </c>
      <c r="DF47" s="96" t="str">
        <f t="shared" si="5"/>
        <v/>
      </c>
      <c r="DG47" s="96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6">
      <c r="A48" s="102"/>
      <c r="B48" s="102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96"/>
      <c r="CW48" s="96"/>
      <c r="CX48" s="96"/>
      <c r="CY48" s="96"/>
      <c r="CZ48" s="96"/>
      <c r="DA48" s="96"/>
      <c r="DB48" s="96"/>
      <c r="DC48" s="96"/>
      <c r="DD48" s="96"/>
      <c r="DE48" s="96"/>
      <c r="DF48" s="96"/>
      <c r="DG48" s="96"/>
    </row>
    <row r="49" spans="1:108" s="29" customFormat="1" ht="21" hidden="1" customHeight="1" x14ac:dyDescent="0.6">
      <c r="A49" s="102"/>
      <c r="B49" s="102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6">
      <c r="A50" s="102"/>
      <c r="B50" s="102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6">
      <c r="A51" s="103" t="s">
        <v>46</v>
      </c>
      <c r="B51" s="103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6">
      <c r="A52" s="139" t="s">
        <v>47</v>
      </c>
      <c r="B52" s="14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6">
      <c r="A53" s="103" t="s">
        <v>44</v>
      </c>
      <c r="B53" s="103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6">
      <c r="A54" s="103" t="s">
        <v>45</v>
      </c>
      <c r="B54" s="103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6">
      <c r="A55" s="103" t="s">
        <v>50</v>
      </c>
      <c r="B55" s="103"/>
      <c r="C55" s="36">
        <v>0.05</v>
      </c>
    </row>
    <row r="56" spans="1:108" s="40" customFormat="1" ht="21" customHeight="1" x14ac:dyDescent="0.6">
      <c r="A56" s="103" t="s">
        <v>52</v>
      </c>
      <c r="B56" s="103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6">
      <c r="A57" s="102"/>
      <c r="B57" s="102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6">
      <c r="A58" s="102"/>
      <c r="B58" s="102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6">
      <c r="A59" s="102"/>
      <c r="B59" s="102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6">
      <c r="A60" s="102"/>
      <c r="B60" s="102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6">
      <c r="A61" s="102"/>
      <c r="B61" s="102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6">
      <c r="A62" s="101" t="s">
        <v>22</v>
      </c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J62" s="94" t="s">
        <v>71</v>
      </c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</row>
    <row r="63" spans="1:108" s="4" customFormat="1" ht="21" customHeight="1" x14ac:dyDescent="0.6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</row>
    <row r="64" spans="1:108" s="4" customFormat="1" ht="21" customHeight="1" x14ac:dyDescent="0.6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</row>
    <row r="65" spans="1:68" s="4" customFormat="1" ht="21" customHeight="1" x14ac:dyDescent="0.6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6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6">
      <c r="A67" s="104" t="s">
        <v>74</v>
      </c>
      <c r="B67" s="104"/>
      <c r="C67" s="104"/>
      <c r="D67" s="104"/>
      <c r="E67" s="104"/>
      <c r="F67" s="104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7" t="s">
        <v>68</v>
      </c>
      <c r="Q67" s="98"/>
      <c r="R67" s="38">
        <v>1</v>
      </c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</row>
    <row r="68" spans="1:68" s="4" customFormat="1" ht="21" customHeight="1" x14ac:dyDescent="0.6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2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2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</row>
    <row r="69" spans="1:68" s="4" customFormat="1" ht="21" customHeight="1" x14ac:dyDescent="0.6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3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3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</row>
    <row r="70" spans="1:68" ht="21" customHeight="1" x14ac:dyDescent="0.55000000000000004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0.39953</v>
      </c>
      <c r="AL70" s="91">
        <v>0.35431000000000001</v>
      </c>
      <c r="AM70" s="91">
        <v>0.34103</v>
      </c>
      <c r="AN70" s="91">
        <v>0.31208000000000002</v>
      </c>
      <c r="AO70" s="91">
        <v>0.29199999999999998</v>
      </c>
      <c r="AP70" s="91">
        <v>0.27834999999999999</v>
      </c>
      <c r="AQ70" s="91">
        <v>0.26856000000000002</v>
      </c>
      <c r="AR70" s="91">
        <v>0.25846999999999998</v>
      </c>
      <c r="AS70" s="91">
        <v>0.2477</v>
      </c>
      <c r="AT70" s="91">
        <v>0.24334</v>
      </c>
      <c r="AU70" s="46"/>
      <c r="AV70" s="46"/>
      <c r="AW70" s="46"/>
      <c r="AX70" s="46"/>
      <c r="AY70" s="46"/>
      <c r="AZ70" s="46"/>
      <c r="BA70" s="46"/>
      <c r="BB70" s="46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21" customHeight="1" x14ac:dyDescent="0.55000000000000004">
      <c r="A71" s="99" t="s">
        <v>31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0.35871999999999998</v>
      </c>
      <c r="AL71" s="91">
        <v>0.30496000000000001</v>
      </c>
      <c r="AM71" s="91">
        <v>0.29508000000000001</v>
      </c>
      <c r="AN71" s="91">
        <v>0.26927000000000001</v>
      </c>
      <c r="AO71" s="91">
        <v>0.25139</v>
      </c>
      <c r="AP71" s="91">
        <v>0.23854</v>
      </c>
      <c r="AQ71" s="91">
        <v>0.23055</v>
      </c>
      <c r="AR71" s="91">
        <v>0.22373000000000001</v>
      </c>
      <c r="AS71" s="91">
        <v>0.21529999999999999</v>
      </c>
      <c r="AT71" s="91">
        <v>0.21249999999999999</v>
      </c>
      <c r="AU71" s="46"/>
      <c r="AV71" s="46"/>
      <c r="AW71" s="46"/>
      <c r="AX71" s="46"/>
      <c r="AY71" s="46"/>
      <c r="AZ71" s="46"/>
      <c r="BA71" s="46"/>
      <c r="BB71" s="46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s="4" customFormat="1" ht="21" customHeight="1" x14ac:dyDescent="0.55000000000000004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0.29748999999999998</v>
      </c>
      <c r="AL72" s="91">
        <v>0.25945000000000001</v>
      </c>
      <c r="AM72" s="91">
        <v>0.24746000000000001</v>
      </c>
      <c r="AN72" s="91">
        <v>0.23002</v>
      </c>
      <c r="AO72" s="91">
        <v>0.21759000000000001</v>
      </c>
      <c r="AP72" s="91">
        <v>0.20727000000000001</v>
      </c>
      <c r="AQ72" s="91">
        <v>0.20204</v>
      </c>
      <c r="AR72" s="91">
        <v>0.19833000000000001</v>
      </c>
      <c r="AS72" s="91">
        <v>0.19361999999999999</v>
      </c>
      <c r="AT72" s="91">
        <v>0.19223999999999999</v>
      </c>
      <c r="AU72" s="46"/>
      <c r="AV72" s="46"/>
      <c r="AW72" s="46"/>
      <c r="AX72" s="46"/>
      <c r="AY72" s="46"/>
      <c r="AZ72" s="46"/>
      <c r="BA72" s="46"/>
      <c r="BB72" s="46"/>
    </row>
    <row r="73" spans="1:68" s="4" customFormat="1" ht="21" customHeight="1" x14ac:dyDescent="0.55000000000000004">
      <c r="A73" s="95" t="s">
        <v>32</v>
      </c>
      <c r="B73" s="95"/>
      <c r="C73" s="95" t="s">
        <v>33</v>
      </c>
      <c r="D73" s="95"/>
      <c r="E73" s="95" t="s">
        <v>34</v>
      </c>
      <c r="F73" s="95"/>
      <c r="G73" s="95" t="s">
        <v>35</v>
      </c>
      <c r="H73" s="95"/>
      <c r="I73" s="95" t="s">
        <v>65</v>
      </c>
      <c r="J73" s="95"/>
      <c r="K73" s="95" t="s">
        <v>67</v>
      </c>
      <c r="L73" s="95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0.24129999999999999</v>
      </c>
      <c r="AL73" s="91">
        <v>0.21798999999999999</v>
      </c>
      <c r="AM73" s="91">
        <v>0.20821999999999999</v>
      </c>
      <c r="AN73" s="91">
        <v>0.19789999999999999</v>
      </c>
      <c r="AO73" s="91">
        <v>0.19069</v>
      </c>
      <c r="AP73" s="91">
        <v>0.18398</v>
      </c>
      <c r="AQ73" s="91">
        <v>0.18196000000000001</v>
      </c>
      <c r="AR73" s="91">
        <v>0.18073</v>
      </c>
      <c r="AS73" s="91">
        <v>0.17827999999999999</v>
      </c>
      <c r="AT73" s="91">
        <v>0.17832000000000001</v>
      </c>
      <c r="AU73" s="46"/>
      <c r="AV73" s="46"/>
      <c r="AW73" s="46"/>
      <c r="AX73" s="46"/>
      <c r="AY73" s="46"/>
      <c r="AZ73" s="46"/>
      <c r="BA73" s="46"/>
      <c r="BB73" s="46"/>
    </row>
    <row r="74" spans="1:68" s="4" customFormat="1" ht="21" customHeight="1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0.18583</v>
      </c>
      <c r="AL74" s="91">
        <v>0.17757999999999999</v>
      </c>
      <c r="AM74" s="91">
        <v>0.17082</v>
      </c>
      <c r="AN74" s="91">
        <v>0.16969000000000001</v>
      </c>
      <c r="AO74" s="91">
        <v>0.16891</v>
      </c>
      <c r="AP74" s="91">
        <v>0.16619</v>
      </c>
      <c r="AQ74" s="91">
        <v>0.16711999999999999</v>
      </c>
      <c r="AR74" s="91">
        <v>0.16803000000000001</v>
      </c>
      <c r="AS74" s="91">
        <v>0.16741</v>
      </c>
      <c r="AT74" s="91">
        <v>0.16885</v>
      </c>
      <c r="AU74" s="46"/>
      <c r="AV74" s="46"/>
      <c r="AW74" s="46"/>
      <c r="AX74" s="46"/>
      <c r="AY74" s="46"/>
      <c r="AZ74" s="46"/>
      <c r="BA74" s="46"/>
      <c r="BB74" s="46"/>
    </row>
    <row r="75" spans="1:68" s="4" customFormat="1" ht="21" customHeight="1" x14ac:dyDescent="0.55000000000000004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0.13402</v>
      </c>
      <c r="AL75" s="91">
        <v>0.14104</v>
      </c>
      <c r="AM75" s="91">
        <v>0.14266999999999999</v>
      </c>
      <c r="AN75" s="91">
        <v>0.14749000000000001</v>
      </c>
      <c r="AO75" s="91">
        <v>0.15106</v>
      </c>
      <c r="AP75" s="91">
        <v>0.15182000000000001</v>
      </c>
      <c r="AQ75" s="91">
        <v>0.15537000000000001</v>
      </c>
      <c r="AR75" s="91">
        <v>0.15823000000000001</v>
      </c>
      <c r="AS75" s="91">
        <v>0.15916</v>
      </c>
      <c r="AT75" s="91">
        <v>0.16161</v>
      </c>
      <c r="AU75" s="46"/>
      <c r="AV75" s="46"/>
      <c r="AW75" s="46"/>
      <c r="AX75" s="46"/>
      <c r="AY75" s="46"/>
      <c r="AZ75" s="46"/>
      <c r="BA75" s="46"/>
      <c r="BB75" s="46"/>
    </row>
    <row r="76" spans="1:68" s="4" customFormat="1" ht="21" customHeight="1" x14ac:dyDescent="0.55000000000000004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0.10327</v>
      </c>
      <c r="AL76" s="91">
        <v>0.11413</v>
      </c>
      <c r="AM76" s="91">
        <v>0.12809999999999999</v>
      </c>
      <c r="AN76" s="91">
        <v>0.13346</v>
      </c>
      <c r="AO76" s="91">
        <v>0.13786000000000001</v>
      </c>
      <c r="AP76" s="91">
        <v>0.14172999999999999</v>
      </c>
      <c r="AQ76" s="91">
        <v>0.14682000000000001</v>
      </c>
      <c r="AR76" s="91">
        <v>0.15109</v>
      </c>
      <c r="AS76" s="91">
        <v>0.15386</v>
      </c>
      <c r="AT76" s="91">
        <v>0.15673000000000001</v>
      </c>
      <c r="AU76" s="46"/>
      <c r="AV76" s="46"/>
      <c r="AW76" s="46"/>
      <c r="AX76" s="46"/>
      <c r="AY76" s="46"/>
      <c r="AZ76" s="46"/>
      <c r="BA76" s="46"/>
      <c r="BB76" s="46"/>
    </row>
    <row r="77" spans="1:68" s="4" customFormat="1" ht="21" customHeight="1" x14ac:dyDescent="0.55000000000000004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0.10983999999999999</v>
      </c>
      <c r="AL77" s="91">
        <v>0.10829999999999999</v>
      </c>
      <c r="AM77" s="91">
        <v>0.12136</v>
      </c>
      <c r="AN77" s="91">
        <v>0.12608</v>
      </c>
      <c r="AO77" s="91">
        <v>0.13128000000000001</v>
      </c>
      <c r="AP77" s="91">
        <v>0.13700000000000001</v>
      </c>
      <c r="AQ77" s="91">
        <v>0.14288000000000001</v>
      </c>
      <c r="AR77" s="91">
        <v>0.14802000000000001</v>
      </c>
      <c r="AS77" s="91">
        <v>0.15206</v>
      </c>
      <c r="AT77" s="91">
        <v>0.15514</v>
      </c>
      <c r="AU77" s="46"/>
      <c r="AV77" s="46"/>
      <c r="AW77" s="46"/>
      <c r="AX77" s="46"/>
      <c r="AY77" s="46"/>
      <c r="AZ77" s="46"/>
      <c r="BA77" s="46"/>
      <c r="BB77" s="46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</row>
    <row r="78" spans="1:68" ht="21" customHeight="1" x14ac:dyDescent="0.55000000000000004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0.11482000000000001</v>
      </c>
      <c r="AL78" s="91">
        <v>0.1139</v>
      </c>
      <c r="AM78" s="91">
        <v>0.11792999999999999</v>
      </c>
      <c r="AN78" s="91">
        <v>0.12475</v>
      </c>
      <c r="AO78" s="91">
        <v>0.13103000000000001</v>
      </c>
      <c r="AP78" s="91">
        <v>0.13549</v>
      </c>
      <c r="AQ78" s="91">
        <v>0.14180000000000001</v>
      </c>
      <c r="AR78" s="91">
        <v>0.14774999999999999</v>
      </c>
      <c r="AS78" s="91">
        <v>0.15260000000000001</v>
      </c>
      <c r="AT78" s="91">
        <v>0.15597</v>
      </c>
      <c r="AU78" s="46"/>
      <c r="AV78" s="46"/>
      <c r="AW78" s="46"/>
      <c r="AX78" s="46"/>
      <c r="AY78" s="46"/>
      <c r="AZ78" s="46"/>
      <c r="BA78" s="46"/>
      <c r="BB78" s="46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1:68" ht="21" customHeight="1" x14ac:dyDescent="0.55000000000000004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55000000000000004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68" ht="21" customHeight="1" x14ac:dyDescent="0.55000000000000004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1:68" s="4" customFormat="1" ht="21" customHeight="1" x14ac:dyDescent="0.55000000000000004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68" s="4" customFormat="1" ht="21" customHeight="1" x14ac:dyDescent="0.55000000000000004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68" s="4" customFormat="1" ht="21" customHeight="1" x14ac:dyDescent="0.55000000000000004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68" s="4" customFormat="1" ht="21" customHeight="1" x14ac:dyDescent="0.55000000000000004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68" s="4" customFormat="1" ht="21" customHeight="1" x14ac:dyDescent="0.55000000000000004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68" s="4" customFormat="1" ht="21" customHeight="1" x14ac:dyDescent="0.55000000000000004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68" s="4" customFormat="1" ht="21" customHeight="1" x14ac:dyDescent="0.55000000000000004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68" s="4" customFormat="1" ht="21" customHeight="1" x14ac:dyDescent="0.55000000000000004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68" s="4" customFormat="1" ht="21" customHeight="1" x14ac:dyDescent="0.55000000000000004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68" s="4" customFormat="1" ht="21" customHeight="1" x14ac:dyDescent="0.55000000000000004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68" s="4" customFormat="1" ht="21" customHeight="1" x14ac:dyDescent="0.55000000000000004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68" s="4" customFormat="1" ht="21" customHeight="1" x14ac:dyDescent="0.55000000000000004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68" s="4" customFormat="1" ht="21" customHeight="1" x14ac:dyDescent="0.6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68" s="4" customFormat="1" ht="21" customHeight="1" x14ac:dyDescent="0.6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68" s="4" customFormat="1" ht="21" customHeight="1" x14ac:dyDescent="0.6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6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7" t="s">
        <v>68</v>
      </c>
      <c r="Q97" s="98"/>
      <c r="R97" s="38">
        <v>1</v>
      </c>
    </row>
    <row r="98" spans="1:60" s="4" customFormat="1" ht="21" customHeight="1" x14ac:dyDescent="0.6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2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2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92" t="s">
        <v>29</v>
      </c>
      <c r="BF98" s="77" t="s">
        <v>66</v>
      </c>
      <c r="BG98" s="78"/>
      <c r="BH98" s="78"/>
    </row>
    <row r="99" spans="1:60" s="4" customFormat="1" ht="21" customHeight="1" x14ac:dyDescent="0.6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3"/>
      <c r="Q99" s="45">
        <v>1</v>
      </c>
      <c r="R99" s="45">
        <v>1.5</v>
      </c>
      <c r="S99" s="45">
        <v>2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3"/>
      <c r="AK99" s="45">
        <v>1</v>
      </c>
      <c r="AL99" s="45">
        <v>1.5</v>
      </c>
      <c r="AM99" s="45">
        <v>2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93"/>
      <c r="BF99" s="45">
        <v>1</v>
      </c>
      <c r="BG99" s="45">
        <v>1.5</v>
      </c>
      <c r="BH99" s="45">
        <v>2</v>
      </c>
    </row>
    <row r="100" spans="1:60" s="4" customFormat="1" ht="21" customHeight="1" x14ac:dyDescent="0.55000000000000004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0.25</v>
      </c>
      <c r="AL100" s="46">
        <v>0.24</v>
      </c>
      <c r="AM100" s="46">
        <v>0.245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55000000000000004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0.22</v>
      </c>
      <c r="AL101" s="46">
        <v>0.2</v>
      </c>
      <c r="AM101" s="46">
        <v>0.19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55000000000000004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0.2</v>
      </c>
      <c r="AL102" s="46">
        <v>0.19</v>
      </c>
      <c r="AM102" s="46">
        <v>0.19500000000000001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55000000000000004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0.2</v>
      </c>
      <c r="AL103" s="46">
        <v>0.18</v>
      </c>
      <c r="AM103" s="46">
        <v>0.185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55000000000000004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55000000000000004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55000000000000004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55000000000000004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55000000000000004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55000000000000004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55000000000000004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55000000000000004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55000000000000004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55000000000000004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55000000000000004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55000000000000004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55000000000000004">
      <c r="A117" s="99" t="s">
        <v>38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55000000000000004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55000000000000004">
      <c r="A119" s="95" t="s">
        <v>8</v>
      </c>
      <c r="B119" s="95"/>
      <c r="C119" s="95" t="s">
        <v>26</v>
      </c>
      <c r="D119" s="95"/>
      <c r="E119" s="95" t="s">
        <v>27</v>
      </c>
      <c r="F119" s="95"/>
      <c r="G119" s="95" t="s">
        <v>48</v>
      </c>
      <c r="H119" s="95"/>
      <c r="I119" s="95" t="s">
        <v>49</v>
      </c>
      <c r="J119" s="95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55000000000000004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55000000000000004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55000000000000004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55000000000000004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55000000000000004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55000000000000004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55000000000000004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55000000000000004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7" t="s">
        <v>68</v>
      </c>
      <c r="Q127" s="98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92" t="s">
        <v>29</v>
      </c>
      <c r="BG127" s="77" t="s">
        <v>66</v>
      </c>
      <c r="BH127" s="78"/>
      <c r="BI127" s="78"/>
    </row>
    <row r="128" spans="1:61" ht="21" customHeight="1" x14ac:dyDescent="0.55000000000000004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2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2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93"/>
      <c r="BG128" s="45">
        <v>0.5</v>
      </c>
      <c r="BH128" s="45">
        <v>1</v>
      </c>
      <c r="BI128" s="45">
        <v>1.5</v>
      </c>
    </row>
    <row r="129" spans="1:61" ht="21" customHeight="1" x14ac:dyDescent="0.55000000000000004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3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3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55000000000000004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55000000000000004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55000000000000004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55000000000000004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55000000000000004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55000000000000004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55000000000000004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55000000000000004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55000000000000004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55000000000000004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55000000000000004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55000000000000004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55000000000000004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55000000000000004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55000000000000004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55000000000000004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55000000000000004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55000000000000004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55000000000000004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55000000000000004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55000000000000004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55000000000000004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55000000000000004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55000000000000004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6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6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6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6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7" t="s">
        <v>68</v>
      </c>
      <c r="Q157" s="98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6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2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2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6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3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3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55000000000000004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55000000000000004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55000000000000004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55000000000000004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55000000000000004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55000000000000004">
      <c r="A165" s="99" t="s">
        <v>40</v>
      </c>
      <c r="B165" s="99"/>
      <c r="C165" s="99"/>
      <c r="D165" s="99"/>
      <c r="E165" s="99"/>
      <c r="F165" s="99"/>
      <c r="G165" s="99"/>
      <c r="H165" s="99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55000000000000004">
      <c r="A166" s="99"/>
      <c r="B166" s="99"/>
      <c r="C166" s="99"/>
      <c r="D166" s="99"/>
      <c r="E166" s="99"/>
      <c r="F166" s="99"/>
      <c r="G166" s="99"/>
      <c r="H166" s="99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55000000000000004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55000000000000004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55000000000000004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55000000000000004">
      <c r="A170" s="100"/>
      <c r="B170" s="100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55000000000000004">
      <c r="A171" s="95" t="s">
        <v>8</v>
      </c>
      <c r="B171" s="95"/>
      <c r="C171" s="95" t="s">
        <v>26</v>
      </c>
      <c r="D171" s="95"/>
      <c r="E171" s="95" t="s">
        <v>27</v>
      </c>
      <c r="F171" s="95"/>
      <c r="G171" s="95" t="s">
        <v>48</v>
      </c>
      <c r="H171" s="95"/>
      <c r="I171" s="95" t="s">
        <v>49</v>
      </c>
      <c r="J171" s="95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55000000000000004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55000000000000004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55000000000000004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55000000000000004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55000000000000004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55000000000000004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55000000000000004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55000000000000004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55000000000000004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55000000000000004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55000000000000004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55000000000000004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55000000000000004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6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6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6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7" t="s">
        <v>68</v>
      </c>
      <c r="Q187" s="98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6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2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2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55000000000000004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3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3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55000000000000004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55000000000000004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55000000000000004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55000000000000004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55000000000000004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55000000000000004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55000000000000004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55000000000000004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55000000000000004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55000000000000004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55000000000000004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55000000000000004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55000000000000004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55000000000000004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55000000000000004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55000000000000004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55000000000000004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55000000000000004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55000000000000004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55000000000000004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55000000000000004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55000000000000004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55000000000000004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55000000000000004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6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19"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785813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2021-12-29T01:27:14Z</dcterms:created>
  <dcterms:modified xsi:type="dcterms:W3CDTF">2022-08-30T06:10:26Z</dcterms:modified>
</cp:coreProperties>
</file>