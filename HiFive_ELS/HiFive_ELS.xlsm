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P15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</commentList>
</comments>
</file>

<file path=xl/sharedStrings.xml><?xml version="1.0" encoding="utf-8"?>
<sst xmlns="http://schemas.openxmlformats.org/spreadsheetml/2006/main" count="173" uniqueCount="82">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</sst>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1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2" borderId="1" xfId="0" applyNumberFormat="1" applyFont="1" applyFill="1" applyBorder="1" applyAlignment="1" applyProtection="1"/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topLeftCell="C1" zoomScale="80" zoomScaleNormal="80" workbookViewId="0">
      <selection activeCell="I9" sqref="I9:I16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49" ht="21" customHeight="1" x14ac:dyDescent="0.4">
      <c r="A1" s="121" t="s">
        <v>0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</row>
    <row r="2" spans="1:49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</row>
    <row r="3" spans="1:49" s="3" customFormat="1" ht="21" customHeight="1" x14ac:dyDescent="0.4">
      <c r="A3" s="2"/>
      <c r="C3" s="2"/>
      <c r="D3" s="2"/>
      <c r="F3" s="102" t="s">
        <v>1</v>
      </c>
      <c r="G3" s="102"/>
      <c r="H3" s="122">
        <v>100000</v>
      </c>
      <c r="I3" s="123"/>
    </row>
    <row r="4" spans="1:49" s="3" customFormat="1" ht="21" customHeight="1" x14ac:dyDescent="0.4">
      <c r="A4" s="93" t="s">
        <v>2</v>
      </c>
      <c r="B4" s="94"/>
      <c r="C4" s="129">
        <v>10000</v>
      </c>
      <c r="D4" s="130"/>
      <c r="F4" s="102" t="s">
        <v>3</v>
      </c>
      <c r="G4" s="102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90" t="s">
        <v>79</v>
      </c>
      <c r="S4" s="128">
        <v>1</v>
      </c>
      <c r="T4" s="128"/>
    </row>
    <row r="5" spans="1:49" s="3" customFormat="1" ht="21" customHeight="1" thickBot="1" x14ac:dyDescent="0.45">
      <c r="A5" s="93" t="s">
        <v>7</v>
      </c>
      <c r="B5" s="94"/>
      <c r="C5" s="131">
        <v>1</v>
      </c>
      <c r="D5" s="132"/>
      <c r="M5" s="7" t="s">
        <v>8</v>
      </c>
      <c r="N5" s="8">
        <v>17.805256083082895</v>
      </c>
      <c r="O5" s="8">
        <v>-0.22272191340380232</v>
      </c>
      <c r="P5" s="8">
        <v>0</v>
      </c>
      <c r="R5" s="90" t="s">
        <v>77</v>
      </c>
      <c r="S5" s="126">
        <v>44801.945798611108</v>
      </c>
      <c r="T5" s="126"/>
    </row>
    <row r="6" spans="1:49" s="3" customFormat="1" ht="21" customHeight="1" thickBot="1" x14ac:dyDescent="0.4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>
        <v>30.779360097009885</v>
      </c>
      <c r="O6" s="8">
        <v>7.920937888626213</v>
      </c>
      <c r="P6" s="8">
        <v>0</v>
      </c>
      <c r="R6" s="90" t="s">
        <v>78</v>
      </c>
      <c r="S6" s="126">
        <v>44801.946018518516</v>
      </c>
      <c r="T6" s="126"/>
    </row>
    <row r="7" spans="1:49" s="3" customFormat="1" ht="21" customHeight="1" thickBot="1" x14ac:dyDescent="0.4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1</v>
      </c>
      <c r="I7" s="120"/>
      <c r="M7" s="7" t="s">
        <v>13</v>
      </c>
      <c r="N7" s="8">
        <v>18.868798183379113</v>
      </c>
      <c r="O7" s="8">
        <v>-4.6343377332159434</v>
      </c>
      <c r="P7" s="8">
        <v>0</v>
      </c>
      <c r="R7" s="90"/>
      <c r="S7" s="127"/>
      <c r="T7" s="127"/>
    </row>
    <row r="8" spans="1:49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49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49" s="3" customFormat="1" ht="21" hidden="1" customHeight="1" x14ac:dyDescent="0.4">
      <c r="A10" s="9"/>
      <c r="B10" s="9"/>
      <c r="C10" s="9"/>
    </row>
    <row r="11" spans="1:49" s="3" customFormat="1" ht="21" hidden="1" customHeight="1" x14ac:dyDescent="0.4">
      <c r="A11" s="9"/>
      <c r="B11" s="9"/>
      <c r="C11" s="9"/>
    </row>
    <row r="12" spans="1:49" s="3" customFormat="1" ht="21" hidden="1" customHeight="1" x14ac:dyDescent="0.4">
      <c r="A12" s="9"/>
      <c r="B12" s="9"/>
      <c r="C12" s="9"/>
    </row>
    <row r="13" spans="1:49" s="3" customFormat="1" ht="21" hidden="1" customHeight="1" x14ac:dyDescent="0.4">
      <c r="A13" s="9"/>
      <c r="B13" s="9"/>
      <c r="C13" s="9"/>
    </row>
    <row r="14" spans="1:49" s="3" customFormat="1" ht="21" hidden="1" customHeight="1" x14ac:dyDescent="0.4">
      <c r="A14" s="9"/>
      <c r="B14" s="9"/>
      <c r="C14" s="9"/>
    </row>
    <row r="15" spans="1:49" s="3" customFormat="1" ht="21" hidden="1" customHeight="1" x14ac:dyDescent="0.4">
      <c r="A15" s="9"/>
      <c r="B15" s="9"/>
      <c r="C15" s="9"/>
    </row>
    <row r="16" spans="1:49" s="3" customFormat="1" ht="21" customHeight="1" thickBot="1" x14ac:dyDescent="0.45">
      <c r="Q16" s="3">
        <f t="shared" ref="Q16:X16" si="1">Q17/Q18</f>
        <v>10250.000000000287</v>
      </c>
      <c r="R16" s="3">
        <f t="shared" si="1"/>
        <v>10499.999999999622</v>
      </c>
      <c r="S16" s="3">
        <f t="shared" si="1"/>
        <v>10749.999999999936</v>
      </c>
      <c r="T16" s="3">
        <f t="shared" si="1"/>
        <v>11000.000000000025</v>
      </c>
      <c r="U16" s="3">
        <f t="shared" si="1"/>
        <v>11250.000000000035</v>
      </c>
      <c r="V16" s="3">
        <f t="shared" si="1"/>
        <v>11500.000000000051</v>
      </c>
      <c r="W16" s="3">
        <f t="shared" si="1"/>
        <v>11500.000000000018</v>
      </c>
      <c r="X16" s="3">
        <f t="shared" si="1"/>
        <v>4556.588544459757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02" t="s">
        <v>81</v>
      </c>
      <c r="B17" s="102"/>
      <c r="C17" s="107">
        <v>6</v>
      </c>
      <c r="D17" s="106"/>
      <c r="F17" s="93" t="s">
        <v>51</v>
      </c>
      <c r="G17" s="94"/>
      <c r="H17" s="107">
        <v>0</v>
      </c>
      <c r="I17" s="106"/>
      <c r="K17" s="108" t="s">
        <v>14</v>
      </c>
      <c r="L17" s="108"/>
      <c r="M17" s="109">
        <v>9610.1742593196013</v>
      </c>
      <c r="N17" s="109"/>
      <c r="O17" s="100" t="s">
        <v>76</v>
      </c>
      <c r="P17" s="101"/>
      <c r="Q17" s="86">
        <v>5656.974999999703</v>
      </c>
      <c r="R17" s="86">
        <v>1411.199999999965</v>
      </c>
      <c r="S17" s="86">
        <v>739.60000000000582</v>
      </c>
      <c r="T17" s="86">
        <v>492.80000000000399</v>
      </c>
      <c r="U17" s="86">
        <v>363.375</v>
      </c>
      <c r="V17" s="86">
        <v>293.25000000000017</v>
      </c>
      <c r="W17" s="86">
        <v>349.59999999999906</v>
      </c>
      <c r="X17" s="86">
        <v>509.88225812505669</v>
      </c>
    </row>
    <row r="18" spans="1:111" s="3" customFormat="1" ht="21" customHeight="1" thickBot="1" x14ac:dyDescent="0.45">
      <c r="F18" s="102" t="s">
        <v>16</v>
      </c>
      <c r="G18" s="102"/>
      <c r="H18" s="103">
        <v>1</v>
      </c>
      <c r="I18" s="104"/>
      <c r="K18" s="108"/>
      <c r="L18" s="108"/>
      <c r="M18" s="109"/>
      <c r="N18" s="109"/>
      <c r="O18" s="100" t="s">
        <v>15</v>
      </c>
      <c r="P18" s="101"/>
      <c r="Q18" s="10">
        <v>0.55189999999995554</v>
      </c>
      <c r="R18" s="10">
        <v>0.13440000000000152</v>
      </c>
      <c r="S18" s="10">
        <v>6.8800000000000944E-2</v>
      </c>
      <c r="T18" s="10">
        <v>4.4800000000000256E-2</v>
      </c>
      <c r="U18" s="10">
        <v>3.2299999999999898E-2</v>
      </c>
      <c r="V18" s="10">
        <v>2.5499999999999901E-2</v>
      </c>
      <c r="W18" s="10">
        <v>3.0399999999999872E-2</v>
      </c>
      <c r="X18" s="10">
        <v>0.11190000000000218</v>
      </c>
    </row>
    <row r="19" spans="1:111" s="3" customFormat="1" ht="21" customHeight="1" x14ac:dyDescent="0.4">
      <c r="A19" s="102" t="s">
        <v>17</v>
      </c>
      <c r="B19" s="102"/>
      <c r="C19" s="105">
        <v>0.5</v>
      </c>
      <c r="D19" s="106"/>
      <c r="K19" s="110" t="s">
        <v>80</v>
      </c>
      <c r="L19" s="110"/>
      <c r="M19" s="110"/>
      <c r="N19" s="110"/>
      <c r="X19" s="87">
        <f>SUM(Q18:Z18)</f>
        <v>0.99999999999996014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93" t="s">
        <v>18</v>
      </c>
      <c r="B27" s="94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93" t="s">
        <v>19</v>
      </c>
      <c r="B28" s="94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93" t="s">
        <v>43</v>
      </c>
      <c r="B29" s="94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93" t="s">
        <v>53</v>
      </c>
      <c r="B30" s="94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93" t="s">
        <v>54</v>
      </c>
      <c r="B31" s="94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4">
      <c r="A32" s="93"/>
      <c r="B32" s="94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4">
      <c r="A33" s="93"/>
      <c r="B33" s="94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4">
      <c r="A34" s="93" t="s">
        <v>20</v>
      </c>
      <c r="B34" s="94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93" t="s">
        <v>55</v>
      </c>
      <c r="B35" s="94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93" t="s">
        <v>56</v>
      </c>
      <c r="B36" s="94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93" t="s">
        <v>21</v>
      </c>
      <c r="B37" s="94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95" t="s">
        <v>57</v>
      </c>
      <c r="B38" s="96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95" t="s">
        <v>58</v>
      </c>
      <c r="B39" s="96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4">
      <c r="A40" s="95" t="s">
        <v>59</v>
      </c>
      <c r="B40" s="96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4">
      <c r="A41" s="95" t="s">
        <v>63</v>
      </c>
      <c r="B41" s="96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4">
      <c r="A42" s="95" t="s">
        <v>62</v>
      </c>
      <c r="B42" s="96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4">
      <c r="A43" s="95" t="s">
        <v>61</v>
      </c>
      <c r="B43" s="96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4">
      <c r="A44" s="95" t="s">
        <v>60</v>
      </c>
      <c r="B44" s="96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4">
      <c r="A45" s="95" t="s">
        <v>72</v>
      </c>
      <c r="B45" s="96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4">
      <c r="A46" s="95" t="s">
        <v>64</v>
      </c>
      <c r="B46" s="96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97"/>
      <c r="B47" s="97"/>
      <c r="C47" s="92" t="str">
        <f t="shared" ref="C47:AH47" si="2">IFERROR(IF(AND(C29="",D29="",B29&lt;&gt;"",C34&lt;&gt;""),"Not Autocalled Not KI Payoff",IF(AND(C29="",B29="",A29&lt;&gt;""),"Not Autocalled KI Payoff","")), "")</f>
        <v/>
      </c>
      <c r="D47" s="92" t="str">
        <f t="shared" si="2"/>
        <v/>
      </c>
      <c r="E47" s="92" t="str">
        <f t="shared" si="2"/>
        <v/>
      </c>
      <c r="F47" s="92" t="str">
        <f t="shared" si="2"/>
        <v/>
      </c>
      <c r="G47" s="92" t="str">
        <f t="shared" si="2"/>
        <v/>
      </c>
      <c r="H47" s="92" t="str">
        <f t="shared" si="2"/>
        <v/>
      </c>
      <c r="I47" s="92" t="str">
        <f t="shared" si="2"/>
        <v>Not Autocalled Not KI Payoff</v>
      </c>
      <c r="J47" s="92" t="str">
        <f t="shared" si="2"/>
        <v>Not Autocalled KI Payoff</v>
      </c>
      <c r="K47" s="92" t="str">
        <f t="shared" si="2"/>
        <v/>
      </c>
      <c r="L47" s="92" t="str">
        <f t="shared" si="2"/>
        <v/>
      </c>
      <c r="M47" s="92" t="str">
        <f t="shared" si="2"/>
        <v/>
      </c>
      <c r="N47" s="92" t="str">
        <f t="shared" si="2"/>
        <v/>
      </c>
      <c r="O47" s="92" t="str">
        <f t="shared" si="2"/>
        <v/>
      </c>
      <c r="P47" s="92" t="str">
        <f t="shared" si="2"/>
        <v/>
      </c>
      <c r="Q47" s="92" t="str">
        <f t="shared" si="2"/>
        <v/>
      </c>
      <c r="R47" s="92" t="str">
        <f t="shared" si="2"/>
        <v/>
      </c>
      <c r="S47" s="92" t="str">
        <f t="shared" si="2"/>
        <v/>
      </c>
      <c r="T47" s="92" t="str">
        <f t="shared" si="2"/>
        <v/>
      </c>
      <c r="U47" s="92" t="str">
        <f t="shared" si="2"/>
        <v/>
      </c>
      <c r="V47" s="92" t="str">
        <f t="shared" si="2"/>
        <v/>
      </c>
      <c r="W47" s="92" t="str">
        <f t="shared" si="2"/>
        <v/>
      </c>
      <c r="X47" s="92" t="str">
        <f t="shared" si="2"/>
        <v/>
      </c>
      <c r="Y47" s="92" t="str">
        <f t="shared" si="2"/>
        <v/>
      </c>
      <c r="Z47" s="92" t="str">
        <f t="shared" si="2"/>
        <v/>
      </c>
      <c r="AA47" s="92" t="str">
        <f t="shared" si="2"/>
        <v/>
      </c>
      <c r="AB47" s="92" t="str">
        <f t="shared" si="2"/>
        <v/>
      </c>
      <c r="AC47" s="92" t="str">
        <f t="shared" si="2"/>
        <v/>
      </c>
      <c r="AD47" s="92" t="str">
        <f t="shared" si="2"/>
        <v/>
      </c>
      <c r="AE47" s="92" t="str">
        <f t="shared" si="2"/>
        <v/>
      </c>
      <c r="AF47" s="92" t="str">
        <f t="shared" si="2"/>
        <v/>
      </c>
      <c r="AG47" s="92" t="str">
        <f t="shared" si="2"/>
        <v/>
      </c>
      <c r="AH47" s="92" t="str">
        <f t="shared" si="2"/>
        <v/>
      </c>
      <c r="AI47" s="92" t="str">
        <f t="shared" ref="AI47:BN47" si="3">IFERROR(IF(AND(AI29="",AJ29="",AH29&lt;&gt;"",AI34&lt;&gt;""),"Not Autocalled Not KI Payoff",IF(AND(AI29="",AH29="",AG29&lt;&gt;""),"Not Autocalled KI Payoff","")), "")</f>
        <v/>
      </c>
      <c r="AJ47" s="92" t="str">
        <f t="shared" si="3"/>
        <v/>
      </c>
      <c r="AK47" s="92" t="str">
        <f t="shared" si="3"/>
        <v/>
      </c>
      <c r="AL47" s="92" t="str">
        <f t="shared" si="3"/>
        <v/>
      </c>
      <c r="AM47" s="92" t="str">
        <f t="shared" si="3"/>
        <v/>
      </c>
      <c r="AN47" s="92" t="str">
        <f t="shared" si="3"/>
        <v/>
      </c>
      <c r="AO47" s="92" t="str">
        <f t="shared" si="3"/>
        <v/>
      </c>
      <c r="AP47" s="92" t="str">
        <f t="shared" si="3"/>
        <v/>
      </c>
      <c r="AQ47" s="92" t="str">
        <f t="shared" si="3"/>
        <v/>
      </c>
      <c r="AR47" s="92" t="str">
        <f t="shared" si="3"/>
        <v/>
      </c>
      <c r="AS47" s="92" t="str">
        <f t="shared" si="3"/>
        <v/>
      </c>
      <c r="AT47" s="92" t="str">
        <f t="shared" si="3"/>
        <v/>
      </c>
      <c r="AU47" s="92" t="str">
        <f t="shared" si="3"/>
        <v/>
      </c>
      <c r="AV47" s="92" t="str">
        <f t="shared" si="3"/>
        <v/>
      </c>
      <c r="AW47" s="92" t="str">
        <f t="shared" si="3"/>
        <v/>
      </c>
      <c r="AX47" s="92" t="str">
        <f t="shared" si="3"/>
        <v/>
      </c>
      <c r="AY47" s="92" t="str">
        <f t="shared" si="3"/>
        <v/>
      </c>
      <c r="AZ47" s="92" t="str">
        <f t="shared" si="3"/>
        <v/>
      </c>
      <c r="BA47" s="92" t="str">
        <f t="shared" si="3"/>
        <v/>
      </c>
      <c r="BB47" s="92" t="str">
        <f t="shared" si="3"/>
        <v/>
      </c>
      <c r="BC47" s="92" t="str">
        <f t="shared" si="3"/>
        <v/>
      </c>
      <c r="BD47" s="92" t="str">
        <f t="shared" si="3"/>
        <v/>
      </c>
      <c r="BE47" s="92" t="str">
        <f t="shared" si="3"/>
        <v/>
      </c>
      <c r="BF47" s="92" t="str">
        <f t="shared" si="3"/>
        <v/>
      </c>
      <c r="BG47" s="92" t="str">
        <f t="shared" si="3"/>
        <v/>
      </c>
      <c r="BH47" s="92" t="str">
        <f t="shared" si="3"/>
        <v/>
      </c>
      <c r="BI47" s="92" t="str">
        <f t="shared" si="3"/>
        <v/>
      </c>
      <c r="BJ47" s="92" t="str">
        <f t="shared" si="3"/>
        <v/>
      </c>
      <c r="BK47" s="92" t="str">
        <f t="shared" si="3"/>
        <v/>
      </c>
      <c r="BL47" s="92" t="str">
        <f t="shared" si="3"/>
        <v/>
      </c>
      <c r="BM47" s="92" t="str">
        <f t="shared" si="3"/>
        <v/>
      </c>
      <c r="BN47" s="92" t="str">
        <f t="shared" si="3"/>
        <v/>
      </c>
      <c r="BO47" s="92" t="str">
        <f t="shared" ref="BO47:CT47" si="4">IFERROR(IF(AND(BO29="",BP29="",BN29&lt;&gt;"",BO34&lt;&gt;""),"Not Autocalled Not KI Payoff",IF(AND(BO29="",BN29="",BM29&lt;&gt;""),"Not Autocalled KI Payoff","")), "")</f>
        <v/>
      </c>
      <c r="BP47" s="92" t="str">
        <f t="shared" si="4"/>
        <v/>
      </c>
      <c r="BQ47" s="92" t="str">
        <f t="shared" si="4"/>
        <v/>
      </c>
      <c r="BR47" s="92" t="str">
        <f t="shared" si="4"/>
        <v/>
      </c>
      <c r="BS47" s="92" t="str">
        <f t="shared" si="4"/>
        <v/>
      </c>
      <c r="BT47" s="92" t="str">
        <f t="shared" si="4"/>
        <v/>
      </c>
      <c r="BU47" s="92" t="str">
        <f t="shared" si="4"/>
        <v/>
      </c>
      <c r="BV47" s="92" t="str">
        <f t="shared" si="4"/>
        <v/>
      </c>
      <c r="BW47" s="92" t="str">
        <f t="shared" si="4"/>
        <v/>
      </c>
      <c r="BX47" s="92" t="str">
        <f t="shared" si="4"/>
        <v/>
      </c>
      <c r="BY47" s="92" t="str">
        <f t="shared" si="4"/>
        <v/>
      </c>
      <c r="BZ47" s="92" t="str">
        <f t="shared" si="4"/>
        <v/>
      </c>
      <c r="CA47" s="92" t="str">
        <f t="shared" si="4"/>
        <v/>
      </c>
      <c r="CB47" s="92" t="str">
        <f t="shared" si="4"/>
        <v/>
      </c>
      <c r="CC47" s="92" t="str">
        <f t="shared" si="4"/>
        <v/>
      </c>
      <c r="CD47" s="92" t="str">
        <f t="shared" si="4"/>
        <v/>
      </c>
      <c r="CE47" s="92" t="str">
        <f t="shared" si="4"/>
        <v/>
      </c>
      <c r="CF47" s="92" t="str">
        <f t="shared" si="4"/>
        <v/>
      </c>
      <c r="CG47" s="92" t="str">
        <f t="shared" si="4"/>
        <v/>
      </c>
      <c r="CH47" s="92" t="str">
        <f t="shared" si="4"/>
        <v/>
      </c>
      <c r="CI47" s="92" t="str">
        <f t="shared" si="4"/>
        <v/>
      </c>
      <c r="CJ47" s="92" t="str">
        <f t="shared" si="4"/>
        <v/>
      </c>
      <c r="CK47" s="92" t="str">
        <f t="shared" si="4"/>
        <v/>
      </c>
      <c r="CL47" s="92" t="str">
        <f t="shared" si="4"/>
        <v/>
      </c>
      <c r="CM47" s="92" t="str">
        <f t="shared" si="4"/>
        <v/>
      </c>
      <c r="CN47" s="92" t="str">
        <f t="shared" si="4"/>
        <v/>
      </c>
      <c r="CO47" s="92" t="str">
        <f t="shared" si="4"/>
        <v/>
      </c>
      <c r="CP47" s="92" t="str">
        <f t="shared" si="4"/>
        <v/>
      </c>
      <c r="CQ47" s="92" t="str">
        <f t="shared" si="4"/>
        <v/>
      </c>
      <c r="CR47" s="92" t="str">
        <f t="shared" si="4"/>
        <v/>
      </c>
      <c r="CS47" s="92" t="str">
        <f t="shared" si="4"/>
        <v/>
      </c>
      <c r="CT47" s="92" t="str">
        <f t="shared" si="4"/>
        <v/>
      </c>
      <c r="CU47" s="92" t="str">
        <f t="shared" ref="CU47:DF47" si="5">IFERROR(IF(AND(CU29="",CV29="",CT29&lt;&gt;"",CU34&lt;&gt;""),"Not Autocalled Not KI Payoff",IF(AND(CU29="",CT29="",CS29&lt;&gt;""),"Not Autocalled KI Payoff","")), "")</f>
        <v/>
      </c>
      <c r="CV47" s="92" t="str">
        <f t="shared" si="5"/>
        <v/>
      </c>
      <c r="CW47" s="92" t="str">
        <f t="shared" si="5"/>
        <v/>
      </c>
      <c r="CX47" s="92" t="str">
        <f t="shared" si="5"/>
        <v/>
      </c>
      <c r="CY47" s="92" t="str">
        <f t="shared" si="5"/>
        <v/>
      </c>
      <c r="CZ47" s="92" t="str">
        <f t="shared" si="5"/>
        <v/>
      </c>
      <c r="DA47" s="92" t="str">
        <f t="shared" si="5"/>
        <v/>
      </c>
      <c r="DB47" s="92" t="str">
        <f t="shared" si="5"/>
        <v/>
      </c>
      <c r="DC47" s="92" t="str">
        <f t="shared" si="5"/>
        <v/>
      </c>
      <c r="DD47" s="92" t="str">
        <f t="shared" si="5"/>
        <v/>
      </c>
      <c r="DE47" s="92" t="str">
        <f t="shared" si="5"/>
        <v/>
      </c>
      <c r="DF47" s="92" t="str">
        <f t="shared" si="5"/>
        <v/>
      </c>
      <c r="DG47" s="92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97"/>
      <c r="B48" s="97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  <c r="CZ48" s="92"/>
      <c r="DA48" s="92"/>
      <c r="DB48" s="92"/>
      <c r="DC48" s="92"/>
      <c r="DD48" s="92"/>
      <c r="DE48" s="92"/>
      <c r="DF48" s="92"/>
      <c r="DG48" s="92"/>
    </row>
    <row r="49" spans="1:108" s="29" customFormat="1" ht="21" hidden="1" customHeight="1" x14ac:dyDescent="0.4">
      <c r="A49" s="97"/>
      <c r="B49" s="97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97"/>
      <c r="B50" s="97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34" t="s">
        <v>46</v>
      </c>
      <c r="B51" s="134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98" t="s">
        <v>47</v>
      </c>
      <c r="B52" s="99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34" t="s">
        <v>44</v>
      </c>
      <c r="B53" s="134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34" t="s">
        <v>45</v>
      </c>
      <c r="B54" s="134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34" t="s">
        <v>50</v>
      </c>
      <c r="B55" s="134"/>
      <c r="C55" s="36">
        <v>0.05</v>
      </c>
    </row>
    <row r="56" spans="1:108" s="40" customFormat="1" ht="21" customHeight="1" x14ac:dyDescent="0.4">
      <c r="A56" s="134" t="s">
        <v>52</v>
      </c>
      <c r="B56" s="134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97"/>
      <c r="B57" s="97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97"/>
      <c r="B58" s="97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97"/>
      <c r="B59" s="97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97"/>
      <c r="B60" s="97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97"/>
      <c r="B61" s="97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21" t="s">
        <v>22</v>
      </c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J62" s="140" t="s">
        <v>71</v>
      </c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</row>
    <row r="63" spans="1:108" s="4" customFormat="1" ht="21" customHeight="1" x14ac:dyDescent="0.4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</row>
    <row r="64" spans="1:108" s="4" customFormat="1" ht="21" customHeight="1" x14ac:dyDescent="0.4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</row>
    <row r="65" spans="1:68" s="4" customFormat="1" ht="21" customHeight="1" x14ac:dyDescent="0.4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68" s="4" customFormat="1" ht="21" customHeight="1" x14ac:dyDescent="0.4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</row>
    <row r="67" spans="1:68" s="4" customFormat="1" ht="21" customHeight="1" x14ac:dyDescent="0.4">
      <c r="A67" s="135" t="s">
        <v>74</v>
      </c>
      <c r="B67" s="135"/>
      <c r="C67" s="135"/>
      <c r="D67" s="135"/>
      <c r="E67" s="135"/>
      <c r="F67" s="135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95" t="s">
        <v>68</v>
      </c>
      <c r="Q67" s="96"/>
      <c r="R67" s="38">
        <v>1</v>
      </c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</row>
    <row r="68" spans="1:68" s="4" customFormat="1" ht="21" customHeight="1" x14ac:dyDescent="0.4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136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136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</row>
    <row r="69" spans="1:68" s="4" customFormat="1" ht="21" customHeight="1" x14ac:dyDescent="0.4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137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37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</row>
    <row r="70" spans="1:68" ht="21" customHeight="1" x14ac:dyDescent="0.35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0.39953</v>
      </c>
      <c r="AL70" s="91">
        <v>0.35431000000000001</v>
      </c>
      <c r="AM70" s="91">
        <v>0.34103</v>
      </c>
      <c r="AN70" s="91">
        <v>0.31208000000000002</v>
      </c>
      <c r="AO70" s="91">
        <v>0.29199999999999998</v>
      </c>
      <c r="AP70" s="91">
        <v>0.27834999999999999</v>
      </c>
      <c r="AQ70" s="91">
        <v>0.26856000000000002</v>
      </c>
      <c r="AR70" s="91">
        <v>0.25846999999999998</v>
      </c>
      <c r="AS70" s="91">
        <v>0.2477</v>
      </c>
      <c r="AT70" s="91">
        <v>0.24334</v>
      </c>
      <c r="AU70" s="46"/>
      <c r="AV70" s="46"/>
      <c r="AW70" s="46"/>
      <c r="AX70" s="46"/>
      <c r="AY70" s="46"/>
      <c r="AZ70" s="46"/>
      <c r="BA70" s="46"/>
      <c r="BB70" s="46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21" customHeight="1" x14ac:dyDescent="0.35">
      <c r="A71" s="138" t="s">
        <v>31</v>
      </c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0.35871999999999998</v>
      </c>
      <c r="AL71" s="91">
        <v>0.30496000000000001</v>
      </c>
      <c r="AM71" s="91">
        <v>0.29508000000000001</v>
      </c>
      <c r="AN71" s="91">
        <v>0.26927000000000001</v>
      </c>
      <c r="AO71" s="91">
        <v>0.25139</v>
      </c>
      <c r="AP71" s="91">
        <v>0.23854</v>
      </c>
      <c r="AQ71" s="91">
        <v>0.23055</v>
      </c>
      <c r="AR71" s="91">
        <v>0.22373000000000001</v>
      </c>
      <c r="AS71" s="91">
        <v>0.21529999999999999</v>
      </c>
      <c r="AT71" s="91">
        <v>0.21249999999999999</v>
      </c>
      <c r="AU71" s="46"/>
      <c r="AV71" s="46"/>
      <c r="AW71" s="46"/>
      <c r="AX71" s="46"/>
      <c r="AY71" s="46"/>
      <c r="AZ71" s="46"/>
      <c r="BA71" s="46"/>
      <c r="BB71" s="46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s="4" customFormat="1" ht="21" customHeight="1" x14ac:dyDescent="0.35">
      <c r="A72" s="138"/>
      <c r="B72" s="138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0.29748999999999998</v>
      </c>
      <c r="AL72" s="91">
        <v>0.25945000000000001</v>
      </c>
      <c r="AM72" s="91">
        <v>0.24746000000000001</v>
      </c>
      <c r="AN72" s="91">
        <v>0.23002</v>
      </c>
      <c r="AO72" s="91">
        <v>0.21759000000000001</v>
      </c>
      <c r="AP72" s="91">
        <v>0.20727000000000001</v>
      </c>
      <c r="AQ72" s="91">
        <v>0.20204</v>
      </c>
      <c r="AR72" s="91">
        <v>0.19833000000000001</v>
      </c>
      <c r="AS72" s="91">
        <v>0.19361999999999999</v>
      </c>
      <c r="AT72" s="91">
        <v>0.19223999999999999</v>
      </c>
      <c r="AU72" s="46"/>
      <c r="AV72" s="46"/>
      <c r="AW72" s="46"/>
      <c r="AX72" s="46"/>
      <c r="AY72" s="46"/>
      <c r="AZ72" s="46"/>
      <c r="BA72" s="46"/>
      <c r="BB72" s="46"/>
    </row>
    <row r="73" spans="1:68" s="4" customFormat="1" ht="21" customHeight="1" x14ac:dyDescent="0.35">
      <c r="A73" s="133" t="s">
        <v>32</v>
      </c>
      <c r="B73" s="133"/>
      <c r="C73" s="133" t="s">
        <v>33</v>
      </c>
      <c r="D73" s="133"/>
      <c r="E73" s="133" t="s">
        <v>34</v>
      </c>
      <c r="F73" s="133"/>
      <c r="G73" s="133" t="s">
        <v>35</v>
      </c>
      <c r="H73" s="133"/>
      <c r="I73" s="133" t="s">
        <v>65</v>
      </c>
      <c r="J73" s="133"/>
      <c r="K73" s="133" t="s">
        <v>67</v>
      </c>
      <c r="L73" s="133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0.24129999999999999</v>
      </c>
      <c r="AL73" s="91">
        <v>0.21798999999999999</v>
      </c>
      <c r="AM73" s="91">
        <v>0.20821999999999999</v>
      </c>
      <c r="AN73" s="91">
        <v>0.19789999999999999</v>
      </c>
      <c r="AO73" s="91">
        <v>0.19069</v>
      </c>
      <c r="AP73" s="91">
        <v>0.18398</v>
      </c>
      <c r="AQ73" s="91">
        <v>0.18196000000000001</v>
      </c>
      <c r="AR73" s="91">
        <v>0.18073</v>
      </c>
      <c r="AS73" s="91">
        <v>0.17827999999999999</v>
      </c>
      <c r="AT73" s="91">
        <v>0.17832000000000001</v>
      </c>
      <c r="AU73" s="46"/>
      <c r="AV73" s="46"/>
      <c r="AW73" s="46"/>
      <c r="AX73" s="46"/>
      <c r="AY73" s="46"/>
      <c r="AZ73" s="46"/>
      <c r="BA73" s="46"/>
      <c r="BB73" s="46"/>
    </row>
    <row r="74" spans="1:68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0.18583</v>
      </c>
      <c r="AL74" s="91">
        <v>0.17757999999999999</v>
      </c>
      <c r="AM74" s="91">
        <v>0.17082</v>
      </c>
      <c r="AN74" s="91">
        <v>0.16969000000000001</v>
      </c>
      <c r="AO74" s="91">
        <v>0.16891</v>
      </c>
      <c r="AP74" s="91">
        <v>0.16619</v>
      </c>
      <c r="AQ74" s="91">
        <v>0.16711999999999999</v>
      </c>
      <c r="AR74" s="91">
        <v>0.16803000000000001</v>
      </c>
      <c r="AS74" s="91">
        <v>0.16741</v>
      </c>
      <c r="AT74" s="91">
        <v>0.16885</v>
      </c>
      <c r="AU74" s="46"/>
      <c r="AV74" s="46"/>
      <c r="AW74" s="46"/>
      <c r="AX74" s="46"/>
      <c r="AY74" s="46"/>
      <c r="AZ74" s="46"/>
      <c r="BA74" s="46"/>
      <c r="BB74" s="46"/>
    </row>
    <row r="75" spans="1:68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0.13402</v>
      </c>
      <c r="AL75" s="91">
        <v>0.14104</v>
      </c>
      <c r="AM75" s="91">
        <v>0.14266999999999999</v>
      </c>
      <c r="AN75" s="91">
        <v>0.14749000000000001</v>
      </c>
      <c r="AO75" s="91">
        <v>0.15106</v>
      </c>
      <c r="AP75" s="91">
        <v>0.15182000000000001</v>
      </c>
      <c r="AQ75" s="91">
        <v>0.15537000000000001</v>
      </c>
      <c r="AR75" s="91">
        <v>0.15823000000000001</v>
      </c>
      <c r="AS75" s="91">
        <v>0.15916</v>
      </c>
      <c r="AT75" s="91">
        <v>0.16161</v>
      </c>
      <c r="AU75" s="46"/>
      <c r="AV75" s="46"/>
      <c r="AW75" s="46"/>
      <c r="AX75" s="46"/>
      <c r="AY75" s="46"/>
      <c r="AZ75" s="46"/>
      <c r="BA75" s="46"/>
      <c r="BB75" s="46"/>
    </row>
    <row r="76" spans="1:68" s="4" customFormat="1" ht="21" customHeight="1" x14ac:dyDescent="0.35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0.10327</v>
      </c>
      <c r="AL76" s="91">
        <v>0.11413</v>
      </c>
      <c r="AM76" s="91">
        <v>0.12809999999999999</v>
      </c>
      <c r="AN76" s="91">
        <v>0.13346</v>
      </c>
      <c r="AO76" s="91">
        <v>0.13786000000000001</v>
      </c>
      <c r="AP76" s="91">
        <v>0.14172999999999999</v>
      </c>
      <c r="AQ76" s="91">
        <v>0.14682000000000001</v>
      </c>
      <c r="AR76" s="91">
        <v>0.15109</v>
      </c>
      <c r="AS76" s="91">
        <v>0.15386</v>
      </c>
      <c r="AT76" s="91">
        <v>0.15673000000000001</v>
      </c>
      <c r="AU76" s="46"/>
      <c r="AV76" s="46"/>
      <c r="AW76" s="46"/>
      <c r="AX76" s="46"/>
      <c r="AY76" s="46"/>
      <c r="AZ76" s="46"/>
      <c r="BA76" s="46"/>
      <c r="BB76" s="46"/>
    </row>
    <row r="77" spans="1:68" s="4" customFormat="1" ht="21" customHeight="1" x14ac:dyDescent="0.35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0.10983999999999999</v>
      </c>
      <c r="AL77" s="91">
        <v>0.10829999999999999</v>
      </c>
      <c r="AM77" s="91">
        <v>0.12136</v>
      </c>
      <c r="AN77" s="91">
        <v>0.12608</v>
      </c>
      <c r="AO77" s="91">
        <v>0.13128000000000001</v>
      </c>
      <c r="AP77" s="91">
        <v>0.13700000000000001</v>
      </c>
      <c r="AQ77" s="91">
        <v>0.14288000000000001</v>
      </c>
      <c r="AR77" s="91">
        <v>0.14802000000000001</v>
      </c>
      <c r="AS77" s="91">
        <v>0.15206</v>
      </c>
      <c r="AT77" s="91">
        <v>0.15514</v>
      </c>
      <c r="AU77" s="46"/>
      <c r="AV77" s="46"/>
      <c r="AW77" s="46"/>
      <c r="AX77" s="46"/>
      <c r="AY77" s="46"/>
      <c r="AZ77" s="46"/>
      <c r="BA77" s="46"/>
      <c r="BB77" s="46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</row>
    <row r="78" spans="1:68" ht="21" customHeight="1" x14ac:dyDescent="0.35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0.11482000000000001</v>
      </c>
      <c r="AL78" s="91">
        <v>0.1139</v>
      </c>
      <c r="AM78" s="91">
        <v>0.11792999999999999</v>
      </c>
      <c r="AN78" s="91">
        <v>0.12475</v>
      </c>
      <c r="AO78" s="91">
        <v>0.13103000000000001</v>
      </c>
      <c r="AP78" s="91">
        <v>0.13549</v>
      </c>
      <c r="AQ78" s="91">
        <v>0.14180000000000001</v>
      </c>
      <c r="AR78" s="91">
        <v>0.14774999999999999</v>
      </c>
      <c r="AS78" s="91">
        <v>0.15260000000000001</v>
      </c>
      <c r="AT78" s="91">
        <v>0.15597</v>
      </c>
      <c r="AU78" s="46"/>
      <c r="AV78" s="46"/>
      <c r="AW78" s="46"/>
      <c r="AX78" s="46"/>
      <c r="AY78" s="46"/>
      <c r="AZ78" s="46"/>
      <c r="BA78" s="46"/>
      <c r="BB78" s="46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  <row r="79" spans="1:68" ht="21" customHeight="1" x14ac:dyDescent="0.35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</row>
    <row r="80" spans="1:68" s="4" customFormat="1" ht="21" customHeight="1" x14ac:dyDescent="0.35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</row>
    <row r="81" spans="1:68" ht="21" customHeight="1" x14ac:dyDescent="0.35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</row>
    <row r="82" spans="1:68" s="4" customFormat="1" ht="21" customHeight="1" x14ac:dyDescent="0.35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</row>
    <row r="83" spans="1:68" s="4" customFormat="1" ht="21" customHeight="1" x14ac:dyDescent="0.35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</row>
    <row r="84" spans="1:68" s="4" customFormat="1" ht="21" customHeight="1" x14ac:dyDescent="0.35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</row>
    <row r="85" spans="1:68" s="4" customFormat="1" ht="21" customHeight="1" x14ac:dyDescent="0.35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</row>
    <row r="86" spans="1:68" s="4" customFormat="1" ht="21" customHeight="1" x14ac:dyDescent="0.35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</row>
    <row r="87" spans="1:68" s="4" customFormat="1" ht="21" customHeight="1" x14ac:dyDescent="0.35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</row>
    <row r="88" spans="1:68" s="4" customFormat="1" ht="21" customHeight="1" x14ac:dyDescent="0.35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</row>
    <row r="89" spans="1:68" s="4" customFormat="1" ht="21" customHeight="1" x14ac:dyDescent="0.35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</row>
    <row r="90" spans="1:68" s="4" customFormat="1" ht="21" customHeight="1" x14ac:dyDescent="0.35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</row>
    <row r="91" spans="1:68" s="4" customFormat="1" ht="21" customHeight="1" x14ac:dyDescent="0.35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</row>
    <row r="92" spans="1:68" s="4" customFormat="1" ht="21" customHeight="1" x14ac:dyDescent="0.35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</row>
    <row r="93" spans="1:68" s="4" customFormat="1" ht="21" customHeight="1" x14ac:dyDescent="0.35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</row>
    <row r="94" spans="1:68" s="4" customFormat="1" ht="21" customHeight="1" x14ac:dyDescent="0.4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68" s="4" customFormat="1" ht="21" customHeight="1" x14ac:dyDescent="0.4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</row>
    <row r="96" spans="1:68" s="4" customFormat="1" ht="21" customHeight="1" x14ac:dyDescent="0.4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</row>
    <row r="97" spans="1:60" s="4" customFormat="1" ht="21" customHeight="1" x14ac:dyDescent="0.4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95" t="s">
        <v>68</v>
      </c>
      <c r="Q97" s="96"/>
      <c r="R97" s="38">
        <v>1</v>
      </c>
    </row>
    <row r="98" spans="1:60" s="4" customFormat="1" ht="21" customHeight="1" x14ac:dyDescent="0.4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136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136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E98" s="136" t="s">
        <v>29</v>
      </c>
      <c r="BF98" s="77" t="s">
        <v>66</v>
      </c>
      <c r="BG98" s="78"/>
      <c r="BH98" s="78"/>
    </row>
    <row r="99" spans="1:60" s="4" customFormat="1" ht="21" customHeight="1" x14ac:dyDescent="0.4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137"/>
      <c r="Q99" s="45">
        <v>1</v>
      </c>
      <c r="R99" s="45">
        <v>1.5</v>
      </c>
      <c r="S99" s="45">
        <v>2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37"/>
      <c r="AK99" s="45">
        <v>1</v>
      </c>
      <c r="AL99" s="45">
        <v>1.5</v>
      </c>
      <c r="AM99" s="45">
        <v>2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E99" s="137"/>
      <c r="BF99" s="45">
        <v>1</v>
      </c>
      <c r="BG99" s="45">
        <v>1.5</v>
      </c>
      <c r="BH99" s="45">
        <v>2</v>
      </c>
    </row>
    <row r="100" spans="1:60" s="4" customFormat="1" ht="21" customHeight="1" x14ac:dyDescent="0.35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0.23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46">
        <v>0.23</v>
      </c>
      <c r="AL100" s="46">
        <v>0.24</v>
      </c>
      <c r="AM100" s="46">
        <v>0.245</v>
      </c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E100" s="45">
        <v>0.9</v>
      </c>
      <c r="BF100" s="46">
        <v>0.23</v>
      </c>
      <c r="BG100" s="46">
        <v>0.24</v>
      </c>
      <c r="BH100" s="46">
        <v>0.245</v>
      </c>
    </row>
    <row r="101" spans="1:60" s="4" customFormat="1" ht="21" customHeight="1" x14ac:dyDescent="0.35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46">
        <v>0.22</v>
      </c>
      <c r="AL101" s="46">
        <v>0.2</v>
      </c>
      <c r="AM101" s="46">
        <v>0.19</v>
      </c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E101" s="45">
        <v>1</v>
      </c>
      <c r="BF101" s="46">
        <v>0.22</v>
      </c>
      <c r="BG101" s="46">
        <v>0.2</v>
      </c>
      <c r="BH101" s="46">
        <v>0.19</v>
      </c>
    </row>
    <row r="102" spans="1:60" s="4" customFormat="1" ht="21" customHeight="1" x14ac:dyDescent="0.35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M102" s="1"/>
      <c r="N102" s="1"/>
      <c r="O102" s="1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46">
        <v>0.2</v>
      </c>
      <c r="AL102" s="46">
        <v>0.19</v>
      </c>
      <c r="AM102" s="46">
        <v>0.19500000000000001</v>
      </c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E102" s="45">
        <v>1.1000000000000001</v>
      </c>
      <c r="BF102" s="46">
        <v>0.2</v>
      </c>
      <c r="BG102" s="46">
        <v>0.19</v>
      </c>
      <c r="BH102" s="46">
        <v>0.19500000000000001</v>
      </c>
    </row>
    <row r="103" spans="1:60" s="4" customFormat="1" ht="21" customHeight="1" x14ac:dyDescent="0.35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M103" s="1"/>
      <c r="N103" s="1"/>
      <c r="O103" s="1"/>
      <c r="P103" s="45">
        <v>1.2</v>
      </c>
      <c r="Q103" s="46">
        <v>0.2</v>
      </c>
      <c r="R103" s="46">
        <v>0.18</v>
      </c>
      <c r="S103" s="46">
        <v>0.185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46">
        <v>0.2</v>
      </c>
      <c r="AL103" s="46">
        <v>0.18</v>
      </c>
      <c r="AM103" s="46">
        <v>0.185</v>
      </c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E103" s="45">
        <v>1.2</v>
      </c>
      <c r="BF103" s="46">
        <v>0.2</v>
      </c>
      <c r="BG103" s="46">
        <v>0.18</v>
      </c>
      <c r="BH103" s="46">
        <v>0.185</v>
      </c>
    </row>
    <row r="104" spans="1:60" s="4" customFormat="1" ht="21" customHeight="1" x14ac:dyDescent="0.35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M104" s="1"/>
      <c r="N104" s="1"/>
      <c r="O104" s="1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</row>
    <row r="105" spans="1:60" s="4" customFormat="1" ht="21" customHeight="1" x14ac:dyDescent="0.35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</row>
    <row r="106" spans="1:60" s="4" customFormat="1" ht="21" customHeight="1" x14ac:dyDescent="0.35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</row>
    <row r="107" spans="1:60" s="4" customFormat="1" ht="21" customHeight="1" x14ac:dyDescent="0.35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</row>
    <row r="108" spans="1:60" s="4" customFormat="1" ht="21" customHeight="1" x14ac:dyDescent="0.35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</row>
    <row r="109" spans="1:60" s="4" customFormat="1" ht="21" customHeight="1" x14ac:dyDescent="0.35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</row>
    <row r="110" spans="1:60" s="4" customFormat="1" ht="21" customHeight="1" x14ac:dyDescent="0.35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</row>
    <row r="111" spans="1:60" s="4" customFormat="1" ht="21" customHeight="1" x14ac:dyDescent="0.35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</row>
    <row r="112" spans="1:60" s="4" customFormat="1" ht="21" customHeight="1" x14ac:dyDescent="0.35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</row>
    <row r="113" spans="1:61" s="4" customFormat="1" ht="21" customHeight="1" x14ac:dyDescent="0.35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</row>
    <row r="114" spans="1:61" s="4" customFormat="1" ht="21" customHeight="1" x14ac:dyDescent="0.35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</row>
    <row r="115" spans="1:61" s="4" customFormat="1" ht="21" customHeight="1" x14ac:dyDescent="0.35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</row>
    <row r="116" spans="1:61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</row>
    <row r="117" spans="1:61" ht="21" customHeight="1" x14ac:dyDescent="0.35">
      <c r="A117" s="138" t="s">
        <v>38</v>
      </c>
      <c r="B117" s="138"/>
      <c r="C117" s="138"/>
      <c r="D117" s="138"/>
      <c r="E117" s="138"/>
      <c r="F117" s="138"/>
      <c r="G117" s="138"/>
      <c r="H117" s="138"/>
      <c r="I117" s="138"/>
      <c r="J117" s="138"/>
      <c r="K117" s="138"/>
      <c r="L117" s="138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</row>
    <row r="118" spans="1:61" ht="21" customHeight="1" x14ac:dyDescent="0.35">
      <c r="A118" s="138"/>
      <c r="B118" s="138"/>
      <c r="C118" s="138"/>
      <c r="D118" s="138"/>
      <c r="E118" s="138"/>
      <c r="F118" s="138"/>
      <c r="G118" s="138"/>
      <c r="H118" s="138"/>
      <c r="I118" s="138"/>
      <c r="J118" s="138"/>
      <c r="K118" s="138"/>
      <c r="L118" s="138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</row>
    <row r="119" spans="1:61" ht="21" customHeight="1" x14ac:dyDescent="0.35">
      <c r="A119" s="133" t="s">
        <v>8</v>
      </c>
      <c r="B119" s="133"/>
      <c r="C119" s="133" t="s">
        <v>26</v>
      </c>
      <c r="D119" s="133"/>
      <c r="E119" s="133" t="s">
        <v>27</v>
      </c>
      <c r="F119" s="133"/>
      <c r="G119" s="133" t="s">
        <v>48</v>
      </c>
      <c r="H119" s="133"/>
      <c r="I119" s="133" t="s">
        <v>49</v>
      </c>
      <c r="J119" s="133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</row>
    <row r="120" spans="1:61" ht="21" customHeight="1" x14ac:dyDescent="0.35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</row>
    <row r="121" spans="1:61" ht="21" customHeight="1" x14ac:dyDescent="0.35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</row>
    <row r="122" spans="1:61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</row>
    <row r="123" spans="1:61" ht="21" customHeight="1" x14ac:dyDescent="0.35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</row>
    <row r="124" spans="1:61" ht="21" customHeight="1" x14ac:dyDescent="0.35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61" ht="21" customHeight="1" x14ac:dyDescent="0.35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61" ht="21" customHeight="1" x14ac:dyDescent="0.35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61" ht="21" customHeight="1" x14ac:dyDescent="0.35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95" t="s">
        <v>68</v>
      </c>
      <c r="Q127" s="96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F127" s="136" t="s">
        <v>29</v>
      </c>
      <c r="BG127" s="77" t="s">
        <v>66</v>
      </c>
      <c r="BH127" s="78"/>
      <c r="BI127" s="78"/>
    </row>
    <row r="128" spans="1:61" ht="21" customHeight="1" x14ac:dyDescent="0.35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136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136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F128" s="137"/>
      <c r="BG128" s="45">
        <v>0.5</v>
      </c>
      <c r="BH128" s="45">
        <v>1</v>
      </c>
      <c r="BI128" s="45">
        <v>1.5</v>
      </c>
    </row>
    <row r="129" spans="1:61" ht="21" customHeight="1" x14ac:dyDescent="0.35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137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37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F129" s="45">
        <v>0.9</v>
      </c>
      <c r="BG129" s="46">
        <v>0.2</v>
      </c>
      <c r="BH129" s="46">
        <v>0.2</v>
      </c>
      <c r="BI129" s="46">
        <v>0.2</v>
      </c>
    </row>
    <row r="130" spans="1:61" ht="21" customHeight="1" x14ac:dyDescent="0.35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46">
        <v>0.2</v>
      </c>
      <c r="AL130" s="46">
        <v>0.2</v>
      </c>
      <c r="AM130" s="46">
        <v>0.2</v>
      </c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F130" s="45">
        <v>1</v>
      </c>
      <c r="BG130" s="46">
        <v>0.2</v>
      </c>
      <c r="BH130" s="46">
        <v>0.2</v>
      </c>
      <c r="BI130" s="46">
        <v>0.2</v>
      </c>
    </row>
    <row r="131" spans="1:61" ht="21" customHeight="1" x14ac:dyDescent="0.35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46">
        <v>0.2</v>
      </c>
      <c r="AL131" s="46">
        <v>0.2</v>
      </c>
      <c r="AM131" s="46">
        <v>0.2</v>
      </c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F131" s="45">
        <v>1.1000000000000001</v>
      </c>
      <c r="BG131" s="46">
        <v>0.2</v>
      </c>
      <c r="BH131" s="46">
        <v>0.2</v>
      </c>
      <c r="BI131" s="46">
        <v>0.2</v>
      </c>
    </row>
    <row r="132" spans="1:61" ht="21" customHeight="1" x14ac:dyDescent="0.35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46">
        <v>0.2</v>
      </c>
      <c r="AL132" s="46">
        <v>0.2</v>
      </c>
      <c r="AM132" s="46">
        <v>0.2</v>
      </c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</row>
    <row r="133" spans="1:61" ht="21" customHeight="1" x14ac:dyDescent="0.35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</row>
    <row r="134" spans="1:61" ht="21" customHeight="1" x14ac:dyDescent="0.35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</row>
    <row r="135" spans="1:61" ht="21" customHeight="1" x14ac:dyDescent="0.35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</row>
    <row r="136" spans="1:61" ht="21" customHeight="1" x14ac:dyDescent="0.35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</row>
    <row r="137" spans="1:61" ht="21" customHeight="1" x14ac:dyDescent="0.35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</row>
    <row r="138" spans="1:61" ht="21" customHeight="1" x14ac:dyDescent="0.35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</row>
    <row r="139" spans="1:61" ht="21" customHeight="1" x14ac:dyDescent="0.35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</row>
    <row r="140" spans="1:61" ht="21" customHeight="1" x14ac:dyDescent="0.35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</row>
    <row r="141" spans="1:61" ht="21" customHeight="1" x14ac:dyDescent="0.35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</row>
    <row r="142" spans="1:61" ht="21" customHeight="1" x14ac:dyDescent="0.35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</row>
    <row r="143" spans="1:61" ht="21" customHeight="1" x14ac:dyDescent="0.35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</row>
    <row r="144" spans="1:61" ht="21" customHeight="1" x14ac:dyDescent="0.35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</row>
    <row r="145" spans="1:54" ht="21" customHeight="1" x14ac:dyDescent="0.35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</row>
    <row r="146" spans="1:54" ht="21" customHeight="1" x14ac:dyDescent="0.35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</row>
    <row r="147" spans="1:54" ht="21" customHeight="1" x14ac:dyDescent="0.35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</row>
    <row r="148" spans="1:54" ht="21" customHeight="1" x14ac:dyDescent="0.35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</row>
    <row r="149" spans="1:54" ht="21" customHeight="1" x14ac:dyDescent="0.35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</row>
    <row r="150" spans="1:54" ht="21" customHeight="1" x14ac:dyDescent="0.35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</row>
    <row r="151" spans="1:54" ht="21" customHeight="1" x14ac:dyDescent="0.35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</row>
    <row r="152" spans="1:54" ht="21" customHeight="1" x14ac:dyDescent="0.35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</row>
    <row r="153" spans="1:54" ht="21" customHeight="1" x14ac:dyDescent="0.35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</row>
    <row r="154" spans="1:54" ht="21" customHeight="1" x14ac:dyDescent="0.4">
      <c r="A154" s="51"/>
      <c r="B154" s="52"/>
      <c r="C154" s="51"/>
      <c r="D154" s="52"/>
      <c r="E154" s="51"/>
      <c r="F154" s="52"/>
      <c r="G154" s="51"/>
      <c r="H154" s="52"/>
      <c r="I154" s="51"/>
      <c r="J154" s="52"/>
    </row>
    <row r="155" spans="1:54" ht="21" customHeight="1" x14ac:dyDescent="0.4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</row>
    <row r="156" spans="1:54" ht="21" customHeight="1" x14ac:dyDescent="0.4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</row>
    <row r="157" spans="1:54" ht="21" customHeight="1" x14ac:dyDescent="0.4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95" t="s">
        <v>68</v>
      </c>
      <c r="Q157" s="96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</row>
    <row r="158" spans="1:54" ht="21" customHeight="1" x14ac:dyDescent="0.4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136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136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</row>
    <row r="159" spans="1:54" ht="21" customHeight="1" x14ac:dyDescent="0.4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137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37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</row>
    <row r="160" spans="1:54" ht="21" customHeight="1" x14ac:dyDescent="0.35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</row>
    <row r="161" spans="1:54" ht="21" customHeight="1" x14ac:dyDescent="0.35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</row>
    <row r="162" spans="1:54" ht="21" customHeight="1" x14ac:dyDescent="0.35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</row>
    <row r="163" spans="1:54" ht="21" customHeight="1" x14ac:dyDescent="0.35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</row>
    <row r="164" spans="1:54" ht="21" customHeight="1" x14ac:dyDescent="0.35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</row>
    <row r="165" spans="1:54" ht="21" customHeight="1" x14ac:dyDescent="0.35">
      <c r="A165" s="138" t="s">
        <v>40</v>
      </c>
      <c r="B165" s="138"/>
      <c r="C165" s="138"/>
      <c r="D165" s="138"/>
      <c r="E165" s="138"/>
      <c r="F165" s="138"/>
      <c r="G165" s="138"/>
      <c r="H165" s="138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</row>
    <row r="166" spans="1:54" ht="21" customHeight="1" x14ac:dyDescent="0.35">
      <c r="A166" s="138"/>
      <c r="B166" s="138"/>
      <c r="C166" s="138"/>
      <c r="D166" s="138"/>
      <c r="E166" s="138"/>
      <c r="F166" s="138"/>
      <c r="G166" s="138"/>
      <c r="H166" s="138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</row>
    <row r="167" spans="1:54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</row>
    <row r="168" spans="1:54" ht="21" customHeight="1" x14ac:dyDescent="0.35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</row>
    <row r="169" spans="1:54" ht="21" customHeight="1" x14ac:dyDescent="0.35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</row>
    <row r="170" spans="1:54" ht="21" customHeight="1" x14ac:dyDescent="0.35">
      <c r="A170" s="139"/>
      <c r="B170" s="139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</row>
    <row r="171" spans="1:54" ht="21" customHeight="1" x14ac:dyDescent="0.35">
      <c r="A171" s="133" t="s">
        <v>8</v>
      </c>
      <c r="B171" s="133"/>
      <c r="C171" s="133" t="s">
        <v>26</v>
      </c>
      <c r="D171" s="133"/>
      <c r="E171" s="133" t="s">
        <v>27</v>
      </c>
      <c r="F171" s="133"/>
      <c r="G171" s="133" t="s">
        <v>48</v>
      </c>
      <c r="H171" s="133"/>
      <c r="I171" s="133" t="s">
        <v>49</v>
      </c>
      <c r="J171" s="133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</row>
    <row r="172" spans="1:54" ht="21" customHeight="1" x14ac:dyDescent="0.35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</row>
    <row r="173" spans="1:54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</row>
    <row r="174" spans="1:54" ht="21" customHeight="1" x14ac:dyDescent="0.35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</row>
    <row r="175" spans="1:54" ht="21" customHeight="1" x14ac:dyDescent="0.35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</row>
    <row r="176" spans="1:54" ht="21" customHeight="1" x14ac:dyDescent="0.35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</row>
    <row r="177" spans="1:54" ht="21" customHeight="1" x14ac:dyDescent="0.35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</row>
    <row r="178" spans="1:54" ht="21" customHeight="1" x14ac:dyDescent="0.35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</row>
    <row r="179" spans="1:54" ht="21" customHeight="1" x14ac:dyDescent="0.35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</row>
    <row r="180" spans="1:54" ht="21" customHeight="1" x14ac:dyDescent="0.35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</row>
    <row r="181" spans="1:54" ht="21" customHeight="1" x14ac:dyDescent="0.35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</row>
    <row r="182" spans="1:54" ht="21" customHeight="1" x14ac:dyDescent="0.35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</row>
    <row r="183" spans="1:54" ht="21" customHeight="1" x14ac:dyDescent="0.35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</row>
    <row r="184" spans="1:54" ht="21" customHeight="1" x14ac:dyDescent="0.35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54" ht="21" customHeight="1" x14ac:dyDescent="0.4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</row>
    <row r="186" spans="1:54" ht="21" customHeight="1" x14ac:dyDescent="0.4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</row>
    <row r="187" spans="1:54" ht="21" customHeight="1" x14ac:dyDescent="0.4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95" t="s">
        <v>68</v>
      </c>
      <c r="Q187" s="96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</row>
    <row r="188" spans="1:54" ht="21" customHeight="1" x14ac:dyDescent="0.4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136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136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</row>
    <row r="189" spans="1:54" ht="21" customHeight="1" x14ac:dyDescent="0.35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137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37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</row>
    <row r="190" spans="1:54" ht="21" customHeight="1" x14ac:dyDescent="0.35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</row>
    <row r="191" spans="1:54" ht="21" customHeight="1" x14ac:dyDescent="0.35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</row>
    <row r="192" spans="1:54" ht="21" customHeight="1" x14ac:dyDescent="0.35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</row>
    <row r="193" spans="1:54" ht="21" customHeight="1" x14ac:dyDescent="0.35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</row>
    <row r="194" spans="1:54" ht="21" customHeight="1" x14ac:dyDescent="0.35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</row>
    <row r="195" spans="1:54" ht="21" customHeight="1" x14ac:dyDescent="0.35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</row>
    <row r="196" spans="1:54" ht="21" customHeight="1" x14ac:dyDescent="0.35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</row>
    <row r="197" spans="1:54" ht="21" customHeight="1" x14ac:dyDescent="0.35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</row>
    <row r="198" spans="1:54" ht="21" customHeight="1" x14ac:dyDescent="0.35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</row>
    <row r="199" spans="1:54" ht="21" customHeight="1" x14ac:dyDescent="0.35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</row>
    <row r="200" spans="1:54" ht="21" customHeight="1" x14ac:dyDescent="0.35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</row>
    <row r="201" spans="1:54" ht="21" customHeight="1" x14ac:dyDescent="0.35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</row>
    <row r="202" spans="1:54" ht="21" customHeight="1" x14ac:dyDescent="0.35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</row>
    <row r="203" spans="1:54" ht="21" customHeight="1" x14ac:dyDescent="0.35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</row>
    <row r="204" spans="1:54" ht="21" customHeight="1" x14ac:dyDescent="0.35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</row>
    <row r="205" spans="1:54" ht="21" customHeight="1" x14ac:dyDescent="0.35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</row>
    <row r="206" spans="1:54" ht="21" customHeight="1" x14ac:dyDescent="0.35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</row>
    <row r="207" spans="1:54" ht="21" customHeight="1" x14ac:dyDescent="0.35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</row>
    <row r="208" spans="1:54" ht="21" customHeight="1" x14ac:dyDescent="0.35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</row>
    <row r="209" spans="1:54" ht="21" customHeight="1" x14ac:dyDescent="0.35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</row>
    <row r="210" spans="1:54" ht="21" customHeight="1" x14ac:dyDescent="0.35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</row>
    <row r="211" spans="1:54" ht="21" customHeight="1" x14ac:dyDescent="0.35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</row>
    <row r="212" spans="1:54" ht="21" customHeight="1" x14ac:dyDescent="0.35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</row>
    <row r="213" spans="1:54" ht="21" customHeight="1" x14ac:dyDescent="0.35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</row>
    <row r="214" spans="1:54" ht="21" customHeight="1" x14ac:dyDescent="0.4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19">
    <mergeCell ref="BE98:BE99"/>
    <mergeCell ref="BF127:BF128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P67:Q67"/>
    <mergeCell ref="A62:AH62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BM47:BM48"/>
    <mergeCell ref="BN47:BN48"/>
    <mergeCell ref="BO47:BO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DC47:DC48"/>
    <mergeCell ref="A36:B36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DD47:DD48"/>
    <mergeCell ref="DE47:DE48"/>
    <mergeCell ref="DF47:DF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2022-08-28T13:42:33Z</dcterms:modified>
</cp:coreProperties>
</file>