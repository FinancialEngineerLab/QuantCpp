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<sst xmlns="http://schemas.openxmlformats.org/spreadsheetml/2006/main" count="205" uniqueCount="88">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</sst>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topLeftCell="BP65" zoomScale="80" zoomScaleNormal="80" workbookViewId="0">
      <selection activeCell="BX82" sqref="BX82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82" ht="21" customHeight="1" x14ac:dyDescent="0.4">
      <c r="A1" s="102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</row>
    <row r="2" spans="1:82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82" s="3" customFormat="1" ht="21" customHeight="1" x14ac:dyDescent="0.4">
      <c r="A3" s="2"/>
      <c r="C3" s="2"/>
      <c r="D3" s="2"/>
      <c r="F3" s="120" t="s">
        <v>1</v>
      </c>
      <c r="G3" s="120"/>
      <c r="H3" s="121">
        <v>100000</v>
      </c>
      <c r="I3" s="122"/>
    </row>
    <row r="4" spans="1:82" s="3" customFormat="1" ht="21" customHeight="1" x14ac:dyDescent="0.4">
      <c r="A4" s="108" t="s">
        <v>2</v>
      </c>
      <c r="B4" s="109"/>
      <c r="C4" s="128">
        <v>10000</v>
      </c>
      <c r="D4" s="129"/>
      <c r="F4" s="120" t="s">
        <v>3</v>
      </c>
      <c r="G4" s="120"/>
      <c r="H4" s="121">
        <v>1</v>
      </c>
      <c r="I4" s="122"/>
      <c r="M4" s="4"/>
      <c r="N4" s="5" t="s">
        <v>4</v>
      </c>
      <c r="O4" s="6" t="s">
        <v>5</v>
      </c>
      <c r="P4" s="5" t="s">
        <v>6</v>
      </c>
      <c r="R4" s="90" t="s">
        <v>79</v>
      </c>
      <c r="S4" s="127">
        <v>1</v>
      </c>
      <c r="T4" s="127"/>
    </row>
    <row r="5" spans="1:82" s="3" customFormat="1" ht="21" customHeight="1" thickBot="1" x14ac:dyDescent="0.45">
      <c r="A5" s="108" t="s">
        <v>7</v>
      </c>
      <c r="B5" s="109"/>
      <c r="C5" s="130">
        <v>1</v>
      </c>
      <c r="D5" s="131"/>
      <c r="M5" s="7" t="s">
        <v>8</v>
      </c>
      <c r="N5" s="8"/>
      <c r="O5" s="8"/>
      <c r="P5" s="8"/>
      <c r="R5" s="90" t="s">
        <v>77</v>
      </c>
      <c r="S5" s="125">
        <v>44867.979675925926</v>
      </c>
      <c r="T5" s="125"/>
    </row>
    <row r="6" spans="1:82" s="3" customFormat="1" ht="21" customHeight="1" thickBot="1" x14ac:dyDescent="0.45">
      <c r="A6" s="110" t="s">
        <v>9</v>
      </c>
      <c r="B6" s="111"/>
      <c r="C6" s="112">
        <v>42919</v>
      </c>
      <c r="D6" s="113"/>
      <c r="E6" s="2"/>
      <c r="F6" s="114" t="s">
        <v>10</v>
      </c>
      <c r="G6" s="114"/>
      <c r="H6" s="115">
        <v>10000</v>
      </c>
      <c r="I6" s="115"/>
      <c r="M6" s="7" t="s">
        <v>11</v>
      </c>
      <c r="N6" s="8"/>
      <c r="O6" s="8"/>
      <c r="P6" s="8"/>
      <c r="R6" s="90" t="s">
        <v>78</v>
      </c>
      <c r="S6" s="125">
        <v>44867.979687500003</v>
      </c>
      <c r="T6" s="125"/>
    </row>
    <row r="7" spans="1:82" s="3" customFormat="1" ht="21" customHeight="1" thickBot="1" x14ac:dyDescent="0.45">
      <c r="A7" s="110" t="s">
        <v>23</v>
      </c>
      <c r="B7" s="111"/>
      <c r="C7" s="123">
        <v>3</v>
      </c>
      <c r="D7" s="124"/>
      <c r="F7" s="116" t="s">
        <v>12</v>
      </c>
      <c r="G7" s="117"/>
      <c r="H7" s="118">
        <v>0</v>
      </c>
      <c r="I7" s="119"/>
      <c r="M7" s="7" t="s">
        <v>13</v>
      </c>
      <c r="N7" s="8"/>
      <c r="O7" s="8"/>
      <c r="P7" s="8"/>
      <c r="R7" s="90"/>
      <c r="S7" s="126"/>
      <c r="T7" s="126"/>
    </row>
    <row r="8" spans="1:82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82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82" s="3" customFormat="1" ht="21" hidden="1" customHeight="1" x14ac:dyDescent="0.4">
      <c r="A10" s="9"/>
      <c r="B10" s="9"/>
      <c r="C10" s="9"/>
    </row>
    <row r="11" spans="1:82" s="3" customFormat="1" ht="21" hidden="1" customHeight="1" x14ac:dyDescent="0.4">
      <c r="A11" s="9"/>
      <c r="B11" s="9"/>
      <c r="C11" s="9"/>
    </row>
    <row r="12" spans="1:82" s="3" customFormat="1" ht="21" hidden="1" customHeight="1" x14ac:dyDescent="0.4">
      <c r="A12" s="9"/>
      <c r="B12" s="9"/>
      <c r="C12" s="9"/>
    </row>
    <row r="13" spans="1:82" s="3" customFormat="1" ht="21" hidden="1" customHeight="1" x14ac:dyDescent="0.4">
      <c r="A13" s="9"/>
      <c r="B13" s="9"/>
      <c r="C13" s="9"/>
    </row>
    <row r="14" spans="1:82" s="3" customFormat="1" ht="21" hidden="1" customHeight="1" x14ac:dyDescent="0.4">
      <c r="A14" s="9"/>
      <c r="B14" s="9"/>
      <c r="C14" s="9"/>
    </row>
    <row r="15" spans="1:82" s="3" customFormat="1" ht="21" hidden="1" customHeight="1" x14ac:dyDescent="0.4">
      <c r="A15" s="9"/>
      <c r="B15" s="9"/>
      <c r="C15" s="9"/>
    </row>
    <row r="16" spans="1:82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4296.0958793248001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0" t="s">
        <v>81</v>
      </c>
      <c r="B17" s="120"/>
      <c r="C17" s="138">
        <v>6</v>
      </c>
      <c r="D17" s="137"/>
      <c r="F17" s="108" t="s">
        <v>51</v>
      </c>
      <c r="G17" s="109"/>
      <c r="H17" s="138">
        <v>0</v>
      </c>
      <c r="I17" s="137"/>
      <c r="K17" s="139" t="s">
        <v>14</v>
      </c>
      <c r="L17" s="139"/>
      <c r="M17" s="140">
        <v>9500.698117432783</v>
      </c>
      <c r="N17" s="140"/>
      <c r="O17" s="132" t="s">
        <v>76</v>
      </c>
      <c r="P17" s="133"/>
      <c r="Q17" s="86">
        <v>5732.824999999676</v>
      </c>
      <c r="R17" s="86">
        <v>1380.7499999999663</v>
      </c>
      <c r="S17" s="86">
        <v>722.40000000000509</v>
      </c>
      <c r="T17" s="86">
        <v>457.60000000000326</v>
      </c>
      <c r="U17" s="86">
        <v>333</v>
      </c>
      <c r="V17" s="86">
        <v>288.65000000000026</v>
      </c>
      <c r="W17" s="86">
        <v>251.85000000000088</v>
      </c>
      <c r="X17" s="86">
        <v>531.85666986042111</v>
      </c>
    </row>
    <row r="18" spans="1:111" s="3" customFormat="1" ht="21" customHeight="1" thickBot="1" x14ac:dyDescent="0.45">
      <c r="F18" s="120" t="s">
        <v>16</v>
      </c>
      <c r="G18" s="120"/>
      <c r="H18" s="134">
        <v>1</v>
      </c>
      <c r="I18" s="135"/>
      <c r="K18" s="139"/>
      <c r="L18" s="139"/>
      <c r="M18" s="140"/>
      <c r="N18" s="140"/>
      <c r="O18" s="132" t="s">
        <v>15</v>
      </c>
      <c r="P18" s="133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20" t="s">
        <v>17</v>
      </c>
      <c r="B19" s="120"/>
      <c r="C19" s="136">
        <v>0.5</v>
      </c>
      <c r="D19" s="137"/>
      <c r="K19" s="141" t="s">
        <v>80</v>
      </c>
      <c r="L19" s="141"/>
      <c r="M19" s="141"/>
      <c r="N19" s="141"/>
      <c r="X19" s="87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8" t="s">
        <v>18</v>
      </c>
      <c r="B27" s="109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8" t="s">
        <v>19</v>
      </c>
      <c r="B28" s="109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8" t="s">
        <v>43</v>
      </c>
      <c r="B29" s="109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8" t="s">
        <v>53</v>
      </c>
      <c r="B30" s="109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8" t="s">
        <v>54</v>
      </c>
      <c r="B31" s="109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4">
      <c r="A32" s="108"/>
      <c r="B32" s="109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4">
      <c r="A33" s="108"/>
      <c r="B33" s="109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4">
      <c r="A34" s="108" t="s">
        <v>20</v>
      </c>
      <c r="B34" s="109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8" t="s">
        <v>55</v>
      </c>
      <c r="B35" s="109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8" t="s">
        <v>56</v>
      </c>
      <c r="B36" s="109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8" t="s">
        <v>21</v>
      </c>
      <c r="B37" s="109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0" t="s">
        <v>57</v>
      </c>
      <c r="B38" s="101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0" t="s">
        <v>58</v>
      </c>
      <c r="B39" s="101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4">
      <c r="A40" s="100" t="s">
        <v>59</v>
      </c>
      <c r="B40" s="101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4">
      <c r="A41" s="100" t="s">
        <v>63</v>
      </c>
      <c r="B41" s="101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4">
      <c r="A42" s="100" t="s">
        <v>62</v>
      </c>
      <c r="B42" s="101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4">
      <c r="A43" s="100" t="s">
        <v>61</v>
      </c>
      <c r="B43" s="101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4">
      <c r="A44" s="100" t="s">
        <v>60</v>
      </c>
      <c r="B44" s="101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4">
      <c r="A45" s="100" t="s">
        <v>72</v>
      </c>
      <c r="B45" s="101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4">
      <c r="A46" s="100" t="s">
        <v>64</v>
      </c>
      <c r="B46" s="101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5"/>
      <c r="B47" s="105"/>
      <c r="C47" s="99" t="str">
        <f t="shared" ref="C47:AH47" si="35">IFERROR(IF(AND(C29="",D29="",B29&lt;&gt;"",C34&lt;&gt;""),"Not Autocalled Not KI Payoff",IF(AND(C29="",B29="",A29&lt;&gt;""),"Not Autocalled KI Payoff","")), "")</f>
        <v/>
      </c>
      <c r="D47" s="99" t="str">
        <f t="shared" si="35"/>
        <v/>
      </c>
      <c r="E47" s="99" t="str">
        <f t="shared" si="35"/>
        <v/>
      </c>
      <c r="F47" s="99" t="str">
        <f t="shared" si="35"/>
        <v/>
      </c>
      <c r="G47" s="99" t="str">
        <f t="shared" si="35"/>
        <v/>
      </c>
      <c r="H47" s="99" t="str">
        <f t="shared" si="35"/>
        <v/>
      </c>
      <c r="I47" s="99" t="str">
        <f t="shared" si="35"/>
        <v>Not Autocalled Not KI Payoff</v>
      </c>
      <c r="J47" s="99" t="str">
        <f t="shared" si="35"/>
        <v>Not Autocalled KI Payoff</v>
      </c>
      <c r="K47" s="99" t="str">
        <f t="shared" si="35"/>
        <v/>
      </c>
      <c r="L47" s="99" t="str">
        <f t="shared" si="35"/>
        <v/>
      </c>
      <c r="M47" s="99" t="str">
        <f t="shared" si="35"/>
        <v/>
      </c>
      <c r="N47" s="99" t="str">
        <f t="shared" si="35"/>
        <v/>
      </c>
      <c r="O47" s="99" t="str">
        <f t="shared" si="35"/>
        <v/>
      </c>
      <c r="P47" s="99" t="str">
        <f t="shared" si="35"/>
        <v/>
      </c>
      <c r="Q47" s="99" t="str">
        <f t="shared" si="35"/>
        <v/>
      </c>
      <c r="R47" s="99" t="str">
        <f t="shared" si="35"/>
        <v/>
      </c>
      <c r="S47" s="99" t="str">
        <f t="shared" si="35"/>
        <v/>
      </c>
      <c r="T47" s="99" t="str">
        <f t="shared" si="35"/>
        <v/>
      </c>
      <c r="U47" s="99" t="str">
        <f t="shared" si="35"/>
        <v/>
      </c>
      <c r="V47" s="99" t="str">
        <f t="shared" si="35"/>
        <v/>
      </c>
      <c r="W47" s="99" t="str">
        <f t="shared" si="35"/>
        <v/>
      </c>
      <c r="X47" s="99" t="str">
        <f t="shared" si="35"/>
        <v/>
      </c>
      <c r="Y47" s="99" t="str">
        <f t="shared" si="35"/>
        <v/>
      </c>
      <c r="Z47" s="99" t="str">
        <f t="shared" si="35"/>
        <v/>
      </c>
      <c r="AA47" s="99" t="str">
        <f t="shared" si="35"/>
        <v/>
      </c>
      <c r="AB47" s="99" t="str">
        <f t="shared" si="35"/>
        <v/>
      </c>
      <c r="AC47" s="99" t="str">
        <f t="shared" si="35"/>
        <v/>
      </c>
      <c r="AD47" s="99" t="str">
        <f t="shared" si="35"/>
        <v/>
      </c>
      <c r="AE47" s="99" t="str">
        <f t="shared" si="35"/>
        <v/>
      </c>
      <c r="AF47" s="99" t="str">
        <f t="shared" si="35"/>
        <v/>
      </c>
      <c r="AG47" s="99" t="str">
        <f t="shared" si="35"/>
        <v/>
      </c>
      <c r="AH47" s="99" t="str">
        <f t="shared" si="35"/>
        <v/>
      </c>
      <c r="AI47" s="99" t="str">
        <f t="shared" ref="AI47:BN47" si="36">IFERROR(IF(AND(AI29="",AJ29="",AH29&lt;&gt;"",AI34&lt;&gt;""),"Not Autocalled Not KI Payoff",IF(AND(AI29="",AH29="",AG29&lt;&gt;""),"Not Autocalled KI Payoff","")), "")</f>
        <v/>
      </c>
      <c r="AJ47" s="99" t="str">
        <f t="shared" si="36"/>
        <v/>
      </c>
      <c r="AK47" s="99" t="str">
        <f t="shared" si="36"/>
        <v/>
      </c>
      <c r="AL47" s="99" t="str">
        <f t="shared" si="36"/>
        <v/>
      </c>
      <c r="AM47" s="99" t="str">
        <f t="shared" si="36"/>
        <v/>
      </c>
      <c r="AN47" s="99" t="str">
        <f t="shared" si="36"/>
        <v/>
      </c>
      <c r="AO47" s="99" t="str">
        <f t="shared" si="36"/>
        <v/>
      </c>
      <c r="AP47" s="99" t="str">
        <f t="shared" si="36"/>
        <v/>
      </c>
      <c r="AQ47" s="99" t="str">
        <f t="shared" si="36"/>
        <v/>
      </c>
      <c r="AR47" s="99" t="str">
        <f t="shared" si="36"/>
        <v/>
      </c>
      <c r="AS47" s="99" t="str">
        <f t="shared" si="36"/>
        <v/>
      </c>
      <c r="AT47" s="99" t="str">
        <f t="shared" si="36"/>
        <v/>
      </c>
      <c r="AU47" s="99" t="str">
        <f t="shared" si="36"/>
        <v/>
      </c>
      <c r="AV47" s="99" t="str">
        <f t="shared" si="36"/>
        <v/>
      </c>
      <c r="AW47" s="99" t="str">
        <f t="shared" si="36"/>
        <v/>
      </c>
      <c r="AX47" s="99" t="str">
        <f t="shared" si="36"/>
        <v/>
      </c>
      <c r="AY47" s="99" t="str">
        <f t="shared" si="36"/>
        <v/>
      </c>
      <c r="AZ47" s="99" t="str">
        <f t="shared" si="36"/>
        <v/>
      </c>
      <c r="BA47" s="99" t="str">
        <f t="shared" si="36"/>
        <v/>
      </c>
      <c r="BB47" s="99" t="str">
        <f t="shared" si="36"/>
        <v/>
      </c>
      <c r="BC47" s="99" t="str">
        <f t="shared" si="36"/>
        <v/>
      </c>
      <c r="BD47" s="99" t="str">
        <f t="shared" si="36"/>
        <v/>
      </c>
      <c r="BE47" s="99" t="str">
        <f t="shared" si="36"/>
        <v/>
      </c>
      <c r="BF47" s="99" t="str">
        <f t="shared" si="36"/>
        <v/>
      </c>
      <c r="BG47" s="99" t="str">
        <f t="shared" si="36"/>
        <v/>
      </c>
      <c r="BH47" s="99" t="str">
        <f t="shared" si="36"/>
        <v/>
      </c>
      <c r="BI47" s="99" t="str">
        <f t="shared" si="36"/>
        <v/>
      </c>
      <c r="BJ47" s="99" t="str">
        <f t="shared" si="36"/>
        <v/>
      </c>
      <c r="BK47" s="99" t="str">
        <f t="shared" si="36"/>
        <v/>
      </c>
      <c r="BL47" s="99" t="str">
        <f t="shared" si="36"/>
        <v/>
      </c>
      <c r="BM47" s="99" t="str">
        <f t="shared" si="36"/>
        <v/>
      </c>
      <c r="BN47" s="99" t="str">
        <f t="shared" si="36"/>
        <v/>
      </c>
      <c r="BO47" s="99" t="str">
        <f t="shared" ref="BO47:CT47" si="37">IFERROR(IF(AND(BO29="",BP29="",BN29&lt;&gt;"",BO34&lt;&gt;""),"Not Autocalled Not KI Payoff",IF(AND(BO29="",BN29="",BM29&lt;&gt;""),"Not Autocalled KI Payoff","")), "")</f>
        <v/>
      </c>
      <c r="BP47" s="99" t="str">
        <f t="shared" si="37"/>
        <v/>
      </c>
      <c r="BQ47" s="99" t="str">
        <f t="shared" si="37"/>
        <v/>
      </c>
      <c r="BR47" s="99" t="str">
        <f t="shared" si="37"/>
        <v/>
      </c>
      <c r="BS47" s="99" t="str">
        <f t="shared" si="37"/>
        <v/>
      </c>
      <c r="BT47" s="99" t="str">
        <f t="shared" si="37"/>
        <v/>
      </c>
      <c r="BU47" s="99" t="str">
        <f t="shared" si="37"/>
        <v/>
      </c>
      <c r="BV47" s="99" t="str">
        <f t="shared" si="37"/>
        <v/>
      </c>
      <c r="BW47" s="99" t="str">
        <f t="shared" si="37"/>
        <v/>
      </c>
      <c r="BX47" s="99" t="str">
        <f t="shared" si="37"/>
        <v/>
      </c>
      <c r="BY47" s="99" t="str">
        <f t="shared" si="37"/>
        <v/>
      </c>
      <c r="BZ47" s="99" t="str">
        <f t="shared" si="37"/>
        <v/>
      </c>
      <c r="CA47" s="99" t="str">
        <f t="shared" si="37"/>
        <v/>
      </c>
      <c r="CB47" s="99" t="str">
        <f t="shared" si="37"/>
        <v/>
      </c>
      <c r="CC47" s="99" t="str">
        <f t="shared" si="37"/>
        <v/>
      </c>
      <c r="CD47" s="99" t="str">
        <f t="shared" si="37"/>
        <v/>
      </c>
      <c r="CE47" s="99" t="str">
        <f t="shared" si="37"/>
        <v/>
      </c>
      <c r="CF47" s="99" t="str">
        <f t="shared" si="37"/>
        <v/>
      </c>
      <c r="CG47" s="99" t="str">
        <f t="shared" si="37"/>
        <v/>
      </c>
      <c r="CH47" s="99" t="str">
        <f t="shared" si="37"/>
        <v/>
      </c>
      <c r="CI47" s="99" t="str">
        <f t="shared" si="37"/>
        <v/>
      </c>
      <c r="CJ47" s="99" t="str">
        <f t="shared" si="37"/>
        <v/>
      </c>
      <c r="CK47" s="99" t="str">
        <f t="shared" si="37"/>
        <v/>
      </c>
      <c r="CL47" s="99" t="str">
        <f t="shared" si="37"/>
        <v/>
      </c>
      <c r="CM47" s="99" t="str">
        <f t="shared" si="37"/>
        <v/>
      </c>
      <c r="CN47" s="99" t="str">
        <f t="shared" si="37"/>
        <v/>
      </c>
      <c r="CO47" s="99" t="str">
        <f t="shared" si="37"/>
        <v/>
      </c>
      <c r="CP47" s="99" t="str">
        <f t="shared" si="37"/>
        <v/>
      </c>
      <c r="CQ47" s="99" t="str">
        <f t="shared" si="37"/>
        <v/>
      </c>
      <c r="CR47" s="99" t="str">
        <f t="shared" si="37"/>
        <v/>
      </c>
      <c r="CS47" s="99" t="str">
        <f t="shared" si="37"/>
        <v/>
      </c>
      <c r="CT47" s="99" t="str">
        <f t="shared" si="37"/>
        <v/>
      </c>
      <c r="CU47" s="99" t="str">
        <f t="shared" ref="CU47:DF47" si="38">IFERROR(IF(AND(CU29="",CV29="",CT29&lt;&gt;"",CU34&lt;&gt;""),"Not Autocalled Not KI Payoff",IF(AND(CU29="",CT29="",CS29&lt;&gt;""),"Not Autocalled KI Payoff","")), "")</f>
        <v/>
      </c>
      <c r="CV47" s="99" t="str">
        <f t="shared" si="38"/>
        <v/>
      </c>
      <c r="CW47" s="99" t="str">
        <f t="shared" si="38"/>
        <v/>
      </c>
      <c r="CX47" s="99" t="str">
        <f t="shared" si="38"/>
        <v/>
      </c>
      <c r="CY47" s="99" t="str">
        <f t="shared" si="38"/>
        <v/>
      </c>
      <c r="CZ47" s="99" t="str">
        <f t="shared" si="38"/>
        <v/>
      </c>
      <c r="DA47" s="99" t="str">
        <f t="shared" si="38"/>
        <v/>
      </c>
      <c r="DB47" s="99" t="str">
        <f t="shared" si="38"/>
        <v/>
      </c>
      <c r="DC47" s="99" t="str">
        <f t="shared" si="38"/>
        <v/>
      </c>
      <c r="DD47" s="99" t="str">
        <f t="shared" si="38"/>
        <v/>
      </c>
      <c r="DE47" s="99" t="str">
        <f t="shared" si="38"/>
        <v/>
      </c>
      <c r="DF47" s="99" t="str">
        <f t="shared" si="38"/>
        <v/>
      </c>
      <c r="DG47" s="99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5"/>
      <c r="B48" s="105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</row>
    <row r="49" spans="1:108" s="29" customFormat="1" ht="21" hidden="1" customHeight="1" x14ac:dyDescent="0.4">
      <c r="A49" s="105"/>
      <c r="B49" s="105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5"/>
      <c r="B50" s="105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6" t="s">
        <v>46</v>
      </c>
      <c r="B51" s="106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2" t="s">
        <v>47</v>
      </c>
      <c r="B52" s="143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6" t="s">
        <v>44</v>
      </c>
      <c r="B53" s="106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6" t="s">
        <v>45</v>
      </c>
      <c r="B54" s="106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6" t="s">
        <v>50</v>
      </c>
      <c r="B55" s="106"/>
      <c r="C55" s="36">
        <v>0.05</v>
      </c>
    </row>
    <row r="56" spans="1:108" s="40" customFormat="1" ht="21" customHeight="1" x14ac:dyDescent="0.4">
      <c r="A56" s="106" t="s">
        <v>52</v>
      </c>
      <c r="B56" s="106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5"/>
      <c r="B57" s="105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5"/>
      <c r="B58" s="105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5"/>
      <c r="B59" s="105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5"/>
      <c r="B60" s="105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5"/>
      <c r="B61" s="105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2" t="s">
        <v>22</v>
      </c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J62" s="95" t="s">
        <v>71</v>
      </c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D62" s="95" t="s">
        <v>82</v>
      </c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</row>
    <row r="63" spans="1:108" s="4" customFormat="1" ht="21" customHeight="1" x14ac:dyDescent="0.4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</row>
    <row r="64" spans="1:108" s="4" customFormat="1" ht="21" customHeight="1" x14ac:dyDescent="0.4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</row>
    <row r="65" spans="1:90" s="4" customFormat="1" ht="21" customHeight="1" x14ac:dyDescent="0.4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90" s="4" customFormat="1" ht="21" customHeight="1" x14ac:dyDescent="0.4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  <c r="BX66" s="144" t="s">
        <v>87</v>
      </c>
      <c r="BY66" s="144"/>
      <c r="BZ66" s="144"/>
      <c r="CA66" s="144"/>
    </row>
    <row r="67" spans="1:90" s="4" customFormat="1" ht="21" customHeight="1" x14ac:dyDescent="0.4">
      <c r="A67" s="107" t="s">
        <v>74</v>
      </c>
      <c r="B67" s="107"/>
      <c r="C67" s="107"/>
      <c r="D67" s="107"/>
      <c r="E67" s="107"/>
      <c r="F67" s="107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100" t="s">
        <v>68</v>
      </c>
      <c r="Q67" s="101"/>
      <c r="R67" s="38">
        <v>2</v>
      </c>
      <c r="BX67" s="145"/>
      <c r="BY67" s="145"/>
      <c r="BZ67" s="145"/>
      <c r="CA67" s="145"/>
    </row>
    <row r="68" spans="1:90" s="4" customFormat="1" ht="21" customHeight="1" x14ac:dyDescent="0.4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6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6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D68" s="96" t="s">
        <v>29</v>
      </c>
      <c r="BE68" s="77" t="s">
        <v>66</v>
      </c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X68" s="45" t="s">
        <v>86</v>
      </c>
      <c r="BY68" s="45" t="s">
        <v>83</v>
      </c>
      <c r="BZ68" s="45" t="s">
        <v>84</v>
      </c>
      <c r="CA68" s="45" t="s">
        <v>85</v>
      </c>
    </row>
    <row r="69" spans="1:90" s="4" customFormat="1" ht="21" customHeight="1" x14ac:dyDescent="0.4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7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7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7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0.78026313071295028</v>
      </c>
      <c r="AL70" s="91">
        <v>0.56888055059846565</v>
      </c>
      <c r="AM70" s="91">
        <v>0.54359905365147765</v>
      </c>
      <c r="AN70" s="91">
        <v>0.35543602557015253</v>
      </c>
      <c r="AO70" s="91">
        <v>0.3294328926086767</v>
      </c>
      <c r="AP70" s="91">
        <v>0.33046180604261277</v>
      </c>
      <c r="AQ70" s="91">
        <v>0.31752003311590665</v>
      </c>
      <c r="AR70" s="91">
        <v>0.26385596053713789</v>
      </c>
      <c r="AS70" s="91">
        <v>0.26690350396035134</v>
      </c>
      <c r="AT70" s="91">
        <v>0.29846996921725888</v>
      </c>
      <c r="AU70" s="92"/>
      <c r="AV70" s="92"/>
      <c r="AW70" s="92"/>
      <c r="AX70" s="92"/>
      <c r="AY70" s="92"/>
      <c r="AZ70" s="92"/>
      <c r="BA70" s="92"/>
      <c r="BB70" s="92"/>
      <c r="BD70" s="45">
        <v>0.5</v>
      </c>
      <c r="BE70" s="91">
        <v>0.41115978278782561</v>
      </c>
      <c r="BF70" s="91">
        <v>0.35452850945056241</v>
      </c>
      <c r="BG70" s="91">
        <v>0.33896788091967983</v>
      </c>
      <c r="BH70" s="91">
        <v>0.30896872581694745</v>
      </c>
      <c r="BI70" s="91">
        <v>0.28793930016531638</v>
      </c>
      <c r="BJ70" s="91">
        <v>0.2729491726504647</v>
      </c>
      <c r="BK70" s="91">
        <v>0.26290936417018135</v>
      </c>
      <c r="BL70" s="91">
        <v>0.25358265765873234</v>
      </c>
      <c r="BM70" s="91">
        <v>0.24328756098434026</v>
      </c>
      <c r="BN70" s="91">
        <v>0.23907220629133272</v>
      </c>
      <c r="BO70" s="92"/>
      <c r="BP70" s="92"/>
      <c r="BQ70" s="92"/>
      <c r="BR70" s="92"/>
      <c r="BS70" s="92"/>
      <c r="BT70" s="92"/>
      <c r="BU70" s="92"/>
      <c r="BV70" s="92"/>
      <c r="BX70" s="93">
        <v>0.33333333333333331</v>
      </c>
      <c r="BY70" s="93">
        <v>0.14950912920514525</v>
      </c>
      <c r="BZ70" s="93">
        <v>1.1803420469408199</v>
      </c>
      <c r="CA70" s="93">
        <v>-0.81578963604172472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3" t="s">
        <v>31</v>
      </c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0.65402970237377567</v>
      </c>
      <c r="AL71" s="91">
        <v>0.48116331244041166</v>
      </c>
      <c r="AM71" s="91">
        <v>0.45647692194896167</v>
      </c>
      <c r="AN71" s="91">
        <v>0.31992687312830637</v>
      </c>
      <c r="AO71" s="91">
        <v>0.29252953336709719</v>
      </c>
      <c r="AP71" s="91">
        <v>0.28952029948883379</v>
      </c>
      <c r="AQ71" s="91">
        <v>0.28313959491964341</v>
      </c>
      <c r="AR71" s="91">
        <v>0.24322506180154949</v>
      </c>
      <c r="AS71" s="91">
        <v>0.24221318716046494</v>
      </c>
      <c r="AT71" s="91">
        <v>0.26512272329071596</v>
      </c>
      <c r="AU71" s="92"/>
      <c r="AV71" s="92"/>
      <c r="AW71" s="92"/>
      <c r="AX71" s="92"/>
      <c r="AY71" s="92"/>
      <c r="AZ71" s="92"/>
      <c r="BA71" s="92"/>
      <c r="BB71" s="92"/>
      <c r="BD71" s="45">
        <v>0.6</v>
      </c>
      <c r="BE71" s="91">
        <v>0.34838129628808157</v>
      </c>
      <c r="BF71" s="91">
        <v>0.30418258006797261</v>
      </c>
      <c r="BG71" s="91">
        <v>0.29176058576505615</v>
      </c>
      <c r="BH71" s="91">
        <v>0.26859757410424984</v>
      </c>
      <c r="BI71" s="91">
        <v>0.2523678797737906</v>
      </c>
      <c r="BJ71" s="91">
        <v>0.24032299158406764</v>
      </c>
      <c r="BK71" s="91">
        <v>0.23288065787586917</v>
      </c>
      <c r="BL71" s="91">
        <v>0.22607691453151713</v>
      </c>
      <c r="BM71" s="91">
        <v>0.218160962158505</v>
      </c>
      <c r="BN71" s="91">
        <v>0.21536486225276216</v>
      </c>
      <c r="BO71" s="92"/>
      <c r="BP71" s="92"/>
      <c r="BQ71" s="92"/>
      <c r="BR71" s="92"/>
      <c r="BS71" s="92"/>
      <c r="BT71" s="92"/>
      <c r="BU71" s="92"/>
      <c r="BV71" s="92"/>
      <c r="BX71" s="93">
        <v>0.66666666666666663</v>
      </c>
      <c r="BY71" s="93">
        <v>0.14941674204199243</v>
      </c>
      <c r="BZ71" s="93">
        <v>0.90917331220353947</v>
      </c>
      <c r="CA71" s="93">
        <v>-0.77248797056047491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3"/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0.49743837847768019</v>
      </c>
      <c r="AL72" s="91">
        <v>0.37752404967034642</v>
      </c>
      <c r="AM72" s="91">
        <v>0.35849488097280013</v>
      </c>
      <c r="AN72" s="91">
        <v>0.27087467399288756</v>
      </c>
      <c r="AO72" s="91">
        <v>0.24667163860250393</v>
      </c>
      <c r="AP72" s="91">
        <v>0.24200677412278035</v>
      </c>
      <c r="AQ72" s="91">
        <v>0.24130272238735093</v>
      </c>
      <c r="AR72" s="91">
        <v>0.21428375815496517</v>
      </c>
      <c r="AS72" s="91">
        <v>0.21127516583135864</v>
      </c>
      <c r="AT72" s="91">
        <v>0.22744699132242457</v>
      </c>
      <c r="AU72" s="92"/>
      <c r="AV72" s="92"/>
      <c r="AW72" s="92"/>
      <c r="AX72" s="92"/>
      <c r="AY72" s="92"/>
      <c r="AZ72" s="92"/>
      <c r="BA72" s="92"/>
      <c r="BB72" s="92"/>
      <c r="BD72" s="45">
        <v>0.7</v>
      </c>
      <c r="BE72" s="91">
        <v>0.29178084151601491</v>
      </c>
      <c r="BF72" s="91">
        <v>0.259025723463785</v>
      </c>
      <c r="BG72" s="91">
        <v>0.24961801046799612</v>
      </c>
      <c r="BH72" s="91">
        <v>0.23284535019763156</v>
      </c>
      <c r="BI72" s="91">
        <v>0.22114340851362763</v>
      </c>
      <c r="BJ72" s="91">
        <v>0.21194146739514408</v>
      </c>
      <c r="BK72" s="91">
        <v>0.20703101415854094</v>
      </c>
      <c r="BL72" s="91">
        <v>0.20268171029152374</v>
      </c>
      <c r="BM72" s="91">
        <v>0.19709480041555735</v>
      </c>
      <c r="BN72" s="91">
        <v>0.19567775360832529</v>
      </c>
      <c r="BO72" s="92"/>
      <c r="BP72" s="92"/>
      <c r="BQ72" s="92"/>
      <c r="BR72" s="92"/>
      <c r="BS72" s="92"/>
      <c r="BT72" s="92"/>
      <c r="BU72" s="92"/>
      <c r="BV72" s="92"/>
      <c r="BX72" s="93">
        <v>1</v>
      </c>
      <c r="BY72" s="93">
        <v>0.14929039000131258</v>
      </c>
      <c r="BZ72" s="93">
        <v>0.84903948200657553</v>
      </c>
      <c r="CA72" s="93">
        <v>-0.69357739928921636</v>
      </c>
    </row>
    <row r="73" spans="1:90" s="4" customFormat="1" ht="21" customHeight="1" x14ac:dyDescent="0.35">
      <c r="A73" s="98" t="s">
        <v>32</v>
      </c>
      <c r="B73" s="98"/>
      <c r="C73" s="98" t="s">
        <v>33</v>
      </c>
      <c r="D73" s="98"/>
      <c r="E73" s="98" t="s">
        <v>34</v>
      </c>
      <c r="F73" s="98"/>
      <c r="G73" s="98" t="s">
        <v>35</v>
      </c>
      <c r="H73" s="98"/>
      <c r="I73" s="98" t="s">
        <v>65</v>
      </c>
      <c r="J73" s="98"/>
      <c r="K73" s="98" t="s">
        <v>67</v>
      </c>
      <c r="L73" s="98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0.3617109985863573</v>
      </c>
      <c r="AL73" s="91">
        <v>0.28751727002734018</v>
      </c>
      <c r="AM73" s="91">
        <v>0.27409585589032137</v>
      </c>
      <c r="AN73" s="91">
        <v>0.22518938116112813</v>
      </c>
      <c r="AO73" s="91">
        <v>0.20641010188942049</v>
      </c>
      <c r="AP73" s="91">
        <v>0.20205620843595914</v>
      </c>
      <c r="AQ73" s="91">
        <v>0.20594199458201734</v>
      </c>
      <c r="AR73" s="91">
        <v>0.18957719824349098</v>
      </c>
      <c r="AS73" s="91">
        <v>0.18638098853241111</v>
      </c>
      <c r="AT73" s="91">
        <v>0.19800635876499542</v>
      </c>
      <c r="AU73" s="92"/>
      <c r="AV73" s="92"/>
      <c r="AW73" s="92"/>
      <c r="AX73" s="92"/>
      <c r="AY73" s="92"/>
      <c r="AZ73" s="92"/>
      <c r="BA73" s="92"/>
      <c r="BB73" s="92"/>
      <c r="BD73" s="45">
        <v>0.8</v>
      </c>
      <c r="BE73" s="91">
        <v>0.23900771506321702</v>
      </c>
      <c r="BF73" s="91">
        <v>0.21734054052316173</v>
      </c>
      <c r="BG73" s="91">
        <v>0.21105692141551169</v>
      </c>
      <c r="BH73" s="91">
        <v>0.20058424733454902</v>
      </c>
      <c r="BI73" s="91">
        <v>0.19337986421392403</v>
      </c>
      <c r="BJ73" s="91">
        <v>0.18709284596283524</v>
      </c>
      <c r="BK73" s="91">
        <v>0.18478246544591942</v>
      </c>
      <c r="BL73" s="91">
        <v>0.18292271360187873</v>
      </c>
      <c r="BM73" s="91">
        <v>0.17970694239875498</v>
      </c>
      <c r="BN73" s="91">
        <v>0.17965605552704855</v>
      </c>
      <c r="BO73" s="92"/>
      <c r="BP73" s="92"/>
      <c r="BQ73" s="92"/>
      <c r="BR73" s="92"/>
      <c r="BS73" s="92"/>
      <c r="BT73" s="92"/>
      <c r="BU73" s="92"/>
      <c r="BV73" s="92"/>
      <c r="BX73" s="93">
        <v>1.3333333333333333</v>
      </c>
      <c r="BY73" s="93">
        <v>0.15029559036832918</v>
      </c>
      <c r="BZ73" s="93">
        <v>0.71014512521964768</v>
      </c>
      <c r="CA73" s="93">
        <v>-0.63428476873136974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0.24122019694417077</v>
      </c>
      <c r="AL74" s="91">
        <v>0.20826547602947712</v>
      </c>
      <c r="AM74" s="91">
        <v>0.20110855483515783</v>
      </c>
      <c r="AN74" s="91">
        <v>0.18301975922306118</v>
      </c>
      <c r="AO74" s="91">
        <v>0.17194226896937195</v>
      </c>
      <c r="AP74" s="91">
        <v>0.16994126041682434</v>
      </c>
      <c r="AQ74" s="91">
        <v>0.17785810820458445</v>
      </c>
      <c r="AR74" s="91">
        <v>0.17038550548679765</v>
      </c>
      <c r="AS74" s="91">
        <v>0.16847773892384704</v>
      </c>
      <c r="AT74" s="91">
        <v>0.1772200827857239</v>
      </c>
      <c r="AU74" s="92"/>
      <c r="AV74" s="92"/>
      <c r="AW74" s="92"/>
      <c r="AX74" s="92"/>
      <c r="AY74" s="92"/>
      <c r="AZ74" s="92"/>
      <c r="BA74" s="92"/>
      <c r="BB74" s="92"/>
      <c r="BD74" s="45">
        <v>0.9</v>
      </c>
      <c r="BE74" s="91">
        <v>0.18828812488247715</v>
      </c>
      <c r="BF74" s="91">
        <v>0.17808998938232853</v>
      </c>
      <c r="BG74" s="91">
        <v>0.17542207166344342</v>
      </c>
      <c r="BH74" s="91">
        <v>0.17151114314577703</v>
      </c>
      <c r="BI74" s="91">
        <v>0.16897774282637659</v>
      </c>
      <c r="BJ74" s="91">
        <v>0.16584755888644223</v>
      </c>
      <c r="BK74" s="91">
        <v>0.16628496819298225</v>
      </c>
      <c r="BL74" s="91">
        <v>0.16696860944552946</v>
      </c>
      <c r="BM74" s="91">
        <v>0.1661713702929408</v>
      </c>
      <c r="BN74" s="91">
        <v>0.16742978937356737</v>
      </c>
      <c r="BO74" s="92"/>
      <c r="BP74" s="92"/>
      <c r="BQ74" s="92"/>
      <c r="BR74" s="92"/>
      <c r="BS74" s="92"/>
      <c r="BT74" s="92"/>
      <c r="BU74" s="92"/>
      <c r="BV74" s="92"/>
      <c r="BX74" s="93">
        <v>1.6666666666666665</v>
      </c>
      <c r="BY74" s="93">
        <v>0.15096839343948157</v>
      </c>
      <c r="BZ74" s="93">
        <v>0.61923683304631905</v>
      </c>
      <c r="CA74" s="93">
        <v>-0.57454221252252768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0.13860529577371827</v>
      </c>
      <c r="AL75" s="91">
        <v>0.14245067797091562</v>
      </c>
      <c r="AM75" s="91">
        <v>0.14397696628601442</v>
      </c>
      <c r="AN75" s="91">
        <v>0.14844350790222269</v>
      </c>
      <c r="AO75" s="91">
        <v>0.14631590292327559</v>
      </c>
      <c r="AP75" s="91">
        <v>0.1484874676140138</v>
      </c>
      <c r="AQ75" s="91">
        <v>0.15973294277077418</v>
      </c>
      <c r="AR75" s="91">
        <v>0.15910518979032751</v>
      </c>
      <c r="AS75" s="91">
        <v>0.15919493621538142</v>
      </c>
      <c r="AT75" s="91">
        <v>0.16594366586778242</v>
      </c>
      <c r="AU75" s="92"/>
      <c r="AV75" s="92"/>
      <c r="AW75" s="92"/>
      <c r="AX75" s="92"/>
      <c r="AY75" s="92"/>
      <c r="AZ75" s="92"/>
      <c r="BA75" s="92"/>
      <c r="BB75" s="92"/>
      <c r="BD75" s="45">
        <v>1</v>
      </c>
      <c r="BE75" s="91">
        <v>0.1390465760489184</v>
      </c>
      <c r="BF75" s="91">
        <v>0.14153379983256623</v>
      </c>
      <c r="BG75" s="91">
        <v>0.14372088165631539</v>
      </c>
      <c r="BH75" s="91">
        <v>0.14669711285431092</v>
      </c>
      <c r="BI75" s="91">
        <v>0.14893792930915056</v>
      </c>
      <c r="BJ75" s="91">
        <v>0.14923432539203074</v>
      </c>
      <c r="BK75" s="91">
        <v>0.15242516455962807</v>
      </c>
      <c r="BL75" s="91">
        <v>0.1555006018383043</v>
      </c>
      <c r="BM75" s="91">
        <v>0.15698170627315206</v>
      </c>
      <c r="BN75" s="91">
        <v>0.15934123896889965</v>
      </c>
      <c r="BO75" s="92"/>
      <c r="BP75" s="92"/>
      <c r="BQ75" s="92"/>
      <c r="BR75" s="92"/>
      <c r="BS75" s="92"/>
      <c r="BT75" s="92"/>
      <c r="BU75" s="92"/>
      <c r="BV75" s="92"/>
      <c r="BX75" s="93">
        <v>1.9999999999999998</v>
      </c>
      <c r="BY75" s="93">
        <v>0.14946743816736144</v>
      </c>
      <c r="BZ75" s="93">
        <v>0.56973113614461335</v>
      </c>
      <c r="CA75" s="93">
        <v>-0.5002429371328706</v>
      </c>
    </row>
    <row r="76" spans="1:90" s="4" customFormat="1" ht="21" customHeight="1" x14ac:dyDescent="0.35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9.1536526561255466E-2</v>
      </c>
      <c r="AL76" s="91">
        <v>0.10604177595690371</v>
      </c>
      <c r="AM76" s="91">
        <v>0.11838902393740311</v>
      </c>
      <c r="AN76" s="91">
        <v>0.13025837363400997</v>
      </c>
      <c r="AO76" s="91">
        <v>0.13479678808174578</v>
      </c>
      <c r="AP76" s="91">
        <v>0.14168378194308556</v>
      </c>
      <c r="AQ76" s="91">
        <v>0.1544773032930182</v>
      </c>
      <c r="AR76" s="91">
        <v>0.15786872659947829</v>
      </c>
      <c r="AS76" s="91">
        <v>0.15951817164087997</v>
      </c>
      <c r="AT76" s="91">
        <v>0.16433488721945649</v>
      </c>
      <c r="AU76" s="92"/>
      <c r="AV76" s="92"/>
      <c r="AW76" s="92"/>
      <c r="AX76" s="92"/>
      <c r="AY76" s="92"/>
      <c r="AZ76" s="92"/>
      <c r="BA76" s="92"/>
      <c r="BB76" s="92"/>
      <c r="BD76" s="45">
        <v>1.1000000000000001</v>
      </c>
      <c r="BE76" s="91">
        <v>0.10320061545707351</v>
      </c>
      <c r="BF76" s="91">
        <v>0.11363011519863132</v>
      </c>
      <c r="BG76" s="91">
        <v>0.12186675600567988</v>
      </c>
      <c r="BH76" s="91">
        <v>0.12977793680355953</v>
      </c>
      <c r="BI76" s="91">
        <v>0.13564477383202586</v>
      </c>
      <c r="BJ76" s="91">
        <v>0.1390510975291529</v>
      </c>
      <c r="BK76" s="91">
        <v>0.14438533099119236</v>
      </c>
      <c r="BL76" s="91">
        <v>0.14919100093905519</v>
      </c>
      <c r="BM76" s="91">
        <v>0.15241689875299474</v>
      </c>
      <c r="BN76" s="91">
        <v>0.1554723242304421</v>
      </c>
      <c r="BO76" s="92"/>
      <c r="BP76" s="92"/>
      <c r="BQ76" s="92"/>
      <c r="BR76" s="92"/>
      <c r="BS76" s="92"/>
      <c r="BT76" s="92"/>
      <c r="BU76" s="92"/>
      <c r="BV76" s="92"/>
      <c r="BX76" s="93">
        <v>2.333333333333333</v>
      </c>
      <c r="BY76" s="93">
        <v>0.15140693445774039</v>
      </c>
      <c r="BZ76" s="93">
        <v>0.52626393503029822</v>
      </c>
      <c r="CA76" s="93">
        <v>-0.4400426261859931</v>
      </c>
    </row>
    <row r="77" spans="1:90" s="4" customFormat="1" ht="21" customHeight="1" x14ac:dyDescent="0.35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0.12172992376011404</v>
      </c>
      <c r="AL77" s="91">
        <v>0.11196695137229365</v>
      </c>
      <c r="AM77" s="91">
        <v>0.13209749877481541</v>
      </c>
      <c r="AN77" s="91">
        <v>0.13379234245622712</v>
      </c>
      <c r="AO77" s="91">
        <v>0.14028070639618836</v>
      </c>
      <c r="AP77" s="91">
        <v>0.15084761522262299</v>
      </c>
      <c r="AQ77" s="91">
        <v>0.16259471408239154</v>
      </c>
      <c r="AR77" s="91">
        <v>0.16689881193010017</v>
      </c>
      <c r="AS77" s="91">
        <v>0.16877576365539837</v>
      </c>
      <c r="AT77" s="91">
        <v>0.17125564228425411</v>
      </c>
      <c r="AU77" s="92"/>
      <c r="AV77" s="92"/>
      <c r="AW77" s="92"/>
      <c r="AX77" s="92"/>
      <c r="AY77" s="92"/>
      <c r="AZ77" s="92"/>
      <c r="BA77" s="92"/>
      <c r="BB77" s="92"/>
      <c r="BD77" s="45">
        <v>1.2</v>
      </c>
      <c r="BE77" s="91">
        <v>0.10447342885241494</v>
      </c>
      <c r="BF77" s="91">
        <v>0.10691189965636345</v>
      </c>
      <c r="BG77" s="91">
        <v>0.11747125422930924</v>
      </c>
      <c r="BH77" s="91">
        <v>0.12450077982920844</v>
      </c>
      <c r="BI77" s="91">
        <v>0.1309339584043307</v>
      </c>
      <c r="BJ77" s="91">
        <v>0.13605823850597315</v>
      </c>
      <c r="BK77" s="91">
        <v>0.14229593371465046</v>
      </c>
      <c r="BL77" s="91">
        <v>0.14780014811963085</v>
      </c>
      <c r="BM77" s="91">
        <v>0.15196946895901617</v>
      </c>
      <c r="BN77" s="91">
        <v>0.15525836637449622</v>
      </c>
      <c r="BO77" s="92"/>
      <c r="BP77" s="92"/>
      <c r="BQ77" s="92"/>
      <c r="BR77" s="92"/>
      <c r="BS77" s="92"/>
      <c r="BT77" s="92"/>
      <c r="BU77" s="92"/>
      <c r="BV77" s="92"/>
      <c r="BX77" s="93">
        <v>2.6666666666666665</v>
      </c>
      <c r="BY77" s="93">
        <v>0.15349531662176796</v>
      </c>
      <c r="BZ77" s="93">
        <v>0.48580304880101083</v>
      </c>
      <c r="CA77" s="93">
        <v>-0.38494045350381045</v>
      </c>
    </row>
    <row r="78" spans="1:90" ht="21" customHeight="1" x14ac:dyDescent="0.35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0.17086619736089004</v>
      </c>
      <c r="AL78" s="91">
        <v>0.13367092393767716</v>
      </c>
      <c r="AM78" s="91">
        <v>0.15110859442114855</v>
      </c>
      <c r="AN78" s="91">
        <v>0.13898175457361539</v>
      </c>
      <c r="AO78" s="91">
        <v>0.14604424585168954</v>
      </c>
      <c r="AP78" s="91">
        <v>0.15871727401517827</v>
      </c>
      <c r="AQ78" s="91">
        <v>0.16817996166060528</v>
      </c>
      <c r="AR78" s="91">
        <v>0.1723738280267908</v>
      </c>
      <c r="AS78" s="91">
        <v>0.17418335820437622</v>
      </c>
      <c r="AT78" s="91">
        <v>0.17459863637735593</v>
      </c>
      <c r="AU78" s="92"/>
      <c r="AV78" s="92"/>
      <c r="AW78" s="92"/>
      <c r="AX78" s="92"/>
      <c r="AY78" s="92"/>
      <c r="AZ78" s="92"/>
      <c r="BA78" s="92"/>
      <c r="BB78" s="92"/>
      <c r="BD78" s="45">
        <v>1.3</v>
      </c>
      <c r="BE78" s="91">
        <v>0.11853100866434571</v>
      </c>
      <c r="BF78" s="91">
        <v>0.11408486990364959</v>
      </c>
      <c r="BG78" s="91">
        <v>0.12427204284018936</v>
      </c>
      <c r="BH78" s="91">
        <v>0.12806125600774776</v>
      </c>
      <c r="BI78" s="91">
        <v>0.13303602368740131</v>
      </c>
      <c r="BJ78" s="91">
        <v>0.13849722132287656</v>
      </c>
      <c r="BK78" s="91">
        <v>0.14463719626245009</v>
      </c>
      <c r="BL78" s="91">
        <v>0.15003678942180843</v>
      </c>
      <c r="BM78" s="91">
        <v>0.15447431011917789</v>
      </c>
      <c r="BN78" s="91">
        <v>0.15766377524577765</v>
      </c>
      <c r="BO78" s="92"/>
      <c r="BP78" s="92"/>
      <c r="BQ78" s="92"/>
      <c r="BR78" s="92"/>
      <c r="BS78" s="92"/>
      <c r="BT78" s="92"/>
      <c r="BU78" s="92"/>
      <c r="BV78" s="92"/>
      <c r="BX78" s="93">
        <v>3</v>
      </c>
      <c r="BY78" s="93">
        <v>0.1539200822655411</v>
      </c>
      <c r="BZ78" s="93">
        <v>0.45100639478817883</v>
      </c>
      <c r="CA78" s="93">
        <v>-0.32037043836540591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2"/>
      <c r="AV79" s="92"/>
      <c r="AW79" s="92"/>
      <c r="AX79" s="92"/>
      <c r="AY79" s="92"/>
      <c r="AZ79" s="92"/>
      <c r="BA79" s="92"/>
      <c r="BB79" s="92"/>
      <c r="BD79" s="45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X79" s="93">
        <v>3.3333333333333335</v>
      </c>
      <c r="BY79" s="93">
        <v>0.15575562199665335</v>
      </c>
      <c r="BZ79" s="93">
        <v>0.42947354670813692</v>
      </c>
      <c r="CA79" s="93">
        <v>-0.29151237788629869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2"/>
      <c r="AV80" s="92"/>
      <c r="AW80" s="92"/>
      <c r="AX80" s="92"/>
      <c r="AY80" s="92"/>
      <c r="AZ80" s="92"/>
      <c r="BA80" s="92"/>
      <c r="BB80" s="92"/>
      <c r="BD80" s="45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X80" s="93"/>
      <c r="BY80" s="93"/>
      <c r="BZ80" s="93"/>
      <c r="CA80" s="93"/>
    </row>
    <row r="81" spans="1:90" ht="21" customHeight="1" x14ac:dyDescent="0.35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2"/>
      <c r="AV81" s="92"/>
      <c r="AW81" s="92"/>
      <c r="AX81" s="92"/>
      <c r="AY81" s="92"/>
      <c r="AZ81" s="92"/>
      <c r="BA81" s="92"/>
      <c r="BB81" s="92"/>
      <c r="BD81" s="45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X81" s="93"/>
      <c r="BY81" s="93"/>
      <c r="BZ81" s="93"/>
      <c r="CA81" s="93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2"/>
      <c r="AV82" s="92"/>
      <c r="AW82" s="92"/>
      <c r="AX82" s="92"/>
      <c r="AY82" s="92"/>
      <c r="AZ82" s="92"/>
      <c r="BA82" s="92"/>
      <c r="BB82" s="92"/>
      <c r="BD82" s="45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X82" s="93"/>
      <c r="BY82" s="93"/>
      <c r="BZ82" s="93"/>
      <c r="CA82" s="93"/>
    </row>
    <row r="83" spans="1:90" s="4" customFormat="1" ht="21" customHeight="1" x14ac:dyDescent="0.35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2"/>
      <c r="AV83" s="92"/>
      <c r="AW83" s="92"/>
      <c r="AX83" s="92"/>
      <c r="AY83" s="92"/>
      <c r="AZ83" s="92"/>
      <c r="BA83" s="92"/>
      <c r="BB83" s="92"/>
      <c r="BD83" s="45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X83" s="93"/>
      <c r="BY83" s="93"/>
      <c r="BZ83" s="93"/>
      <c r="CA83" s="93"/>
    </row>
    <row r="84" spans="1:90" s="4" customFormat="1" ht="21" customHeight="1" x14ac:dyDescent="0.35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2"/>
      <c r="AV84" s="92"/>
      <c r="AW84" s="92"/>
      <c r="AX84" s="92"/>
      <c r="AY84" s="92"/>
      <c r="AZ84" s="92"/>
      <c r="BA84" s="92"/>
      <c r="BB84" s="92"/>
      <c r="BD84" s="45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X84" s="93"/>
      <c r="BY84" s="93"/>
      <c r="BZ84" s="93"/>
      <c r="CA84" s="93"/>
    </row>
    <row r="85" spans="1:90" s="4" customFormat="1" ht="21" customHeight="1" x14ac:dyDescent="0.35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2"/>
      <c r="AV85" s="92"/>
      <c r="AW85" s="92"/>
      <c r="AX85" s="92"/>
      <c r="AY85" s="92"/>
      <c r="AZ85" s="92"/>
      <c r="BA85" s="92"/>
      <c r="BB85" s="92"/>
      <c r="BD85" s="45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X85" s="93"/>
      <c r="BY85" s="93"/>
      <c r="BZ85" s="93"/>
      <c r="CA85" s="93"/>
    </row>
    <row r="86" spans="1:90" s="4" customFormat="1" ht="21" customHeight="1" x14ac:dyDescent="0.35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2"/>
      <c r="AV86" s="92"/>
      <c r="AW86" s="92"/>
      <c r="AX86" s="92"/>
      <c r="AY86" s="92"/>
      <c r="AZ86" s="92"/>
      <c r="BA86" s="92"/>
      <c r="BB86" s="92"/>
      <c r="BD86" s="45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X86" s="93"/>
      <c r="BY86" s="93"/>
      <c r="BZ86" s="93"/>
      <c r="CA86" s="93"/>
    </row>
    <row r="87" spans="1:90" s="4" customFormat="1" ht="21" customHeight="1" x14ac:dyDescent="0.35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2"/>
      <c r="AV87" s="92"/>
      <c r="AW87" s="92"/>
      <c r="AX87" s="92"/>
      <c r="AY87" s="92"/>
      <c r="AZ87" s="92"/>
      <c r="BA87" s="92"/>
      <c r="BB87" s="92"/>
      <c r="BD87" s="45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X87" s="93"/>
      <c r="BY87" s="93"/>
      <c r="BZ87" s="93"/>
      <c r="CA87" s="93"/>
    </row>
    <row r="88" spans="1:90" s="4" customFormat="1" ht="21" customHeight="1" x14ac:dyDescent="0.35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D88" s="45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X88" s="93"/>
      <c r="BY88" s="93"/>
      <c r="BZ88" s="93"/>
      <c r="CA88" s="93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D89" s="45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X89" s="93"/>
      <c r="BY89" s="93"/>
      <c r="BZ89" s="93"/>
      <c r="CA89" s="93"/>
    </row>
    <row r="90" spans="1:90" s="4" customFormat="1" ht="21" customHeight="1" x14ac:dyDescent="0.35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D90" s="45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X90" s="93"/>
      <c r="BY90" s="93"/>
      <c r="BZ90" s="93"/>
      <c r="CA90" s="93"/>
    </row>
    <row r="91" spans="1:90" s="4" customFormat="1" ht="21" customHeight="1" x14ac:dyDescent="0.35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  <c r="BD91" s="45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X91" s="93"/>
      <c r="BY91" s="93"/>
      <c r="BZ91" s="93"/>
      <c r="CA91" s="93"/>
    </row>
    <row r="92" spans="1:90" s="4" customFormat="1" ht="21" customHeight="1" x14ac:dyDescent="0.35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  <c r="BB92" s="92"/>
      <c r="BD92" s="45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X92" s="93"/>
      <c r="BY92" s="93"/>
      <c r="BZ92" s="93"/>
      <c r="CA92" s="93"/>
    </row>
    <row r="93" spans="1:90" s="4" customFormat="1" ht="21" customHeight="1" x14ac:dyDescent="0.35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D93" s="45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X93" s="93"/>
      <c r="BY93" s="93"/>
      <c r="BZ93" s="93"/>
      <c r="CA93" s="93"/>
    </row>
    <row r="94" spans="1:90" s="4" customFormat="1" ht="21" customHeight="1" x14ac:dyDescent="0.4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4"/>
    </row>
    <row r="95" spans="1:90" s="4" customFormat="1" ht="21" customHeight="1" x14ac:dyDescent="0.4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  <c r="BX95" s="94"/>
    </row>
    <row r="96" spans="1:90" s="4" customFormat="1" ht="21" customHeight="1" x14ac:dyDescent="0.4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  <c r="BX96" s="144" t="s">
        <v>87</v>
      </c>
      <c r="BY96" s="144"/>
      <c r="BZ96" s="144"/>
      <c r="CA96" s="144"/>
    </row>
    <row r="97" spans="1:79" s="4" customFormat="1" ht="21" customHeight="1" x14ac:dyDescent="0.4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100" t="s">
        <v>68</v>
      </c>
      <c r="Q97" s="101"/>
      <c r="R97" s="38">
        <v>1</v>
      </c>
      <c r="BX97" s="145"/>
      <c r="BY97" s="145"/>
      <c r="BZ97" s="145"/>
      <c r="CA97" s="145"/>
    </row>
    <row r="98" spans="1:79" s="4" customFormat="1" ht="21" customHeight="1" x14ac:dyDescent="0.4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6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6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D98" s="96" t="s">
        <v>29</v>
      </c>
      <c r="BE98" s="77" t="s">
        <v>66</v>
      </c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X98" s="45" t="s">
        <v>86</v>
      </c>
      <c r="BY98" s="45" t="s">
        <v>83</v>
      </c>
      <c r="BZ98" s="45" t="s">
        <v>84</v>
      </c>
      <c r="CA98" s="45" t="s">
        <v>85</v>
      </c>
    </row>
    <row r="99" spans="1:79" s="4" customFormat="1" ht="21" customHeight="1" x14ac:dyDescent="0.4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7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7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7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79" s="4" customFormat="1" ht="21" customHeight="1" x14ac:dyDescent="0.35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92">
        <v>0.25</v>
      </c>
      <c r="AL100" s="92">
        <v>0.24</v>
      </c>
      <c r="AM100" s="92">
        <v>0.245</v>
      </c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BD100" s="45">
        <v>0.9</v>
      </c>
      <c r="BE100" s="92">
        <v>0.25</v>
      </c>
      <c r="BF100" s="92">
        <v>0.24</v>
      </c>
      <c r="BG100" s="92">
        <v>0.245</v>
      </c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X100" s="93">
        <v>1</v>
      </c>
      <c r="BY100" s="93">
        <v>0</v>
      </c>
      <c r="BZ100" s="93">
        <v>0</v>
      </c>
      <c r="CA100" s="93">
        <v>0</v>
      </c>
    </row>
    <row r="101" spans="1:79" s="4" customFormat="1" ht="21" customHeight="1" x14ac:dyDescent="0.35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92">
        <v>0.22</v>
      </c>
      <c r="AL101" s="92">
        <v>0.2</v>
      </c>
      <c r="AM101" s="92">
        <v>0.19</v>
      </c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D101" s="45">
        <v>1</v>
      </c>
      <c r="BE101" s="92">
        <v>0.22</v>
      </c>
      <c r="BF101" s="92">
        <v>0.2</v>
      </c>
      <c r="BG101" s="92">
        <v>0.19</v>
      </c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X101" s="93">
        <v>2</v>
      </c>
      <c r="BY101" s="93">
        <v>0</v>
      </c>
      <c r="BZ101" s="93">
        <v>0</v>
      </c>
      <c r="CA101" s="93">
        <v>0</v>
      </c>
    </row>
    <row r="102" spans="1:79" s="4" customFormat="1" ht="21" customHeight="1" x14ac:dyDescent="0.35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92">
        <v>0.2</v>
      </c>
      <c r="AL102" s="92">
        <v>0.19</v>
      </c>
      <c r="AM102" s="92">
        <v>0.19500000000000001</v>
      </c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D102" s="45">
        <v>1.1000000000000001</v>
      </c>
      <c r="BE102" s="92">
        <v>0.2</v>
      </c>
      <c r="BF102" s="92">
        <v>0.19</v>
      </c>
      <c r="BG102" s="92">
        <v>0.19500000000000001</v>
      </c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X102" s="93">
        <v>3</v>
      </c>
      <c r="BY102" s="93">
        <v>0</v>
      </c>
      <c r="BZ102" s="93">
        <v>0</v>
      </c>
      <c r="CA102" s="93">
        <v>0</v>
      </c>
    </row>
    <row r="103" spans="1:79" s="4" customFormat="1" ht="21" customHeight="1" x14ac:dyDescent="0.35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P103" s="45">
        <v>1.2</v>
      </c>
      <c r="Q103" s="46">
        <v>0.2</v>
      </c>
      <c r="R103" s="46">
        <v>0.18</v>
      </c>
      <c r="S103" s="46">
        <v>0.19500000000000001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92">
        <v>0.2</v>
      </c>
      <c r="AL103" s="92">
        <v>0.18</v>
      </c>
      <c r="AM103" s="92">
        <v>0.19500000000000001</v>
      </c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  <c r="BD103" s="45">
        <v>1.2</v>
      </c>
      <c r="BE103" s="92">
        <v>0.2</v>
      </c>
      <c r="BF103" s="92">
        <v>0.18</v>
      </c>
      <c r="BG103" s="92">
        <v>0.19500000000000001</v>
      </c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X103" s="93"/>
      <c r="BY103" s="93"/>
      <c r="BZ103" s="93"/>
      <c r="CA103" s="93"/>
    </row>
    <row r="104" spans="1:79" s="4" customFormat="1" ht="21" customHeight="1" x14ac:dyDescent="0.35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BD104" s="45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X104" s="93"/>
      <c r="BY104" s="93"/>
      <c r="BZ104" s="93"/>
      <c r="CA104" s="93"/>
    </row>
    <row r="105" spans="1:79" s="4" customFormat="1" ht="21" customHeight="1" x14ac:dyDescent="0.35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D105" s="45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X105" s="93"/>
      <c r="BY105" s="93"/>
      <c r="BZ105" s="93"/>
      <c r="CA105" s="93"/>
    </row>
    <row r="106" spans="1:79" s="4" customFormat="1" ht="21" customHeight="1" x14ac:dyDescent="0.35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BD106" s="45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X106" s="93"/>
      <c r="BY106" s="93"/>
      <c r="BZ106" s="93"/>
      <c r="CA106" s="93"/>
    </row>
    <row r="107" spans="1:79" s="4" customFormat="1" ht="21" customHeight="1" x14ac:dyDescent="0.35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D107" s="45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X107" s="93"/>
      <c r="BY107" s="93"/>
      <c r="BZ107" s="93"/>
      <c r="CA107" s="93"/>
    </row>
    <row r="108" spans="1:79" s="4" customFormat="1" ht="21" customHeight="1" x14ac:dyDescent="0.35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D108" s="45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X108" s="93"/>
      <c r="BY108" s="93"/>
      <c r="BZ108" s="93"/>
      <c r="CA108" s="93"/>
    </row>
    <row r="109" spans="1:79" s="4" customFormat="1" ht="21" customHeight="1" x14ac:dyDescent="0.35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BD109" s="45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X109" s="93"/>
      <c r="BY109" s="93"/>
      <c r="BZ109" s="93"/>
      <c r="CA109" s="93"/>
    </row>
    <row r="110" spans="1:79" s="4" customFormat="1" ht="21" customHeight="1" x14ac:dyDescent="0.35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BD110" s="45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X110" s="93"/>
      <c r="BY110" s="93"/>
      <c r="BZ110" s="93"/>
      <c r="CA110" s="93"/>
    </row>
    <row r="111" spans="1:79" s="4" customFormat="1" ht="21" customHeight="1" x14ac:dyDescent="0.35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D111" s="45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X111" s="93"/>
      <c r="BY111" s="93"/>
      <c r="BZ111" s="93"/>
      <c r="CA111" s="93"/>
    </row>
    <row r="112" spans="1:79" s="4" customFormat="1" ht="21" customHeight="1" x14ac:dyDescent="0.35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BD112" s="45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X112" s="93"/>
      <c r="BY112" s="93"/>
      <c r="BZ112" s="93"/>
      <c r="CA112" s="93"/>
    </row>
    <row r="113" spans="1:79" s="4" customFormat="1" ht="21" customHeight="1" x14ac:dyDescent="0.35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  <c r="BB113" s="92"/>
      <c r="BD113" s="45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X113" s="93"/>
      <c r="BY113" s="93"/>
      <c r="BZ113" s="93"/>
      <c r="CA113" s="93"/>
    </row>
    <row r="114" spans="1:79" s="4" customFormat="1" ht="21" customHeight="1" x14ac:dyDescent="0.35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D114" s="45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X114" s="93"/>
      <c r="BY114" s="93"/>
      <c r="BZ114" s="93"/>
      <c r="CA114" s="93"/>
    </row>
    <row r="115" spans="1:79" s="4" customFormat="1" ht="21" customHeight="1" x14ac:dyDescent="0.35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BD115" s="45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X115" s="93"/>
      <c r="BY115" s="93"/>
      <c r="BZ115" s="93"/>
      <c r="CA115" s="93"/>
    </row>
    <row r="116" spans="1:79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BD116" s="45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X116" s="93"/>
      <c r="BY116" s="93"/>
      <c r="BZ116" s="93"/>
      <c r="CA116" s="93"/>
    </row>
    <row r="117" spans="1:79" ht="21" customHeight="1" x14ac:dyDescent="0.35">
      <c r="A117" s="103" t="s">
        <v>38</v>
      </c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D117" s="45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X117" s="93"/>
      <c r="BY117" s="93"/>
      <c r="BZ117" s="93"/>
      <c r="CA117" s="93"/>
    </row>
    <row r="118" spans="1:79" ht="21" customHeight="1" x14ac:dyDescent="0.35">
      <c r="A118" s="103"/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D118" s="45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X118" s="93"/>
      <c r="BY118" s="93"/>
      <c r="BZ118" s="93"/>
      <c r="CA118" s="93"/>
    </row>
    <row r="119" spans="1:79" ht="21" customHeight="1" x14ac:dyDescent="0.35">
      <c r="A119" s="98" t="s">
        <v>8</v>
      </c>
      <c r="B119" s="98"/>
      <c r="C119" s="98" t="s">
        <v>26</v>
      </c>
      <c r="D119" s="98"/>
      <c r="E119" s="98" t="s">
        <v>27</v>
      </c>
      <c r="F119" s="98"/>
      <c r="G119" s="98" t="s">
        <v>48</v>
      </c>
      <c r="H119" s="98"/>
      <c r="I119" s="98" t="s">
        <v>49</v>
      </c>
      <c r="J119" s="98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D119" s="45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X119" s="93"/>
      <c r="BY119" s="93"/>
      <c r="BZ119" s="93"/>
      <c r="CA119" s="93"/>
    </row>
    <row r="120" spans="1:79" ht="21" customHeight="1" x14ac:dyDescent="0.35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BD120" s="45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X120" s="93"/>
      <c r="BY120" s="93"/>
      <c r="BZ120" s="93"/>
      <c r="CA120" s="93"/>
    </row>
    <row r="121" spans="1:79" ht="21" customHeight="1" x14ac:dyDescent="0.35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BD121" s="45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X121" s="93"/>
      <c r="BY121" s="93"/>
      <c r="BZ121" s="93"/>
      <c r="CA121" s="93"/>
    </row>
    <row r="122" spans="1:79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  <c r="BB122" s="92"/>
      <c r="BD122" s="45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X122" s="93"/>
      <c r="BY122" s="93"/>
      <c r="BZ122" s="93"/>
      <c r="CA122" s="93"/>
    </row>
    <row r="123" spans="1:79" ht="21" customHeight="1" x14ac:dyDescent="0.35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BD123" s="45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X123" s="93"/>
      <c r="BY123" s="93"/>
      <c r="BZ123" s="93"/>
      <c r="CA123" s="93"/>
    </row>
    <row r="124" spans="1:79" ht="21" customHeight="1" x14ac:dyDescent="0.35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4"/>
    </row>
    <row r="125" spans="1:79" ht="21" customHeight="1" x14ac:dyDescent="0.35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4"/>
    </row>
    <row r="126" spans="1:79" ht="21" customHeight="1" x14ac:dyDescent="0.35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4" t="s">
        <v>87</v>
      </c>
      <c r="BY126" s="144"/>
      <c r="BZ126" s="144"/>
      <c r="CA126" s="144"/>
    </row>
    <row r="127" spans="1:79" ht="21" customHeight="1" x14ac:dyDescent="0.35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100" t="s">
        <v>68</v>
      </c>
      <c r="Q127" s="101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5"/>
      <c r="BY127" s="145"/>
      <c r="BZ127" s="145"/>
      <c r="CA127" s="145"/>
    </row>
    <row r="128" spans="1:79" ht="21" customHeight="1" x14ac:dyDescent="0.35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6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6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D128" s="96" t="s">
        <v>29</v>
      </c>
      <c r="BE128" s="77" t="s">
        <v>66</v>
      </c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X128" s="45" t="s">
        <v>86</v>
      </c>
      <c r="BY128" s="45" t="s">
        <v>83</v>
      </c>
      <c r="BZ128" s="45" t="s">
        <v>84</v>
      </c>
      <c r="CA128" s="45" t="s">
        <v>85</v>
      </c>
    </row>
    <row r="129" spans="1:79" ht="21" customHeight="1" x14ac:dyDescent="0.35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7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7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7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79" ht="21" customHeight="1" x14ac:dyDescent="0.35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92">
        <v>0.2</v>
      </c>
      <c r="AL130" s="92">
        <v>0.2</v>
      </c>
      <c r="AM130" s="92">
        <v>0.2</v>
      </c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  <c r="BB130" s="92"/>
      <c r="BD130" s="45">
        <v>0.9</v>
      </c>
      <c r="BE130" s="92">
        <v>0.2</v>
      </c>
      <c r="BF130" s="92">
        <v>0.2</v>
      </c>
      <c r="BG130" s="92">
        <v>0.2</v>
      </c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X130" s="93">
        <v>0.5</v>
      </c>
      <c r="BY130" s="93">
        <v>0</v>
      </c>
      <c r="BZ130" s="93">
        <v>0</v>
      </c>
      <c r="CA130" s="93">
        <v>0</v>
      </c>
    </row>
    <row r="131" spans="1:79" ht="21" customHeight="1" x14ac:dyDescent="0.35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92">
        <v>0.2</v>
      </c>
      <c r="AL131" s="92">
        <v>0.2</v>
      </c>
      <c r="AM131" s="92">
        <v>0.2</v>
      </c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D131" s="45">
        <v>1</v>
      </c>
      <c r="BE131" s="92">
        <v>0.2</v>
      </c>
      <c r="BF131" s="92">
        <v>0.2</v>
      </c>
      <c r="BG131" s="92">
        <v>0.2</v>
      </c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X131" s="93">
        <v>1</v>
      </c>
      <c r="BY131" s="93">
        <v>0</v>
      </c>
      <c r="BZ131" s="93">
        <v>0</v>
      </c>
      <c r="CA131" s="93">
        <v>0</v>
      </c>
    </row>
    <row r="132" spans="1:79" ht="21" customHeight="1" x14ac:dyDescent="0.35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92">
        <v>0.2</v>
      </c>
      <c r="AL132" s="92">
        <v>0.2</v>
      </c>
      <c r="AM132" s="92">
        <v>0.2</v>
      </c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D132" s="45">
        <v>1.1000000000000001</v>
      </c>
      <c r="BE132" s="92">
        <v>0.2</v>
      </c>
      <c r="BF132" s="92">
        <v>0.2</v>
      </c>
      <c r="BG132" s="92">
        <v>0.2</v>
      </c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X132" s="93">
        <v>1.5</v>
      </c>
      <c r="BY132" s="93">
        <v>0</v>
      </c>
      <c r="BZ132" s="93">
        <v>0</v>
      </c>
      <c r="CA132" s="93">
        <v>0</v>
      </c>
    </row>
    <row r="133" spans="1:79" ht="21" customHeight="1" x14ac:dyDescent="0.35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D133" s="45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X133" s="93"/>
      <c r="BY133" s="93"/>
      <c r="BZ133" s="93"/>
      <c r="CA133" s="93"/>
    </row>
    <row r="134" spans="1:79" ht="21" customHeight="1" x14ac:dyDescent="0.35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BD134" s="45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X134" s="93"/>
      <c r="BY134" s="93"/>
      <c r="BZ134" s="93"/>
      <c r="CA134" s="93"/>
    </row>
    <row r="135" spans="1:79" ht="21" customHeight="1" x14ac:dyDescent="0.35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BD135" s="45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X135" s="93"/>
      <c r="BY135" s="93"/>
      <c r="BZ135" s="93"/>
      <c r="CA135" s="93"/>
    </row>
    <row r="136" spans="1:79" ht="21" customHeight="1" x14ac:dyDescent="0.35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  <c r="BB136" s="92"/>
      <c r="BD136" s="45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X136" s="93"/>
      <c r="BY136" s="93"/>
      <c r="BZ136" s="93"/>
      <c r="CA136" s="93"/>
    </row>
    <row r="137" spans="1:79" ht="21" customHeight="1" x14ac:dyDescent="0.35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BD137" s="45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X137" s="93"/>
      <c r="BY137" s="93"/>
      <c r="BZ137" s="93"/>
      <c r="CA137" s="93"/>
    </row>
    <row r="138" spans="1:79" ht="21" customHeight="1" x14ac:dyDescent="0.35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D138" s="45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X138" s="93"/>
      <c r="BY138" s="93"/>
      <c r="BZ138" s="93"/>
      <c r="CA138" s="93"/>
    </row>
    <row r="139" spans="1:79" ht="21" customHeight="1" x14ac:dyDescent="0.35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  <c r="BB139" s="92"/>
      <c r="BD139" s="45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X139" s="93"/>
      <c r="BY139" s="93"/>
      <c r="BZ139" s="93"/>
      <c r="CA139" s="93"/>
    </row>
    <row r="140" spans="1:79" ht="21" customHeight="1" x14ac:dyDescent="0.35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BD140" s="45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X140" s="93"/>
      <c r="BY140" s="93"/>
      <c r="BZ140" s="93"/>
      <c r="CA140" s="93"/>
    </row>
    <row r="141" spans="1:79" ht="21" customHeight="1" x14ac:dyDescent="0.35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D141" s="45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X141" s="93"/>
      <c r="BY141" s="93"/>
      <c r="BZ141" s="93"/>
      <c r="CA141" s="93"/>
    </row>
    <row r="142" spans="1:79" ht="21" customHeight="1" x14ac:dyDescent="0.35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  <c r="BB142" s="92"/>
      <c r="BD142" s="45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X142" s="93"/>
      <c r="BY142" s="93"/>
      <c r="BZ142" s="93"/>
      <c r="CA142" s="93"/>
    </row>
    <row r="143" spans="1:79" ht="21" customHeight="1" x14ac:dyDescent="0.35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  <c r="BB143" s="92"/>
      <c r="BD143" s="45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X143" s="93"/>
      <c r="BY143" s="93"/>
      <c r="BZ143" s="93"/>
      <c r="CA143" s="93"/>
    </row>
    <row r="144" spans="1:79" ht="21" customHeight="1" x14ac:dyDescent="0.35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BD144" s="45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X144" s="93"/>
      <c r="BY144" s="93"/>
      <c r="BZ144" s="93"/>
      <c r="CA144" s="93"/>
    </row>
    <row r="145" spans="1:79" ht="21" customHeight="1" x14ac:dyDescent="0.35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  <c r="BB145" s="92"/>
      <c r="BD145" s="45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X145" s="93"/>
      <c r="BY145" s="93"/>
      <c r="BZ145" s="93"/>
      <c r="CA145" s="93"/>
    </row>
    <row r="146" spans="1:79" ht="21" customHeight="1" x14ac:dyDescent="0.35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  <c r="BB146" s="92"/>
      <c r="BD146" s="45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X146" s="93"/>
      <c r="BY146" s="93"/>
      <c r="BZ146" s="93"/>
      <c r="CA146" s="93"/>
    </row>
    <row r="147" spans="1:79" ht="21" customHeight="1" x14ac:dyDescent="0.35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D147" s="45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X147" s="93"/>
      <c r="BY147" s="93"/>
      <c r="BZ147" s="93"/>
      <c r="CA147" s="93"/>
    </row>
    <row r="148" spans="1:79" ht="21" customHeight="1" x14ac:dyDescent="0.35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BD148" s="45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X148" s="93"/>
      <c r="BY148" s="93"/>
      <c r="BZ148" s="93"/>
      <c r="CA148" s="93"/>
    </row>
    <row r="149" spans="1:79" ht="21" customHeight="1" x14ac:dyDescent="0.35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  <c r="BB149" s="92"/>
      <c r="BD149" s="45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X149" s="93"/>
      <c r="BY149" s="93"/>
      <c r="BZ149" s="93"/>
      <c r="CA149" s="93"/>
    </row>
    <row r="150" spans="1:79" ht="21" customHeight="1" x14ac:dyDescent="0.35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D150" s="45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X150" s="93"/>
      <c r="BY150" s="93"/>
      <c r="BZ150" s="93"/>
      <c r="CA150" s="93"/>
    </row>
    <row r="151" spans="1:79" ht="21" customHeight="1" x14ac:dyDescent="0.35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  <c r="BB151" s="92"/>
      <c r="BD151" s="45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X151" s="93"/>
      <c r="BY151" s="93"/>
      <c r="BZ151" s="93"/>
      <c r="CA151" s="93"/>
    </row>
    <row r="152" spans="1:79" ht="21" customHeight="1" x14ac:dyDescent="0.35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  <c r="BB152" s="92"/>
      <c r="BD152" s="45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X152" s="93"/>
      <c r="BY152" s="93"/>
      <c r="BZ152" s="93"/>
      <c r="CA152" s="93"/>
    </row>
    <row r="153" spans="1:79" ht="21" customHeight="1" x14ac:dyDescent="0.35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BD153" s="45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X153" s="93"/>
      <c r="BY153" s="93"/>
      <c r="BZ153" s="93"/>
      <c r="CA153" s="93"/>
    </row>
    <row r="154" spans="1:79" ht="21" customHeight="1" x14ac:dyDescent="0.4">
      <c r="A154" s="51"/>
      <c r="B154" s="52"/>
      <c r="C154" s="51"/>
      <c r="D154" s="52"/>
      <c r="E154" s="51"/>
      <c r="F154" s="52"/>
      <c r="G154" s="51"/>
      <c r="H154" s="52"/>
      <c r="I154" s="51"/>
      <c r="J154" s="52"/>
      <c r="BX154" s="94"/>
    </row>
    <row r="155" spans="1:79" ht="21" customHeight="1" x14ac:dyDescent="0.4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4"/>
    </row>
    <row r="156" spans="1:79" ht="21" customHeight="1" x14ac:dyDescent="0.4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4" t="s">
        <v>87</v>
      </c>
      <c r="BY156" s="144"/>
      <c r="BZ156" s="144"/>
      <c r="CA156" s="144"/>
    </row>
    <row r="157" spans="1:79" ht="21" customHeight="1" x14ac:dyDescent="0.4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100" t="s">
        <v>68</v>
      </c>
      <c r="Q157" s="101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5"/>
      <c r="BY157" s="145"/>
      <c r="BZ157" s="145"/>
      <c r="CA157" s="145"/>
    </row>
    <row r="158" spans="1:79" ht="21" customHeight="1" x14ac:dyDescent="0.4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6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6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D158" s="96" t="s">
        <v>29</v>
      </c>
      <c r="BE158" s="77" t="s">
        <v>66</v>
      </c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7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7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7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W160" s="92"/>
      <c r="AX160" s="92"/>
      <c r="AY160" s="92"/>
      <c r="AZ160" s="92"/>
      <c r="BA160" s="92"/>
      <c r="BB160" s="92"/>
      <c r="BD160" s="45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X160" s="93"/>
      <c r="BY160" s="93"/>
      <c r="BZ160" s="93"/>
      <c r="CA160" s="93"/>
    </row>
    <row r="161" spans="1:79" ht="21" customHeight="1" x14ac:dyDescent="0.35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D161" s="45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X161" s="93"/>
      <c r="BY161" s="93"/>
      <c r="BZ161" s="93"/>
      <c r="CA161" s="93"/>
    </row>
    <row r="162" spans="1:79" ht="21" customHeight="1" x14ac:dyDescent="0.35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D162" s="45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X162" s="93"/>
      <c r="BY162" s="93"/>
      <c r="BZ162" s="93"/>
      <c r="CA162" s="93"/>
    </row>
    <row r="163" spans="1:79" ht="21" customHeight="1" x14ac:dyDescent="0.35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W163" s="92"/>
      <c r="AX163" s="92"/>
      <c r="AY163" s="92"/>
      <c r="AZ163" s="92"/>
      <c r="BA163" s="92"/>
      <c r="BB163" s="92"/>
      <c r="BD163" s="45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X163" s="93"/>
      <c r="BY163" s="93"/>
      <c r="BZ163" s="93"/>
      <c r="CA163" s="93"/>
    </row>
    <row r="164" spans="1:79" ht="21" customHeight="1" x14ac:dyDescent="0.35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W164" s="92"/>
      <c r="AX164" s="92"/>
      <c r="AY164" s="92"/>
      <c r="AZ164" s="92"/>
      <c r="BA164" s="92"/>
      <c r="BB164" s="92"/>
      <c r="BD164" s="45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X164" s="93"/>
      <c r="BY164" s="93"/>
      <c r="BZ164" s="93"/>
      <c r="CA164" s="93"/>
    </row>
    <row r="165" spans="1:79" ht="21" customHeight="1" x14ac:dyDescent="0.35">
      <c r="A165" s="103" t="s">
        <v>40</v>
      </c>
      <c r="B165" s="103"/>
      <c r="C165" s="103"/>
      <c r="D165" s="103"/>
      <c r="E165" s="103"/>
      <c r="F165" s="103"/>
      <c r="G165" s="103"/>
      <c r="H165" s="103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  <c r="BB165" s="92"/>
      <c r="BD165" s="45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X165" s="93"/>
      <c r="BY165" s="93"/>
      <c r="BZ165" s="93"/>
      <c r="CA165" s="93"/>
    </row>
    <row r="166" spans="1:79" ht="21" customHeight="1" x14ac:dyDescent="0.35">
      <c r="A166" s="103"/>
      <c r="B166" s="103"/>
      <c r="C166" s="103"/>
      <c r="D166" s="103"/>
      <c r="E166" s="103"/>
      <c r="F166" s="103"/>
      <c r="G166" s="103"/>
      <c r="H166" s="103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W166" s="92"/>
      <c r="AX166" s="92"/>
      <c r="AY166" s="92"/>
      <c r="AZ166" s="92"/>
      <c r="BA166" s="92"/>
      <c r="BB166" s="92"/>
      <c r="BD166" s="45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X166" s="93"/>
      <c r="BY166" s="93"/>
      <c r="BZ166" s="93"/>
      <c r="CA166" s="93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W167" s="92"/>
      <c r="AX167" s="92"/>
      <c r="AY167" s="92"/>
      <c r="AZ167" s="92"/>
      <c r="BA167" s="92"/>
      <c r="BB167" s="92"/>
      <c r="BD167" s="45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X167" s="93"/>
      <c r="BY167" s="93"/>
      <c r="BZ167" s="93"/>
      <c r="CA167" s="93"/>
    </row>
    <row r="168" spans="1:79" ht="21" customHeight="1" x14ac:dyDescent="0.35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  <c r="BB168" s="92"/>
      <c r="BD168" s="45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X168" s="93"/>
      <c r="BY168" s="93"/>
      <c r="BZ168" s="93"/>
      <c r="CA168" s="93"/>
    </row>
    <row r="169" spans="1:79" ht="21" customHeight="1" x14ac:dyDescent="0.35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  <c r="BB169" s="92"/>
      <c r="BD169" s="45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X169" s="93"/>
      <c r="BY169" s="93"/>
      <c r="BZ169" s="93"/>
      <c r="CA169" s="93"/>
    </row>
    <row r="170" spans="1:79" ht="21" customHeight="1" x14ac:dyDescent="0.35">
      <c r="A170" s="104"/>
      <c r="B170" s="104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  <c r="BB170" s="92"/>
      <c r="BD170" s="45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X170" s="93"/>
      <c r="BY170" s="93"/>
      <c r="BZ170" s="93"/>
      <c r="CA170" s="93"/>
    </row>
    <row r="171" spans="1:79" ht="21" customHeight="1" x14ac:dyDescent="0.35">
      <c r="A171" s="98" t="s">
        <v>8</v>
      </c>
      <c r="B171" s="98"/>
      <c r="C171" s="98" t="s">
        <v>26</v>
      </c>
      <c r="D171" s="98"/>
      <c r="E171" s="98" t="s">
        <v>27</v>
      </c>
      <c r="F171" s="98"/>
      <c r="G171" s="98" t="s">
        <v>48</v>
      </c>
      <c r="H171" s="98"/>
      <c r="I171" s="98" t="s">
        <v>49</v>
      </c>
      <c r="J171" s="98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  <c r="BB171" s="92"/>
      <c r="BD171" s="45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X171" s="93"/>
      <c r="BY171" s="93"/>
      <c r="BZ171" s="93"/>
      <c r="CA171" s="93"/>
    </row>
    <row r="172" spans="1:79" ht="21" customHeight="1" x14ac:dyDescent="0.35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W172" s="92"/>
      <c r="AX172" s="92"/>
      <c r="AY172" s="92"/>
      <c r="AZ172" s="92"/>
      <c r="BA172" s="92"/>
      <c r="BB172" s="92"/>
      <c r="BD172" s="45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X172" s="93"/>
      <c r="BY172" s="93"/>
      <c r="BZ172" s="93"/>
      <c r="CA172" s="93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W173" s="92"/>
      <c r="AX173" s="92"/>
      <c r="AY173" s="92"/>
      <c r="AZ173" s="92"/>
      <c r="BA173" s="92"/>
      <c r="BB173" s="92"/>
      <c r="BD173" s="45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X173" s="93"/>
      <c r="BY173" s="93"/>
      <c r="BZ173" s="93"/>
      <c r="CA173" s="93"/>
    </row>
    <row r="174" spans="1:79" ht="21" customHeight="1" x14ac:dyDescent="0.35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D174" s="45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X174" s="93"/>
      <c r="BY174" s="93"/>
      <c r="BZ174" s="93"/>
      <c r="CA174" s="93"/>
    </row>
    <row r="175" spans="1:79" ht="21" customHeight="1" x14ac:dyDescent="0.35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D175" s="45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X175" s="93"/>
      <c r="BY175" s="93"/>
      <c r="BZ175" s="93"/>
      <c r="CA175" s="93"/>
    </row>
    <row r="176" spans="1:79" ht="21" customHeight="1" x14ac:dyDescent="0.35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W176" s="92"/>
      <c r="AX176" s="92"/>
      <c r="AY176" s="92"/>
      <c r="AZ176" s="92"/>
      <c r="BA176" s="92"/>
      <c r="BB176" s="92"/>
      <c r="BD176" s="45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X176" s="93"/>
      <c r="BY176" s="93"/>
      <c r="BZ176" s="93"/>
      <c r="CA176" s="93"/>
    </row>
    <row r="177" spans="1:79" ht="21" customHeight="1" x14ac:dyDescent="0.35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D177" s="45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X177" s="93"/>
      <c r="BY177" s="93"/>
      <c r="BZ177" s="93"/>
      <c r="CA177" s="93"/>
    </row>
    <row r="178" spans="1:79" ht="21" customHeight="1" x14ac:dyDescent="0.35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W178" s="92"/>
      <c r="AX178" s="92"/>
      <c r="AY178" s="92"/>
      <c r="AZ178" s="92"/>
      <c r="BA178" s="92"/>
      <c r="BB178" s="92"/>
      <c r="BD178" s="45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X178" s="93"/>
      <c r="BY178" s="93"/>
      <c r="BZ178" s="93"/>
      <c r="CA178" s="93"/>
    </row>
    <row r="179" spans="1:79" ht="21" customHeight="1" x14ac:dyDescent="0.35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W179" s="92"/>
      <c r="AX179" s="92"/>
      <c r="AY179" s="92"/>
      <c r="AZ179" s="92"/>
      <c r="BA179" s="92"/>
      <c r="BB179" s="92"/>
      <c r="BD179" s="45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X179" s="93"/>
      <c r="BY179" s="93"/>
      <c r="BZ179" s="93"/>
      <c r="CA179" s="93"/>
    </row>
    <row r="180" spans="1:79" ht="21" customHeight="1" x14ac:dyDescent="0.35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D180" s="45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X180" s="93"/>
      <c r="BY180" s="93"/>
      <c r="BZ180" s="93"/>
      <c r="CA180" s="93"/>
    </row>
    <row r="181" spans="1:79" ht="21" customHeight="1" x14ac:dyDescent="0.35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W181" s="92"/>
      <c r="AX181" s="92"/>
      <c r="AY181" s="92"/>
      <c r="AZ181" s="92"/>
      <c r="BA181" s="92"/>
      <c r="BB181" s="92"/>
      <c r="BD181" s="45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X181" s="93"/>
      <c r="BY181" s="93"/>
      <c r="BZ181" s="93"/>
      <c r="CA181" s="93"/>
    </row>
    <row r="182" spans="1:79" ht="21" customHeight="1" x14ac:dyDescent="0.35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W182" s="92"/>
      <c r="AX182" s="92"/>
      <c r="AY182" s="92"/>
      <c r="AZ182" s="92"/>
      <c r="BA182" s="92"/>
      <c r="BB182" s="92"/>
      <c r="BD182" s="45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X182" s="93"/>
      <c r="BY182" s="93"/>
      <c r="BZ182" s="93"/>
      <c r="CA182" s="93"/>
    </row>
    <row r="183" spans="1:79" ht="21" customHeight="1" x14ac:dyDescent="0.35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W183" s="92"/>
      <c r="AX183" s="92"/>
      <c r="AY183" s="92"/>
      <c r="AZ183" s="92"/>
      <c r="BA183" s="92"/>
      <c r="BB183" s="92"/>
      <c r="BD183" s="45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X183" s="93"/>
      <c r="BY183" s="93"/>
      <c r="BZ183" s="93"/>
      <c r="CA183" s="93"/>
    </row>
    <row r="184" spans="1:79" ht="21" customHeight="1" x14ac:dyDescent="0.35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79" ht="21" customHeight="1" x14ac:dyDescent="0.4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4" t="s">
        <v>87</v>
      </c>
      <c r="BY186" s="144"/>
      <c r="BZ186" s="144"/>
      <c r="CA186" s="144"/>
    </row>
    <row r="187" spans="1:79" ht="21" customHeight="1" x14ac:dyDescent="0.4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100" t="s">
        <v>68</v>
      </c>
      <c r="Q187" s="101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5"/>
      <c r="BY187" s="145"/>
      <c r="BZ187" s="145"/>
      <c r="CA187" s="145"/>
    </row>
    <row r="188" spans="1:79" ht="21" customHeight="1" x14ac:dyDescent="0.4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6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6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D188" s="96" t="s">
        <v>29</v>
      </c>
      <c r="BE188" s="77" t="s">
        <v>66</v>
      </c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7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7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7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W190" s="92"/>
      <c r="AX190" s="92"/>
      <c r="AY190" s="92"/>
      <c r="AZ190" s="92"/>
      <c r="BA190" s="92"/>
      <c r="BB190" s="92"/>
      <c r="BD190" s="45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X190" s="93"/>
      <c r="BY190" s="93"/>
      <c r="BZ190" s="93"/>
      <c r="CA190" s="93"/>
    </row>
    <row r="191" spans="1:79" ht="21" customHeight="1" x14ac:dyDescent="0.35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W191" s="92"/>
      <c r="AX191" s="92"/>
      <c r="AY191" s="92"/>
      <c r="AZ191" s="92"/>
      <c r="BA191" s="92"/>
      <c r="BB191" s="92"/>
      <c r="BD191" s="45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X191" s="93"/>
      <c r="BY191" s="93"/>
      <c r="BZ191" s="93"/>
      <c r="CA191" s="93"/>
    </row>
    <row r="192" spans="1:79" ht="21" customHeight="1" x14ac:dyDescent="0.35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W192" s="92"/>
      <c r="AX192" s="92"/>
      <c r="AY192" s="92"/>
      <c r="AZ192" s="92"/>
      <c r="BA192" s="92"/>
      <c r="BB192" s="92"/>
      <c r="BD192" s="45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X192" s="93"/>
      <c r="BY192" s="93"/>
      <c r="BZ192" s="93"/>
      <c r="CA192" s="93"/>
    </row>
    <row r="193" spans="1:79" ht="21" customHeight="1" x14ac:dyDescent="0.35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/>
      <c r="BA193" s="92"/>
      <c r="BB193" s="92"/>
      <c r="BD193" s="45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X193" s="93"/>
      <c r="BY193" s="93"/>
      <c r="BZ193" s="93"/>
      <c r="CA193" s="93"/>
    </row>
    <row r="194" spans="1:79" ht="21" customHeight="1" x14ac:dyDescent="0.35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W194" s="92"/>
      <c r="AX194" s="92"/>
      <c r="AY194" s="92"/>
      <c r="AZ194" s="92"/>
      <c r="BA194" s="92"/>
      <c r="BB194" s="92"/>
      <c r="BD194" s="45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X194" s="93"/>
      <c r="BY194" s="93"/>
      <c r="BZ194" s="93"/>
      <c r="CA194" s="93"/>
    </row>
    <row r="195" spans="1:79" ht="21" customHeight="1" x14ac:dyDescent="0.35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W195" s="92"/>
      <c r="AX195" s="92"/>
      <c r="AY195" s="92"/>
      <c r="AZ195" s="92"/>
      <c r="BA195" s="92"/>
      <c r="BB195" s="92"/>
      <c r="BD195" s="45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X195" s="93"/>
      <c r="BY195" s="93"/>
      <c r="BZ195" s="93"/>
      <c r="CA195" s="93"/>
    </row>
    <row r="196" spans="1:79" ht="21" customHeight="1" x14ac:dyDescent="0.35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W196" s="92"/>
      <c r="AX196" s="92"/>
      <c r="AY196" s="92"/>
      <c r="AZ196" s="92"/>
      <c r="BA196" s="92"/>
      <c r="BB196" s="92"/>
      <c r="BD196" s="45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X196" s="93"/>
      <c r="BY196" s="93"/>
      <c r="BZ196" s="93"/>
      <c r="CA196" s="93"/>
    </row>
    <row r="197" spans="1:79" ht="21" customHeight="1" x14ac:dyDescent="0.35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W197" s="92"/>
      <c r="AX197" s="92"/>
      <c r="AY197" s="92"/>
      <c r="AZ197" s="92"/>
      <c r="BA197" s="92"/>
      <c r="BB197" s="92"/>
      <c r="BD197" s="45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X197" s="93"/>
      <c r="BY197" s="93"/>
      <c r="BZ197" s="93"/>
      <c r="CA197" s="93"/>
    </row>
    <row r="198" spans="1:79" ht="21" customHeight="1" x14ac:dyDescent="0.35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W198" s="92"/>
      <c r="AX198" s="92"/>
      <c r="AY198" s="92"/>
      <c r="AZ198" s="92"/>
      <c r="BA198" s="92"/>
      <c r="BB198" s="92"/>
      <c r="BD198" s="45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X198" s="93"/>
      <c r="BY198" s="93"/>
      <c r="BZ198" s="93"/>
      <c r="CA198" s="93"/>
    </row>
    <row r="199" spans="1:79" ht="21" customHeight="1" x14ac:dyDescent="0.35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W199" s="92"/>
      <c r="AX199" s="92"/>
      <c r="AY199" s="92"/>
      <c r="AZ199" s="92"/>
      <c r="BA199" s="92"/>
      <c r="BB199" s="92"/>
      <c r="BD199" s="45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X199" s="93"/>
      <c r="BY199" s="93"/>
      <c r="BZ199" s="93"/>
      <c r="CA199" s="93"/>
    </row>
    <row r="200" spans="1:79" ht="21" customHeight="1" x14ac:dyDescent="0.35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W200" s="92"/>
      <c r="AX200" s="92"/>
      <c r="AY200" s="92"/>
      <c r="AZ200" s="92"/>
      <c r="BA200" s="92"/>
      <c r="BB200" s="92"/>
      <c r="BD200" s="45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X200" s="93"/>
      <c r="BY200" s="93"/>
      <c r="BZ200" s="93"/>
      <c r="CA200" s="93"/>
    </row>
    <row r="201" spans="1:79" ht="21" customHeight="1" x14ac:dyDescent="0.35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D201" s="45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X201" s="93"/>
      <c r="BY201" s="93"/>
      <c r="BZ201" s="93"/>
      <c r="CA201" s="93"/>
    </row>
    <row r="202" spans="1:79" ht="21" customHeight="1" x14ac:dyDescent="0.35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W202" s="92"/>
      <c r="AX202" s="92"/>
      <c r="AY202" s="92"/>
      <c r="AZ202" s="92"/>
      <c r="BA202" s="92"/>
      <c r="BB202" s="92"/>
      <c r="BD202" s="45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X202" s="93"/>
      <c r="BY202" s="93"/>
      <c r="BZ202" s="93"/>
      <c r="CA202" s="93"/>
    </row>
    <row r="203" spans="1:79" ht="21" customHeight="1" x14ac:dyDescent="0.35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W203" s="92"/>
      <c r="AX203" s="92"/>
      <c r="AY203" s="92"/>
      <c r="AZ203" s="92"/>
      <c r="BA203" s="92"/>
      <c r="BB203" s="92"/>
      <c r="BD203" s="45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X203" s="93"/>
      <c r="BY203" s="93"/>
      <c r="BZ203" s="93"/>
      <c r="CA203" s="93"/>
    </row>
    <row r="204" spans="1:79" ht="21" customHeight="1" x14ac:dyDescent="0.35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/>
      <c r="BA204" s="92"/>
      <c r="BB204" s="92"/>
      <c r="BD204" s="45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X204" s="93"/>
      <c r="BY204" s="93"/>
      <c r="BZ204" s="93"/>
      <c r="CA204" s="93"/>
    </row>
    <row r="205" spans="1:79" ht="21" customHeight="1" x14ac:dyDescent="0.35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/>
      <c r="BA205" s="92"/>
      <c r="BB205" s="92"/>
      <c r="BD205" s="45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X205" s="93"/>
      <c r="BY205" s="93"/>
      <c r="BZ205" s="93"/>
      <c r="CA205" s="93"/>
    </row>
    <row r="206" spans="1:79" ht="21" customHeight="1" x14ac:dyDescent="0.35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W206" s="92"/>
      <c r="AX206" s="92"/>
      <c r="AY206" s="92"/>
      <c r="AZ206" s="92"/>
      <c r="BA206" s="92"/>
      <c r="BB206" s="92"/>
      <c r="BD206" s="45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X206" s="93"/>
      <c r="BY206" s="93"/>
      <c r="BZ206" s="93"/>
      <c r="CA206" s="93"/>
    </row>
    <row r="207" spans="1:79" ht="21" customHeight="1" x14ac:dyDescent="0.35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2"/>
      <c r="AY207" s="92"/>
      <c r="AZ207" s="92"/>
      <c r="BA207" s="92"/>
      <c r="BB207" s="92"/>
      <c r="BD207" s="45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X207" s="93"/>
      <c r="BY207" s="93"/>
      <c r="BZ207" s="93"/>
      <c r="CA207" s="93"/>
    </row>
    <row r="208" spans="1:79" ht="21" customHeight="1" x14ac:dyDescent="0.35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W208" s="92"/>
      <c r="AX208" s="92"/>
      <c r="AY208" s="92"/>
      <c r="AZ208" s="92"/>
      <c r="BA208" s="92"/>
      <c r="BB208" s="92"/>
      <c r="BD208" s="45"/>
      <c r="BE208" s="92"/>
      <c r="BF208" s="92"/>
      <c r="BG208" s="92"/>
      <c r="BH208" s="92"/>
      <c r="BI208" s="92"/>
      <c r="BJ208" s="92"/>
      <c r="BK208" s="92"/>
      <c r="BL208" s="92"/>
      <c r="BM208" s="92"/>
      <c r="BN208" s="92"/>
      <c r="BO208" s="92"/>
      <c r="BP208" s="92"/>
      <c r="BQ208" s="92"/>
      <c r="BR208" s="92"/>
      <c r="BS208" s="92"/>
      <c r="BT208" s="92"/>
      <c r="BU208" s="92"/>
      <c r="BV208" s="92"/>
      <c r="BX208" s="93"/>
      <c r="BY208" s="93"/>
      <c r="BZ208" s="93"/>
      <c r="CA208" s="93"/>
    </row>
    <row r="209" spans="1:79" ht="21" customHeight="1" x14ac:dyDescent="0.35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W209" s="92"/>
      <c r="AX209" s="92"/>
      <c r="AY209" s="92"/>
      <c r="AZ209" s="92"/>
      <c r="BA209" s="92"/>
      <c r="BB209" s="92"/>
      <c r="BD209" s="45"/>
      <c r="BE209" s="92"/>
      <c r="BF209" s="92"/>
      <c r="BG209" s="92"/>
      <c r="BH209" s="92"/>
      <c r="BI209" s="92"/>
      <c r="BJ209" s="92"/>
      <c r="BK209" s="92"/>
      <c r="BL209" s="92"/>
      <c r="BM209" s="92"/>
      <c r="BN209" s="92"/>
      <c r="BO209" s="92"/>
      <c r="BP209" s="92"/>
      <c r="BQ209" s="92"/>
      <c r="BR209" s="92"/>
      <c r="BS209" s="92"/>
      <c r="BT209" s="92"/>
      <c r="BU209" s="92"/>
      <c r="BV209" s="92"/>
      <c r="BX209" s="93"/>
      <c r="BY209" s="93"/>
      <c r="BZ209" s="93"/>
      <c r="CA209" s="93"/>
    </row>
    <row r="210" spans="1:79" ht="21" customHeight="1" x14ac:dyDescent="0.35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D210" s="45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X210" s="93"/>
      <c r="BY210" s="93"/>
      <c r="BZ210" s="93"/>
      <c r="CA210" s="93"/>
    </row>
    <row r="211" spans="1:79" ht="21" customHeight="1" x14ac:dyDescent="0.35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W211" s="92"/>
      <c r="AX211" s="92"/>
      <c r="AY211" s="92"/>
      <c r="AZ211" s="92"/>
      <c r="BA211" s="92"/>
      <c r="BB211" s="92"/>
      <c r="BD211" s="45"/>
      <c r="BE211" s="92"/>
      <c r="BF211" s="92"/>
      <c r="BG211" s="92"/>
      <c r="BH211" s="92"/>
      <c r="BI211" s="92"/>
      <c r="BJ211" s="92"/>
      <c r="BK211" s="92"/>
      <c r="BL211" s="92"/>
      <c r="BM211" s="92"/>
      <c r="BN211" s="92"/>
      <c r="BO211" s="92"/>
      <c r="BP211" s="92"/>
      <c r="BQ211" s="92"/>
      <c r="BR211" s="92"/>
      <c r="BS211" s="92"/>
      <c r="BT211" s="92"/>
      <c r="BU211" s="92"/>
      <c r="BV211" s="92"/>
      <c r="BX211" s="93"/>
      <c r="BY211" s="93"/>
      <c r="BZ211" s="93"/>
      <c r="CA211" s="93"/>
    </row>
    <row r="212" spans="1:79" ht="21" customHeight="1" x14ac:dyDescent="0.35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W212" s="92"/>
      <c r="AX212" s="92"/>
      <c r="AY212" s="92"/>
      <c r="AZ212" s="92"/>
      <c r="BA212" s="92"/>
      <c r="BB212" s="92"/>
      <c r="BD212" s="45"/>
      <c r="BE212" s="92"/>
      <c r="BF212" s="92"/>
      <c r="BG212" s="92"/>
      <c r="BH212" s="92"/>
      <c r="BI212" s="92"/>
      <c r="BJ212" s="92"/>
      <c r="BK212" s="92"/>
      <c r="BL212" s="92"/>
      <c r="BM212" s="92"/>
      <c r="BN212" s="92"/>
      <c r="BO212" s="92"/>
      <c r="BP212" s="92"/>
      <c r="BQ212" s="92"/>
      <c r="BR212" s="92"/>
      <c r="BS212" s="92"/>
      <c r="BT212" s="92"/>
      <c r="BU212" s="92"/>
      <c r="BV212" s="92"/>
      <c r="BX212" s="93"/>
      <c r="BY212" s="93"/>
      <c r="BZ212" s="93"/>
      <c r="CA212" s="93"/>
    </row>
    <row r="213" spans="1:79" ht="21" customHeight="1" x14ac:dyDescent="0.35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W213" s="92"/>
      <c r="AX213" s="92"/>
      <c r="AY213" s="92"/>
      <c r="AZ213" s="92"/>
      <c r="BA213" s="92"/>
      <c r="BB213" s="92"/>
      <c r="BD213" s="45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X213" s="93"/>
      <c r="BY213" s="93"/>
      <c r="BZ213" s="93"/>
      <c r="CA213" s="93"/>
    </row>
    <row r="214" spans="1:79" ht="21" customHeight="1" x14ac:dyDescent="0.4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28"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2022-11-02T14:30:58Z</dcterms:modified>
</cp:coreProperties>
</file>