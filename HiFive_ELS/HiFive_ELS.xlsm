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<sst xmlns="http://schemas.openxmlformats.org/spreadsheetml/2006/main" count="205" uniqueCount="88">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</sst>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I34" sqref="I34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29" t="s">
        <v>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10" t="s">
        <v>1</v>
      </c>
      <c r="G3" s="110"/>
      <c r="H3" s="130">
        <v>100000</v>
      </c>
      <c r="I3" s="131"/>
    </row>
    <row r="4" spans="1:82" s="3" customFormat="1" ht="21" customHeight="1" x14ac:dyDescent="0.4">
      <c r="A4" s="101" t="s">
        <v>2</v>
      </c>
      <c r="B4" s="102"/>
      <c r="C4" s="137">
        <v>10000</v>
      </c>
      <c r="D4" s="138"/>
      <c r="F4" s="110" t="s">
        <v>3</v>
      </c>
      <c r="G4" s="110"/>
      <c r="H4" s="130">
        <v>1</v>
      </c>
      <c r="I4" s="131"/>
      <c r="M4" s="4"/>
      <c r="N4" s="5" t="s">
        <v>4</v>
      </c>
      <c r="O4" s="6" t="s">
        <v>5</v>
      </c>
      <c r="P4" s="5" t="s">
        <v>6</v>
      </c>
      <c r="R4" s="90" t="s">
        <v>79</v>
      </c>
      <c r="S4" s="136">
        <v>1</v>
      </c>
      <c r="T4" s="136"/>
    </row>
    <row r="5" spans="1:82" s="3" customFormat="1" ht="21" customHeight="1" thickBot="1" x14ac:dyDescent="0.45">
      <c r="A5" s="101" t="s">
        <v>7</v>
      </c>
      <c r="B5" s="102"/>
      <c r="C5" s="139">
        <v>1</v>
      </c>
      <c r="D5" s="140"/>
      <c r="M5" s="7" t="s">
        <v>8</v>
      </c>
      <c r="N5" s="8"/>
      <c r="O5" s="8"/>
      <c r="P5" s="8"/>
      <c r="R5" s="90" t="s">
        <v>77</v>
      </c>
      <c r="S5" s="134">
        <v>44816.736793981479</v>
      </c>
      <c r="T5" s="134"/>
    </row>
    <row r="6" spans="1:82" s="3" customFormat="1" ht="21" customHeight="1" thickBot="1" x14ac:dyDescent="0.45">
      <c r="A6" s="119" t="s">
        <v>9</v>
      </c>
      <c r="B6" s="120"/>
      <c r="C6" s="121">
        <v>42919</v>
      </c>
      <c r="D6" s="122"/>
      <c r="E6" s="2"/>
      <c r="F6" s="123" t="s">
        <v>10</v>
      </c>
      <c r="G6" s="123"/>
      <c r="H6" s="124">
        <v>10000</v>
      </c>
      <c r="I6" s="124"/>
      <c r="M6" s="7" t="s">
        <v>11</v>
      </c>
      <c r="N6" s="8"/>
      <c r="O6" s="8"/>
      <c r="P6" s="8"/>
      <c r="R6" s="90" t="s">
        <v>78</v>
      </c>
      <c r="S6" s="134">
        <v>44816.736805555556</v>
      </c>
      <c r="T6" s="134"/>
    </row>
    <row r="7" spans="1:82" s="3" customFormat="1" ht="21" customHeight="1" thickBot="1" x14ac:dyDescent="0.45">
      <c r="A7" s="119" t="s">
        <v>23</v>
      </c>
      <c r="B7" s="120"/>
      <c r="C7" s="132">
        <v>3</v>
      </c>
      <c r="D7" s="133"/>
      <c r="F7" s="125" t="s">
        <v>12</v>
      </c>
      <c r="G7" s="126"/>
      <c r="H7" s="127">
        <v>0</v>
      </c>
      <c r="I7" s="128"/>
      <c r="M7" s="7" t="s">
        <v>13</v>
      </c>
      <c r="N7" s="8"/>
      <c r="O7" s="8"/>
      <c r="P7" s="8"/>
      <c r="R7" s="90"/>
      <c r="S7" s="135"/>
      <c r="T7" s="135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4296.087804949012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0" t="s">
        <v>81</v>
      </c>
      <c r="B17" s="110"/>
      <c r="C17" s="115">
        <v>6</v>
      </c>
      <c r="D17" s="114"/>
      <c r="F17" s="101" t="s">
        <v>51</v>
      </c>
      <c r="G17" s="102"/>
      <c r="H17" s="115">
        <v>0</v>
      </c>
      <c r="I17" s="114"/>
      <c r="K17" s="116" t="s">
        <v>14</v>
      </c>
      <c r="L17" s="116"/>
      <c r="M17" s="117">
        <v>9500.6971794971196</v>
      </c>
      <c r="N17" s="117"/>
      <c r="O17" s="108" t="s">
        <v>76</v>
      </c>
      <c r="P17" s="109"/>
      <c r="Q17" s="86">
        <v>5732.824999999676</v>
      </c>
      <c r="R17" s="86">
        <v>1380.7499999999663</v>
      </c>
      <c r="S17" s="86">
        <v>722.40000000000509</v>
      </c>
      <c r="T17" s="86">
        <v>457.60000000000326</v>
      </c>
      <c r="U17" s="86">
        <v>333</v>
      </c>
      <c r="V17" s="86">
        <v>288.65000000000026</v>
      </c>
      <c r="W17" s="86">
        <v>251.85000000000088</v>
      </c>
      <c r="X17" s="86">
        <v>531.85567025269847</v>
      </c>
    </row>
    <row r="18" spans="1:111" s="3" customFormat="1" ht="21" customHeight="1" thickBot="1" x14ac:dyDescent="0.45">
      <c r="F18" s="110" t="s">
        <v>16</v>
      </c>
      <c r="G18" s="110"/>
      <c r="H18" s="111">
        <v>1</v>
      </c>
      <c r="I18" s="112"/>
      <c r="K18" s="116"/>
      <c r="L18" s="116"/>
      <c r="M18" s="117"/>
      <c r="N18" s="117"/>
      <c r="O18" s="108" t="s">
        <v>15</v>
      </c>
      <c r="P18" s="109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0" t="s">
        <v>17</v>
      </c>
      <c r="B19" s="110"/>
      <c r="C19" s="113">
        <v>0.5</v>
      </c>
      <c r="D19" s="114"/>
      <c r="K19" s="118" t="s">
        <v>80</v>
      </c>
      <c r="L19" s="118"/>
      <c r="M19" s="118"/>
      <c r="N19" s="118"/>
      <c r="X19" s="87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1" t="s">
        <v>18</v>
      </c>
      <c r="B27" s="102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1" t="s">
        <v>19</v>
      </c>
      <c r="B28" s="102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1" t="s">
        <v>43</v>
      </c>
      <c r="B29" s="102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1" t="s">
        <v>53</v>
      </c>
      <c r="B30" s="102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1" t="s">
        <v>54</v>
      </c>
      <c r="B31" s="102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1"/>
      <c r="B32" s="102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1"/>
      <c r="B33" s="102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1" t="s">
        <v>20</v>
      </c>
      <c r="B34" s="102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1" t="s">
        <v>55</v>
      </c>
      <c r="B35" s="102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1" t="s">
        <v>56</v>
      </c>
      <c r="B36" s="102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1" t="s">
        <v>21</v>
      </c>
      <c r="B37" s="102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3" t="s">
        <v>57</v>
      </c>
      <c r="B38" s="104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3" t="s">
        <v>58</v>
      </c>
      <c r="B39" s="104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3" t="s">
        <v>59</v>
      </c>
      <c r="B40" s="104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3" t="s">
        <v>63</v>
      </c>
      <c r="B41" s="104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3" t="s">
        <v>62</v>
      </c>
      <c r="B42" s="104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3" t="s">
        <v>61</v>
      </c>
      <c r="B43" s="104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3" t="s">
        <v>60</v>
      </c>
      <c r="B44" s="104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3" t="s">
        <v>72</v>
      </c>
      <c r="B45" s="104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3" t="s">
        <v>64</v>
      </c>
      <c r="B46" s="104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8" t="str">
        <f t="shared" ref="C47:AH47" si="35">IFERROR(IF(AND(C29="",D29="",B29&lt;&gt;"",C34&lt;&gt;""),"Not Autocalled Not KI Payoff",IF(AND(C29="",B29="",A29&lt;&gt;""),"Not Autocalled KI Payoff","")), "")</f>
        <v/>
      </c>
      <c r="D47" s="98" t="str">
        <f t="shared" si="35"/>
        <v/>
      </c>
      <c r="E47" s="98" t="str">
        <f t="shared" si="35"/>
        <v/>
      </c>
      <c r="F47" s="98" t="str">
        <f t="shared" si="35"/>
        <v/>
      </c>
      <c r="G47" s="98" t="str">
        <f t="shared" si="35"/>
        <v/>
      </c>
      <c r="H47" s="98" t="str">
        <f t="shared" si="35"/>
        <v/>
      </c>
      <c r="I47" s="98" t="str">
        <f t="shared" si="35"/>
        <v>Not Autocalled Not KI Payoff</v>
      </c>
      <c r="J47" s="98" t="str">
        <f t="shared" si="35"/>
        <v>Not Autocalled KI Payoff</v>
      </c>
      <c r="K47" s="98" t="str">
        <f t="shared" si="35"/>
        <v/>
      </c>
      <c r="L47" s="98" t="str">
        <f t="shared" si="35"/>
        <v/>
      </c>
      <c r="M47" s="98" t="str">
        <f t="shared" si="35"/>
        <v/>
      </c>
      <c r="N47" s="98" t="str">
        <f t="shared" si="35"/>
        <v/>
      </c>
      <c r="O47" s="98" t="str">
        <f t="shared" si="35"/>
        <v/>
      </c>
      <c r="P47" s="98" t="str">
        <f t="shared" si="35"/>
        <v/>
      </c>
      <c r="Q47" s="98" t="str">
        <f t="shared" si="35"/>
        <v/>
      </c>
      <c r="R47" s="98" t="str">
        <f t="shared" si="35"/>
        <v/>
      </c>
      <c r="S47" s="98" t="str">
        <f t="shared" si="35"/>
        <v/>
      </c>
      <c r="T47" s="98" t="str">
        <f t="shared" si="35"/>
        <v/>
      </c>
      <c r="U47" s="98" t="str">
        <f t="shared" si="35"/>
        <v/>
      </c>
      <c r="V47" s="98" t="str">
        <f t="shared" si="35"/>
        <v/>
      </c>
      <c r="W47" s="98" t="str">
        <f t="shared" si="35"/>
        <v/>
      </c>
      <c r="X47" s="98" t="str">
        <f t="shared" si="35"/>
        <v/>
      </c>
      <c r="Y47" s="98" t="str">
        <f t="shared" si="35"/>
        <v/>
      </c>
      <c r="Z47" s="98" t="str">
        <f t="shared" si="35"/>
        <v/>
      </c>
      <c r="AA47" s="98" t="str">
        <f t="shared" si="35"/>
        <v/>
      </c>
      <c r="AB47" s="98" t="str">
        <f t="shared" si="35"/>
        <v/>
      </c>
      <c r="AC47" s="98" t="str">
        <f t="shared" si="35"/>
        <v/>
      </c>
      <c r="AD47" s="98" t="str">
        <f t="shared" si="35"/>
        <v/>
      </c>
      <c r="AE47" s="98" t="str">
        <f t="shared" si="35"/>
        <v/>
      </c>
      <c r="AF47" s="98" t="str">
        <f t="shared" si="35"/>
        <v/>
      </c>
      <c r="AG47" s="98" t="str">
        <f t="shared" si="35"/>
        <v/>
      </c>
      <c r="AH47" s="98" t="str">
        <f t="shared" si="35"/>
        <v/>
      </c>
      <c r="AI47" s="98" t="str">
        <f t="shared" ref="AI47:BN47" si="36">IFERROR(IF(AND(AI29="",AJ29="",AH29&lt;&gt;"",AI34&lt;&gt;""),"Not Autocalled Not KI Payoff",IF(AND(AI29="",AH29="",AG29&lt;&gt;""),"Not Autocalled KI Payoff","")), "")</f>
        <v/>
      </c>
      <c r="AJ47" s="98" t="str">
        <f t="shared" si="36"/>
        <v/>
      </c>
      <c r="AK47" s="98" t="str">
        <f t="shared" si="36"/>
        <v/>
      </c>
      <c r="AL47" s="98" t="str">
        <f t="shared" si="36"/>
        <v/>
      </c>
      <c r="AM47" s="98" t="str">
        <f t="shared" si="36"/>
        <v/>
      </c>
      <c r="AN47" s="98" t="str">
        <f t="shared" si="36"/>
        <v/>
      </c>
      <c r="AO47" s="98" t="str">
        <f t="shared" si="36"/>
        <v/>
      </c>
      <c r="AP47" s="98" t="str">
        <f t="shared" si="36"/>
        <v/>
      </c>
      <c r="AQ47" s="98" t="str">
        <f t="shared" si="36"/>
        <v/>
      </c>
      <c r="AR47" s="98" t="str">
        <f t="shared" si="36"/>
        <v/>
      </c>
      <c r="AS47" s="98" t="str">
        <f t="shared" si="36"/>
        <v/>
      </c>
      <c r="AT47" s="98" t="str">
        <f t="shared" si="36"/>
        <v/>
      </c>
      <c r="AU47" s="98" t="str">
        <f t="shared" si="36"/>
        <v/>
      </c>
      <c r="AV47" s="98" t="str">
        <f t="shared" si="36"/>
        <v/>
      </c>
      <c r="AW47" s="98" t="str">
        <f t="shared" si="36"/>
        <v/>
      </c>
      <c r="AX47" s="98" t="str">
        <f t="shared" si="36"/>
        <v/>
      </c>
      <c r="AY47" s="98" t="str">
        <f t="shared" si="36"/>
        <v/>
      </c>
      <c r="AZ47" s="98" t="str">
        <f t="shared" si="36"/>
        <v/>
      </c>
      <c r="BA47" s="98" t="str">
        <f t="shared" si="36"/>
        <v/>
      </c>
      <c r="BB47" s="98" t="str">
        <f t="shared" si="36"/>
        <v/>
      </c>
      <c r="BC47" s="98" t="str">
        <f t="shared" si="36"/>
        <v/>
      </c>
      <c r="BD47" s="98" t="str">
        <f t="shared" si="36"/>
        <v/>
      </c>
      <c r="BE47" s="98" t="str">
        <f t="shared" si="36"/>
        <v/>
      </c>
      <c r="BF47" s="98" t="str">
        <f t="shared" si="36"/>
        <v/>
      </c>
      <c r="BG47" s="98" t="str">
        <f t="shared" si="36"/>
        <v/>
      </c>
      <c r="BH47" s="98" t="str">
        <f t="shared" si="36"/>
        <v/>
      </c>
      <c r="BI47" s="98" t="str">
        <f t="shared" si="36"/>
        <v/>
      </c>
      <c r="BJ47" s="98" t="str">
        <f t="shared" si="36"/>
        <v/>
      </c>
      <c r="BK47" s="98" t="str">
        <f t="shared" si="36"/>
        <v/>
      </c>
      <c r="BL47" s="98" t="str">
        <f t="shared" si="36"/>
        <v/>
      </c>
      <c r="BM47" s="98" t="str">
        <f t="shared" si="36"/>
        <v/>
      </c>
      <c r="BN47" s="98" t="str">
        <f t="shared" si="36"/>
        <v/>
      </c>
      <c r="BO47" s="98" t="str">
        <f t="shared" ref="BO47:CT47" si="37">IFERROR(IF(AND(BO29="",BP29="",BN29&lt;&gt;"",BO34&lt;&gt;""),"Not Autocalled Not KI Payoff",IF(AND(BO29="",BN29="",BM29&lt;&gt;""),"Not Autocalled KI Payoff","")), "")</f>
        <v/>
      </c>
      <c r="BP47" s="98" t="str">
        <f t="shared" si="37"/>
        <v/>
      </c>
      <c r="BQ47" s="98" t="str">
        <f t="shared" si="37"/>
        <v/>
      </c>
      <c r="BR47" s="98" t="str">
        <f t="shared" si="37"/>
        <v/>
      </c>
      <c r="BS47" s="98" t="str">
        <f t="shared" si="37"/>
        <v/>
      </c>
      <c r="BT47" s="98" t="str">
        <f t="shared" si="37"/>
        <v/>
      </c>
      <c r="BU47" s="98" t="str">
        <f t="shared" si="37"/>
        <v/>
      </c>
      <c r="BV47" s="98" t="str">
        <f t="shared" si="37"/>
        <v/>
      </c>
      <c r="BW47" s="98" t="str">
        <f t="shared" si="37"/>
        <v/>
      </c>
      <c r="BX47" s="98" t="str">
        <f t="shared" si="37"/>
        <v/>
      </c>
      <c r="BY47" s="98" t="str">
        <f t="shared" si="37"/>
        <v/>
      </c>
      <c r="BZ47" s="98" t="str">
        <f t="shared" si="37"/>
        <v/>
      </c>
      <c r="CA47" s="98" t="str">
        <f t="shared" si="37"/>
        <v/>
      </c>
      <c r="CB47" s="98" t="str">
        <f t="shared" si="37"/>
        <v/>
      </c>
      <c r="CC47" s="98" t="str">
        <f t="shared" si="37"/>
        <v/>
      </c>
      <c r="CD47" s="98" t="str">
        <f t="shared" si="37"/>
        <v/>
      </c>
      <c r="CE47" s="98" t="str">
        <f t="shared" si="37"/>
        <v/>
      </c>
      <c r="CF47" s="98" t="str">
        <f t="shared" si="37"/>
        <v/>
      </c>
      <c r="CG47" s="98" t="str">
        <f t="shared" si="37"/>
        <v/>
      </c>
      <c r="CH47" s="98" t="str">
        <f t="shared" si="37"/>
        <v/>
      </c>
      <c r="CI47" s="98" t="str">
        <f t="shared" si="37"/>
        <v/>
      </c>
      <c r="CJ47" s="98" t="str">
        <f t="shared" si="37"/>
        <v/>
      </c>
      <c r="CK47" s="98" t="str">
        <f t="shared" si="37"/>
        <v/>
      </c>
      <c r="CL47" s="98" t="str">
        <f t="shared" si="37"/>
        <v/>
      </c>
      <c r="CM47" s="98" t="str">
        <f t="shared" si="37"/>
        <v/>
      </c>
      <c r="CN47" s="98" t="str">
        <f t="shared" si="37"/>
        <v/>
      </c>
      <c r="CO47" s="98" t="str">
        <f t="shared" si="37"/>
        <v/>
      </c>
      <c r="CP47" s="98" t="str">
        <f t="shared" si="37"/>
        <v/>
      </c>
      <c r="CQ47" s="98" t="str">
        <f t="shared" si="37"/>
        <v/>
      </c>
      <c r="CR47" s="98" t="str">
        <f t="shared" si="37"/>
        <v/>
      </c>
      <c r="CS47" s="98" t="str">
        <f t="shared" si="37"/>
        <v/>
      </c>
      <c r="CT47" s="98" t="str">
        <f t="shared" si="37"/>
        <v/>
      </c>
      <c r="CU47" s="98" t="str">
        <f t="shared" ref="CU47:DF47" si="38">IFERROR(IF(AND(CU29="",CV29="",CT29&lt;&gt;"",CU34&lt;&gt;""),"Not Autocalled Not KI Payoff",IF(AND(CU29="",CT29="",CS29&lt;&gt;""),"Not Autocalled KI Payoff","")), "")</f>
        <v/>
      </c>
      <c r="CV47" s="98" t="str">
        <f t="shared" si="38"/>
        <v/>
      </c>
      <c r="CW47" s="98" t="str">
        <f t="shared" si="38"/>
        <v/>
      </c>
      <c r="CX47" s="98" t="str">
        <f t="shared" si="38"/>
        <v/>
      </c>
      <c r="CY47" s="98" t="str">
        <f t="shared" si="38"/>
        <v/>
      </c>
      <c r="CZ47" s="98" t="str">
        <f t="shared" si="38"/>
        <v/>
      </c>
      <c r="DA47" s="98" t="str">
        <f t="shared" si="38"/>
        <v/>
      </c>
      <c r="DB47" s="98" t="str">
        <f t="shared" si="38"/>
        <v/>
      </c>
      <c r="DC47" s="98" t="str">
        <f t="shared" si="38"/>
        <v/>
      </c>
      <c r="DD47" s="98" t="str">
        <f t="shared" si="38"/>
        <v/>
      </c>
      <c r="DE47" s="98" t="str">
        <f t="shared" si="38"/>
        <v/>
      </c>
      <c r="DF47" s="98" t="str">
        <f t="shared" si="38"/>
        <v/>
      </c>
      <c r="DG47" s="98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1" t="s">
        <v>46</v>
      </c>
      <c r="B51" s="141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6" t="s">
        <v>47</v>
      </c>
      <c r="B52" s="107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1" t="s">
        <v>44</v>
      </c>
      <c r="B53" s="141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1" t="s">
        <v>45</v>
      </c>
      <c r="B54" s="141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1" t="s">
        <v>50</v>
      </c>
      <c r="B55" s="141"/>
      <c r="C55" s="36">
        <v>0.05</v>
      </c>
    </row>
    <row r="56" spans="1:108" s="40" customFormat="1" ht="21" customHeight="1" x14ac:dyDescent="0.4">
      <c r="A56" s="141" t="s">
        <v>52</v>
      </c>
      <c r="B56" s="141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29" t="s">
        <v>22</v>
      </c>
      <c r="B62" s="129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99" t="s">
        <v>87</v>
      </c>
      <c r="BY66" s="99"/>
      <c r="BZ66" s="99"/>
      <c r="CA66" s="99"/>
    </row>
    <row r="67" spans="1:90" s="4" customFormat="1" ht="21" customHeight="1" x14ac:dyDescent="0.4">
      <c r="A67" s="143" t="s">
        <v>74</v>
      </c>
      <c r="B67" s="143"/>
      <c r="C67" s="143"/>
      <c r="D67" s="143"/>
      <c r="E67" s="143"/>
      <c r="F67" s="143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3" t="s">
        <v>68</v>
      </c>
      <c r="Q67" s="104"/>
      <c r="R67" s="38">
        <v>2</v>
      </c>
      <c r="BX67" s="100"/>
      <c r="BY67" s="100"/>
      <c r="BZ67" s="100"/>
      <c r="CA67" s="100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0.78026218420724902</v>
      </c>
      <c r="AL70" s="91">
        <v>0.56887699627800759</v>
      </c>
      <c r="AM70" s="91">
        <v>0.54360047403663703</v>
      </c>
      <c r="AN70" s="91">
        <v>0.35543602538245594</v>
      </c>
      <c r="AO70" s="91">
        <v>0.32943289235184381</v>
      </c>
      <c r="AP70" s="91">
        <v>0.33046180621549959</v>
      </c>
      <c r="AQ70" s="91">
        <v>0.31752003311562699</v>
      </c>
      <c r="AR70" s="91">
        <v>0.26385596054269222</v>
      </c>
      <c r="AS70" s="91">
        <v>0.26690350390465351</v>
      </c>
      <c r="AT70" s="91">
        <v>0.29846996920692959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0.41115978278975701</v>
      </c>
      <c r="BF70" s="91">
        <v>0.35452814343815992</v>
      </c>
      <c r="BG70" s="91">
        <v>0.33896788091968766</v>
      </c>
      <c r="BH70" s="91">
        <v>0.30896872581200024</v>
      </c>
      <c r="BI70" s="91">
        <v>0.28793930014222108</v>
      </c>
      <c r="BJ70" s="91">
        <v>0.27294917265048685</v>
      </c>
      <c r="BK70" s="91">
        <v>0.26290936417017263</v>
      </c>
      <c r="BL70" s="91">
        <v>0.25358265765871835</v>
      </c>
      <c r="BM70" s="91">
        <v>0.24328756098491389</v>
      </c>
      <c r="BN70" s="91">
        <v>0.23907220629136539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0.14950912920237169</v>
      </c>
      <c r="BZ70" s="93">
        <v>1.1803420469696837</v>
      </c>
      <c r="CA70" s="93">
        <v>-0.81578963603845267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4" t="s">
        <v>31</v>
      </c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0.65402945038281735</v>
      </c>
      <c r="AL71" s="91">
        <v>0.48116072441026481</v>
      </c>
      <c r="AM71" s="91">
        <v>0.45647728164220486</v>
      </c>
      <c r="AN71" s="91">
        <v>0.31992687315706814</v>
      </c>
      <c r="AO71" s="91">
        <v>0.29252953319453673</v>
      </c>
      <c r="AP71" s="91">
        <v>0.2895202994187524</v>
      </c>
      <c r="AQ71" s="91">
        <v>0.28313959491970359</v>
      </c>
      <c r="AR71" s="91">
        <v>0.24322506188779111</v>
      </c>
      <c r="AS71" s="91">
        <v>0.24221318713787696</v>
      </c>
      <c r="AT71" s="91">
        <v>0.26512272312812335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0.34838129628900871</v>
      </c>
      <c r="BF71" s="91">
        <v>0.3041824782126516</v>
      </c>
      <c r="BG71" s="91">
        <v>0.29176058576505798</v>
      </c>
      <c r="BH71" s="91">
        <v>0.26859757410358254</v>
      </c>
      <c r="BI71" s="91">
        <v>0.25236787978463265</v>
      </c>
      <c r="BJ71" s="91">
        <v>0.24032299158407297</v>
      </c>
      <c r="BK71" s="91">
        <v>0.23288065787585688</v>
      </c>
      <c r="BL71" s="91">
        <v>0.22607691453153142</v>
      </c>
      <c r="BM71" s="91">
        <v>0.21816096216913494</v>
      </c>
      <c r="BN71" s="91">
        <v>0.21536486225289952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0.14946634097920036</v>
      </c>
      <c r="BZ71" s="93">
        <v>0.91090330189117763</v>
      </c>
      <c r="CA71" s="93">
        <v>-0.76973227231056052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0.4974386623568256</v>
      </c>
      <c r="AL72" s="91">
        <v>0.37752267348483076</v>
      </c>
      <c r="AM72" s="91">
        <v>0.35849448823304975</v>
      </c>
      <c r="AN72" s="91">
        <v>0.2708746741434106</v>
      </c>
      <c r="AO72" s="91">
        <v>0.2466716385406848</v>
      </c>
      <c r="AP72" s="91">
        <v>0.24200677391874167</v>
      </c>
      <c r="AQ72" s="91">
        <v>0.24130272238758202</v>
      </c>
      <c r="AR72" s="91">
        <v>0.21428375826842994</v>
      </c>
      <c r="AS72" s="91">
        <v>0.2112751658469853</v>
      </c>
      <c r="AT72" s="91">
        <v>0.22744699109862906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0.29178084151601563</v>
      </c>
      <c r="BF72" s="91">
        <v>0.2590258552513971</v>
      </c>
      <c r="BG72" s="91">
        <v>0.24961801046799276</v>
      </c>
      <c r="BH72" s="91">
        <v>0.23284535020068012</v>
      </c>
      <c r="BI72" s="91">
        <v>0.22114340855251322</v>
      </c>
      <c r="BJ72" s="91">
        <v>0.21194146739513492</v>
      </c>
      <c r="BK72" s="91">
        <v>0.20703101415852651</v>
      </c>
      <c r="BL72" s="91">
        <v>0.20268171029155996</v>
      </c>
      <c r="BM72" s="91">
        <v>0.19709480043336935</v>
      </c>
      <c r="BN72" s="91">
        <v>0.19567775360853323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0.14929039000143671</v>
      </c>
      <c r="BZ72" s="93">
        <v>0.84903948200553714</v>
      </c>
      <c r="CA72" s="93">
        <v>-0.69357739929030915</v>
      </c>
    </row>
    <row r="73" spans="1:90" s="4" customFormat="1" ht="21" customHeight="1" x14ac:dyDescent="0.35">
      <c r="A73" s="142" t="s">
        <v>32</v>
      </c>
      <c r="B73" s="142"/>
      <c r="C73" s="142" t="s">
        <v>33</v>
      </c>
      <c r="D73" s="142"/>
      <c r="E73" s="142" t="s">
        <v>34</v>
      </c>
      <c r="F73" s="142"/>
      <c r="G73" s="142" t="s">
        <v>35</v>
      </c>
      <c r="H73" s="142"/>
      <c r="I73" s="142" t="s">
        <v>65</v>
      </c>
      <c r="J73" s="142"/>
      <c r="K73" s="142" t="s">
        <v>67</v>
      </c>
      <c r="L73" s="142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0.36171161213694103</v>
      </c>
      <c r="AL73" s="91">
        <v>0.28751692601066253</v>
      </c>
      <c r="AM73" s="91">
        <v>0.27409503551199926</v>
      </c>
      <c r="AN73" s="91">
        <v>0.22518938135458785</v>
      </c>
      <c r="AO73" s="91">
        <v>0.20641010192410253</v>
      </c>
      <c r="AP73" s="91">
        <v>0.20205620818795503</v>
      </c>
      <c r="AQ73" s="91">
        <v>0.20594199458229245</v>
      </c>
      <c r="AR73" s="91">
        <v>0.18957719834819362</v>
      </c>
      <c r="AS73" s="91">
        <v>0.18638098857446919</v>
      </c>
      <c r="AT73" s="91">
        <v>0.19800635854662996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0.23900771506231167</v>
      </c>
      <c r="BF73" s="91">
        <v>0.21734088098935031</v>
      </c>
      <c r="BG73" s="91">
        <v>0.21105692141550361</v>
      </c>
      <c r="BH73" s="91">
        <v>0.20058424734074029</v>
      </c>
      <c r="BI73" s="91">
        <v>0.19337986427385118</v>
      </c>
      <c r="BJ73" s="91">
        <v>0.18709284596281456</v>
      </c>
      <c r="BK73" s="91">
        <v>0.18478246544590476</v>
      </c>
      <c r="BL73" s="91">
        <v>0.1829227136019288</v>
      </c>
      <c r="BM73" s="91">
        <v>0.17970694241987314</v>
      </c>
      <c r="BN73" s="91">
        <v>0.17965605552728123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0.15029559038090379</v>
      </c>
      <c r="BZ73" s="93">
        <v>0.71014512511352923</v>
      </c>
      <c r="CA73" s="93">
        <v>-0.63428476889108254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0.24122091074814156</v>
      </c>
      <c r="AL74" s="91">
        <v>0.20826599826992936</v>
      </c>
      <c r="AM74" s="91">
        <v>0.20110762101400634</v>
      </c>
      <c r="AN74" s="91">
        <v>0.18301975939666898</v>
      </c>
      <c r="AO74" s="91">
        <v>0.17194226907307231</v>
      </c>
      <c r="AP74" s="91">
        <v>0.16994126019712219</v>
      </c>
      <c r="AQ74" s="91">
        <v>0.17785810820481548</v>
      </c>
      <c r="AR74" s="91">
        <v>0.17038550555917509</v>
      </c>
      <c r="AS74" s="91">
        <v>0.16847773897457158</v>
      </c>
      <c r="AT74" s="91">
        <v>0.17722008262405214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0.18828812488061791</v>
      </c>
      <c r="BF74" s="91">
        <v>0.17809050242100938</v>
      </c>
      <c r="BG74" s="91">
        <v>0.17542207166343163</v>
      </c>
      <c r="BH74" s="91">
        <v>0.17151114315413454</v>
      </c>
      <c r="BI74" s="91">
        <v>0.16897774289524078</v>
      </c>
      <c r="BJ74" s="91">
        <v>0.1658475588864147</v>
      </c>
      <c r="BK74" s="91">
        <v>0.16628496819297073</v>
      </c>
      <c r="BL74" s="91">
        <v>0.16696860944558026</v>
      </c>
      <c r="BM74" s="91">
        <v>0.16617137031152873</v>
      </c>
      <c r="BN74" s="91">
        <v>0.16742978937375885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0.15096839354271172</v>
      </c>
      <c r="BZ74" s="93">
        <v>0.61923683218158765</v>
      </c>
      <c r="CA74" s="93">
        <v>-0.57454221440934583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0.13860581843764289</v>
      </c>
      <c r="AL75" s="91">
        <v>0.14245153991640291</v>
      </c>
      <c r="AM75" s="91">
        <v>0.14397624339042692</v>
      </c>
      <c r="AN75" s="91">
        <v>0.14844350800530126</v>
      </c>
      <c r="AO75" s="91">
        <v>0.14631590302372763</v>
      </c>
      <c r="AP75" s="91">
        <v>0.14848746748238659</v>
      </c>
      <c r="AQ75" s="91">
        <v>0.15973294277091007</v>
      </c>
      <c r="AR75" s="91">
        <v>0.15910518981661498</v>
      </c>
      <c r="AS75" s="91">
        <v>0.15919493624944808</v>
      </c>
      <c r="AT75" s="91">
        <v>0.16594366580466333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0.13904657604603668</v>
      </c>
      <c r="BF75" s="91">
        <v>0.14153436247452</v>
      </c>
      <c r="BG75" s="91">
        <v>0.14372088165630287</v>
      </c>
      <c r="BH75" s="91">
        <v>0.14669711286234566</v>
      </c>
      <c r="BI75" s="91">
        <v>0.14893792936177006</v>
      </c>
      <c r="BJ75" s="91">
        <v>0.14923432539200596</v>
      </c>
      <c r="BK75" s="91">
        <v>0.15242516455962518</v>
      </c>
      <c r="BL75" s="91">
        <v>0.15550060183833528</v>
      </c>
      <c r="BM75" s="91">
        <v>0.15698170628132849</v>
      </c>
      <c r="BN75" s="91">
        <v>0.15934123896896651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0.14946743816739316</v>
      </c>
      <c r="BZ75" s="93">
        <v>0.56973113614437432</v>
      </c>
      <c r="CA75" s="93">
        <v>-0.50024293713360468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9.1536597561656011E-2</v>
      </c>
      <c r="AL76" s="91">
        <v>0.10604151453508039</v>
      </c>
      <c r="AM76" s="91">
        <v>0.1183889245227554</v>
      </c>
      <c r="AN76" s="91">
        <v>0.13025837362586484</v>
      </c>
      <c r="AO76" s="91">
        <v>0.13479678805947196</v>
      </c>
      <c r="AP76" s="91">
        <v>0.14168378195592035</v>
      </c>
      <c r="AQ76" s="91">
        <v>0.1544773032930277</v>
      </c>
      <c r="AR76" s="91">
        <v>0.15786872657125414</v>
      </c>
      <c r="AS76" s="91">
        <v>0.15951817163220219</v>
      </c>
      <c r="AT76" s="91">
        <v>0.16433488729108861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0.10320061545473072</v>
      </c>
      <c r="BF76" s="91">
        <v>0.11363021322289714</v>
      </c>
      <c r="BG76" s="91">
        <v>0.12186675600567667</v>
      </c>
      <c r="BH76" s="91">
        <v>0.12977793680568286</v>
      </c>
      <c r="BI76" s="91">
        <v>0.13564477382611972</v>
      </c>
      <c r="BJ76" s="91">
        <v>0.13905109752914538</v>
      </c>
      <c r="BK76" s="91">
        <v>0.14438533099120335</v>
      </c>
      <c r="BL76" s="91">
        <v>0.14919100093904555</v>
      </c>
      <c r="BM76" s="91">
        <v>0.15241689874332293</v>
      </c>
      <c r="BN76" s="91">
        <v>0.1554723242303131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0.15140693445773276</v>
      </c>
      <c r="BZ76" s="93">
        <v>0.52626393503036817</v>
      </c>
      <c r="CA76" s="93">
        <v>-0.44004262618583279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0.12172905067259669</v>
      </c>
      <c r="AL77" s="91">
        <v>0.11196472754765242</v>
      </c>
      <c r="AM77" s="91">
        <v>0.13209840482363575</v>
      </c>
      <c r="AN77" s="91">
        <v>0.13379234229014791</v>
      </c>
      <c r="AO77" s="91">
        <v>0.14028070616737068</v>
      </c>
      <c r="AP77" s="91">
        <v>0.15084761542923011</v>
      </c>
      <c r="AQ77" s="91">
        <v>0.1625947140822388</v>
      </c>
      <c r="AR77" s="91">
        <v>0.16689881183814595</v>
      </c>
      <c r="AS77" s="91">
        <v>0.16877576358811022</v>
      </c>
      <c r="AT77" s="91">
        <v>0.17125564252135697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0.10447342885228476</v>
      </c>
      <c r="BF77" s="91">
        <v>0.10691112339884663</v>
      </c>
      <c r="BG77" s="91">
        <v>0.11747125422932217</v>
      </c>
      <c r="BH77" s="91">
        <v>0.12450077982105752</v>
      </c>
      <c r="BI77" s="91">
        <v>0.13093395831105811</v>
      </c>
      <c r="BJ77" s="91">
        <v>0.13605823850599347</v>
      </c>
      <c r="BK77" s="91">
        <v>0.14229593371467758</v>
      </c>
      <c r="BL77" s="91">
        <v>0.14780014811956813</v>
      </c>
      <c r="BM77" s="91">
        <v>0.15196946892813057</v>
      </c>
      <c r="BN77" s="91">
        <v>0.15525836637413934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0.15349531662184265</v>
      </c>
      <c r="BZ77" s="93">
        <v>0.48580304880030678</v>
      </c>
      <c r="CA77" s="93">
        <v>-0.38494045350513473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0.17086418700613074</v>
      </c>
      <c r="AL78" s="91">
        <v>0.13366769508143386</v>
      </c>
      <c r="AM78" s="91">
        <v>0.15111034882673521</v>
      </c>
      <c r="AN78" s="91">
        <v>0.1389817542383828</v>
      </c>
      <c r="AO78" s="91">
        <v>0.14604424550370104</v>
      </c>
      <c r="AP78" s="91">
        <v>0.15871727440919262</v>
      </c>
      <c r="AQ78" s="91">
        <v>0.16817996166026203</v>
      </c>
      <c r="AR78" s="91">
        <v>0.1723738278708008</v>
      </c>
      <c r="AS78" s="91">
        <v>0.17418335810002356</v>
      </c>
      <c r="AT78" s="91">
        <v>0.17459863678001089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0.11853100866522065</v>
      </c>
      <c r="BF78" s="91">
        <v>0.11408360614178402</v>
      </c>
      <c r="BG78" s="91">
        <v>0.12427204284021302</v>
      </c>
      <c r="BH78" s="91">
        <v>0.1280612559911451</v>
      </c>
      <c r="BI78" s="91">
        <v>0.13303602351685531</v>
      </c>
      <c r="BJ78" s="91">
        <v>0.13849722132292389</v>
      </c>
      <c r="BK78" s="91">
        <v>0.14463719626249114</v>
      </c>
      <c r="BL78" s="91">
        <v>0.15003678942169413</v>
      </c>
      <c r="BM78" s="91">
        <v>0.15447431006805146</v>
      </c>
      <c r="BN78" s="91">
        <v>0.1576637752452025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0.15392008229416571</v>
      </c>
      <c r="BZ78" s="93">
        <v>0.45100639451967284</v>
      </c>
      <c r="CA78" s="93">
        <v>-0.32037043916762792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0.15575562199692586</v>
      </c>
      <c r="BZ79" s="93">
        <v>0.42947354670558835</v>
      </c>
      <c r="CA79" s="93">
        <v>-0.29151237789519963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99" t="s">
        <v>87</v>
      </c>
      <c r="BY96" s="99"/>
      <c r="BZ96" s="99"/>
      <c r="CA96" s="99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3" t="s">
        <v>68</v>
      </c>
      <c r="Q97" s="104"/>
      <c r="R97" s="38">
        <v>1</v>
      </c>
      <c r="BX97" s="100"/>
      <c r="BY97" s="100"/>
      <c r="BZ97" s="100"/>
      <c r="CA97" s="100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44" t="s">
        <v>38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142" t="s">
        <v>8</v>
      </c>
      <c r="B119" s="142"/>
      <c r="C119" s="142" t="s">
        <v>26</v>
      </c>
      <c r="D119" s="142"/>
      <c r="E119" s="142" t="s">
        <v>27</v>
      </c>
      <c r="F119" s="142"/>
      <c r="G119" s="142" t="s">
        <v>48</v>
      </c>
      <c r="H119" s="142"/>
      <c r="I119" s="142" t="s">
        <v>49</v>
      </c>
      <c r="J119" s="142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9" t="s">
        <v>87</v>
      </c>
      <c r="BY126" s="99"/>
      <c r="BZ126" s="99"/>
      <c r="CA126" s="99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3" t="s">
        <v>68</v>
      </c>
      <c r="Q127" s="104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0"/>
      <c r="BY127" s="100"/>
      <c r="BZ127" s="100"/>
      <c r="CA127" s="100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9" t="s">
        <v>87</v>
      </c>
      <c r="BY156" s="99"/>
      <c r="BZ156" s="99"/>
      <c r="CA156" s="99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3" t="s">
        <v>68</v>
      </c>
      <c r="Q157" s="104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0"/>
      <c r="BY157" s="100"/>
      <c r="BZ157" s="100"/>
      <c r="CA157" s="100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44" t="s">
        <v>40</v>
      </c>
      <c r="B165" s="144"/>
      <c r="C165" s="144"/>
      <c r="D165" s="144"/>
      <c r="E165" s="144"/>
      <c r="F165" s="144"/>
      <c r="G165" s="144"/>
      <c r="H165" s="144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44"/>
      <c r="B166" s="144"/>
      <c r="C166" s="144"/>
      <c r="D166" s="144"/>
      <c r="E166" s="144"/>
      <c r="F166" s="144"/>
      <c r="G166" s="144"/>
      <c r="H166" s="144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45"/>
      <c r="B170" s="145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142" t="s">
        <v>8</v>
      </c>
      <c r="B171" s="142"/>
      <c r="C171" s="142" t="s">
        <v>26</v>
      </c>
      <c r="D171" s="142"/>
      <c r="E171" s="142" t="s">
        <v>27</v>
      </c>
      <c r="F171" s="142"/>
      <c r="G171" s="142" t="s">
        <v>48</v>
      </c>
      <c r="H171" s="142"/>
      <c r="I171" s="142" t="s">
        <v>49</v>
      </c>
      <c r="J171" s="142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9" t="s">
        <v>87</v>
      </c>
      <c r="BY186" s="99"/>
      <c r="BZ186" s="99"/>
      <c r="CA186" s="99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3" t="s">
        <v>68</v>
      </c>
      <c r="Q187" s="104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0"/>
      <c r="BY187" s="100"/>
      <c r="BZ187" s="100"/>
      <c r="CA187" s="100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2022-09-12T08:41:03Z</dcterms:modified>
</cp:coreProperties>
</file>