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SABR\"/>
    </mc:Choice>
  </mc:AlternateContent>
  <bookViews>
    <workbookView xWindow="0" yWindow="0" windowWidth="20520" windowHeight="10932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B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2" i="1"/>
</calcChain>
</file>

<file path=xl/comments1.xml><?xml version="1.0" encoding="utf-8"?>
<comments xmlns="http://schemas.openxmlformats.org/spreadsheetml/2006/main">
  <authors>
    <author>KDB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0.0 : Normal
0.5 : log normal
1.0 : Skewd CIR</t>
        </r>
      </text>
    </comment>
  </commentList>
</comments>
</file>

<file path=xl/sharedStrings.xml><?xml version="1.0" encoding="utf-8"?>
<sst xmlns="http://schemas.openxmlformats.org/spreadsheetml/2006/main" count="26" uniqueCount="17">
  <si>
    <t>Term</t>
    <phoneticPr fontId="1" type="noConversion"/>
  </si>
  <si>
    <t>Rate</t>
    <phoneticPr fontId="1" type="noConversion"/>
  </si>
  <si>
    <t>무위험금리</t>
    <phoneticPr fontId="1" type="noConversion"/>
  </si>
  <si>
    <t>배당</t>
    <phoneticPr fontId="1" type="noConversion"/>
  </si>
  <si>
    <t>Parity
(Moneyness)</t>
    <phoneticPr fontId="1" type="noConversion"/>
  </si>
  <si>
    <t>기간구조</t>
    <phoneticPr fontId="1" type="noConversion"/>
  </si>
  <si>
    <t>Input : ImpliedVol</t>
    <phoneticPr fontId="1" type="noConversion"/>
  </si>
  <si>
    <t>Output : SABR Implied Vol</t>
    <phoneticPr fontId="1" type="noConversion"/>
  </si>
  <si>
    <t>Output : SABR Params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</si>
  <si>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</si>
  <si>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</si>
  <si>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</si>
  <si>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Output: Futures/Spot</t>
    <phoneticPr fontId="1" type="noConversion"/>
  </si>
  <si>
    <t>Beta</t>
    <phoneticPr fontId="1" type="noConversion"/>
  </si>
  <si>
    <t>LocalVol계산Flag</t>
    <phoneticPr fontId="1" type="noConversion"/>
  </si>
  <si>
    <t>Output : SABR LocalVol</t>
    <phoneticPr fontId="1" type="noConversion"/>
  </si>
  <si>
    <t>ResultCode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</si>
</sst>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_);[Red]\(0\)"/>
    <numFmt numFmtId="178" formatCode="0.00000_);[Red]\(0.00000\)"/>
    <numFmt numFmtId="179" formatCode="0.0000_);[Red]\(0.000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5" borderId="0" xfId="0" applyFont="1" applyFill="1">
      <alignment vertical="center"/>
    </xf>
    <xf numFmtId="0" fontId="2" fillId="2" borderId="1" xfId="0" applyFont="1" applyFill="1" applyBorder="1" applyAlignment="1" applyProtection="1">
      <alignment horizontal="center" vertical="center"/>
    </xf>
    <xf numFmtId="176" fontId="3" fillId="6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Alignment="1" applyProtection="1"/>
    <xf numFmtId="10" fontId="4" fillId="4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Protection="1">
      <alignment vertical="center"/>
    </xf>
    <xf numFmtId="176" fontId="3" fillId="6" borderId="1" xfId="0" applyNumberFormat="1" applyFont="1" applyFill="1" applyBorder="1" applyAlignment="1" applyProtection="1"/>
    <xf numFmtId="0" fontId="0" fillId="6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2" fillId="2" borderId="6" xfId="0" applyFont="1" applyFill="1" applyBorder="1" applyAlignment="1" applyProtection="1">
      <alignment vertical="center"/>
    </xf>
    <xf numFmtId="0" fontId="2" fillId="2" borderId="4" xfId="0" applyFont="1" applyFill="1" applyBorder="1" applyAlignment="1" applyProtection="1">
      <alignment vertical="center"/>
    </xf>
    <xf numFmtId="10" fontId="4" fillId="3" borderId="1" xfId="0" applyNumberFormat="1" applyFont="1" applyFill="1" applyBorder="1" applyAlignment="1" applyProtection="1"/>
    <xf numFmtId="176" fontId="3" fillId="7" borderId="1" xfId="0" applyNumberFormat="1" applyFont="1" applyFill="1" applyBorder="1" applyAlignment="1" applyProtection="1">
      <alignment vertical="center"/>
    </xf>
    <xf numFmtId="176" fontId="3" fillId="7" borderId="1" xfId="0" applyNumberFormat="1" applyFont="1" applyFill="1" applyBorder="1" applyAlignment="1" applyProtection="1"/>
    <xf numFmtId="0" fontId="0" fillId="7" borderId="1" xfId="0" applyFont="1" applyFill="1" applyBorder="1">
      <alignment vertical="center"/>
    </xf>
    <xf numFmtId="10" fontId="4" fillId="8" borderId="1" xfId="0" applyNumberFormat="1" applyFont="1" applyFill="1" applyBorder="1" applyAlignment="1" applyProtection="1"/>
    <xf numFmtId="178" fontId="3" fillId="8" borderId="1" xfId="0" applyNumberFormat="1" applyFont="1" applyFill="1" applyBorder="1" applyAlignment="1" applyProtection="1">
      <alignment vertical="center"/>
    </xf>
    <xf numFmtId="178" fontId="0" fillId="5" borderId="0" xfId="0" applyNumberFormat="1" applyFont="1" applyFill="1">
      <alignment vertical="center"/>
    </xf>
    <xf numFmtId="179" fontId="4" fillId="8" borderId="1" xfId="0" applyNumberFormat="1" applyFont="1" applyFill="1" applyBorder="1" applyAlignment="1" applyProtection="1"/>
    <xf numFmtId="179" fontId="4" fillId="8" borderId="1" xfId="0" applyNumberFormat="1" applyFont="1" applyFill="1" applyBorder="1" applyAlignment="1" applyProtection="1">
      <alignment vertical="center"/>
    </xf>
    <xf numFmtId="179" fontId="4" fillId="8" borderId="1" xfId="0" applyNumberFormat="1" applyFont="1" applyFill="1" applyBorder="1" applyProtection="1">
      <alignment vertical="center"/>
    </xf>
    <xf numFmtId="179" fontId="0" fillId="8" borderId="1" xfId="0" applyNumberFormat="1" applyFont="1" applyFill="1" applyBorder="1">
      <alignment vertical="center"/>
    </xf>
    <xf numFmtId="0" fontId="5" fillId="2" borderId="4" xfId="0" applyFont="1" applyFill="1" applyBorder="1" applyAlignment="1" applyProtection="1">
      <alignment horizontal="center" vertical="center"/>
    </xf>
    <xf numFmtId="177" fontId="4" fillId="4" borderId="8" xfId="0" applyNumberFormat="1" applyFont="1" applyFill="1" applyBorder="1" applyAlignment="1" applyProtection="1">
      <alignment horizontal="center"/>
    </xf>
    <xf numFmtId="177" fontId="4" fillId="4" borderId="0" xfId="0" applyNumberFormat="1" applyFont="1" applyFill="1" applyBorder="1" applyAlignment="1" applyProtection="1">
      <alignment horizontal="center"/>
    </xf>
    <xf numFmtId="176" fontId="3" fillId="6" borderId="9" xfId="0" applyNumberFormat="1" applyFont="1" applyFill="1" applyBorder="1" applyAlignment="1" applyProtection="1">
      <alignment horizontal="center" vertical="center"/>
    </xf>
    <xf numFmtId="176" fontId="3" fillId="6" borderId="10" xfId="0" applyNumberFormat="1" applyFont="1" applyFill="1" applyBorder="1" applyAlignment="1" applyProtection="1">
      <alignment horizontal="center" vertical="center"/>
    </xf>
    <xf numFmtId="176" fontId="3" fillId="6" borderId="6" xfId="0" applyNumberFormat="1" applyFont="1" applyFill="1" applyBorder="1" applyAlignment="1" applyProtection="1">
      <alignment horizontal="center" vertical="center"/>
    </xf>
    <xf numFmtId="176" fontId="3" fillId="6" borderId="11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176" fontId="4" fillId="4" borderId="8" xfId="0" applyNumberFormat="1" applyFont="1" applyFill="1" applyBorder="1" applyAlignment="1" applyProtection="1">
      <alignment horizontal="center"/>
    </xf>
    <xf numFmtId="176" fontId="4" fillId="4" borderId="0" xfId="0" applyNumberFormat="1" applyFont="1" applyFill="1" applyBorder="1" applyAlignment="1" applyProtection="1">
      <alignment horizont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2" fillId="2" borderId="8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</xdr:colOff>
          <xdr:row>2</xdr:row>
          <xdr:rowOff>99060</xdr:rowOff>
        </xdr:from>
        <xdr:to>
          <xdr:col>30</xdr:col>
          <xdr:colOff>373380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I66"/>
  <sheetViews>
    <sheetView tabSelected="1" workbookViewId="0">
      <selection activeCell="S11" sqref="S11"/>
    </sheetView>
  </sheetViews>
  <sheetFormatPr defaultColWidth="9" defaultRowHeight="19.95" customHeight="1" x14ac:dyDescent="0.4"/>
  <cols>
    <col min="1" max="2" width="9" style="1"/>
    <col min="3" max="3" width="9" style="8"/>
    <col min="4" max="4" width="9" style="9"/>
    <col min="5" max="5" width="9" style="8"/>
    <col min="6" max="6" width="9" style="9"/>
    <col min="7" max="7" width="9" style="15"/>
    <col min="8" max="8" width="9" style="22"/>
    <col min="9" max="70" width="9" style="1"/>
    <col min="71" max="73" width="9" style="18"/>
    <col min="74" max="16384" width="9" style="1"/>
  </cols>
  <sheetData>
    <row r="1" spans="1:87" ht="19.95" customHeight="1" x14ac:dyDescent="0.4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CI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</row>
    <row r="2" spans="1:87" ht="19.95" customHeight="1" x14ac:dyDescent="0.4">
      <c r="A2" s="1">
        <f>A1+1</f>
        <v>2</v>
      </c>
      <c r="C2" s="1"/>
      <c r="D2" s="1"/>
      <c r="E2" s="1"/>
      <c r="F2" s="1"/>
      <c r="G2" s="1"/>
      <c r="H2" s="1"/>
      <c r="BS2" s="1"/>
      <c r="BT2" s="1"/>
      <c r="BU2" s="1"/>
    </row>
    <row r="3" spans="1:87" ht="19.95" customHeight="1" x14ac:dyDescent="0.4">
      <c r="A3" s="1">
        <f t="shared" ref="A3:A66" si="2">A2+1</f>
        <v>3</v>
      </c>
      <c r="C3" s="1"/>
      <c r="D3" s="1"/>
      <c r="E3" s="1"/>
      <c r="F3" s="1"/>
      <c r="G3" s="1"/>
      <c r="H3" s="1"/>
      <c r="AF3" s="26" t="s">
        <v>16</v>
      </c>
      <c r="AG3" s="27"/>
      <c r="AH3" s="30">
        <v>1</v>
      </c>
      <c r="AI3" s="31"/>
      <c r="BS3" s="1"/>
      <c r="BT3" s="1"/>
      <c r="BU3" s="1"/>
    </row>
    <row r="4" spans="1:87" ht="19.95" customHeight="1" x14ac:dyDescent="0.35">
      <c r="A4" s="1">
        <f t="shared" si="2"/>
        <v>4</v>
      </c>
      <c r="C4" s="23" t="s">
        <v>14</v>
      </c>
      <c r="D4" s="23"/>
      <c r="E4" s="24">
        <v>1</v>
      </c>
      <c r="F4" s="25"/>
      <c r="G4" s="1"/>
      <c r="H4" s="1"/>
      <c r="AF4" s="28"/>
      <c r="AG4" s="29"/>
      <c r="AH4" s="30"/>
      <c r="AI4" s="31"/>
      <c r="BS4" s="1"/>
      <c r="BT4" s="1"/>
      <c r="BU4" s="1"/>
    </row>
    <row r="5" spans="1:87" ht="19.95" customHeight="1" x14ac:dyDescent="0.35">
      <c r="A5" s="1">
        <f t="shared" si="2"/>
        <v>5</v>
      </c>
      <c r="C5" s="23" t="s">
        <v>13</v>
      </c>
      <c r="D5" s="23"/>
      <c r="E5" s="34">
        <v>1</v>
      </c>
      <c r="F5" s="35"/>
      <c r="G5" s="1"/>
      <c r="H5" s="1"/>
      <c r="BS5" s="1"/>
      <c r="BT5" s="1"/>
      <c r="BU5" s="1"/>
    </row>
    <row r="6" spans="1:87" ht="19.95" customHeight="1" x14ac:dyDescent="0.4">
      <c r="A6" s="1">
        <f t="shared" si="2"/>
        <v>6</v>
      </c>
      <c r="C6" s="1"/>
      <c r="D6" s="1"/>
      <c r="E6" s="1"/>
      <c r="F6" s="1"/>
      <c r="G6" s="1"/>
      <c r="H6" s="1"/>
      <c r="BS6" s="1"/>
      <c r="BT6" s="1"/>
      <c r="BU6" s="1"/>
    </row>
    <row r="7" spans="1:87" ht="19.95" customHeight="1" x14ac:dyDescent="0.4">
      <c r="A7" s="1">
        <f t="shared" si="2"/>
        <v>7</v>
      </c>
      <c r="C7" s="23" t="s">
        <v>2</v>
      </c>
      <c r="D7" s="23"/>
      <c r="E7" s="32" t="s">
        <v>3</v>
      </c>
      <c r="F7" s="33"/>
      <c r="G7" s="32" t="s">
        <v>12</v>
      </c>
      <c r="H7" s="33"/>
      <c r="J7" s="40" t="s">
        <v>6</v>
      </c>
      <c r="K7" s="41"/>
      <c r="L7" s="41"/>
      <c r="M7" s="41"/>
      <c r="N7" s="41"/>
      <c r="AD7" s="40" t="s">
        <v>15</v>
      </c>
      <c r="AE7" s="41"/>
      <c r="AF7" s="41"/>
      <c r="AG7" s="41"/>
      <c r="AH7" s="41"/>
      <c r="AX7" s="40" t="s">
        <v>7</v>
      </c>
      <c r="AY7" s="41"/>
      <c r="AZ7" s="41"/>
      <c r="BA7" s="41"/>
      <c r="BB7" s="41"/>
      <c r="BR7" s="36" t="s">
        <v>8</v>
      </c>
      <c r="BS7" s="37"/>
      <c r="BT7" s="37"/>
      <c r="BU7" s="37"/>
    </row>
    <row r="8" spans="1:87" ht="19.95" customHeight="1" x14ac:dyDescent="0.4">
      <c r="A8" s="1">
        <f t="shared" si="2"/>
        <v>8</v>
      </c>
      <c r="C8" s="1"/>
      <c r="D8" s="1"/>
      <c r="E8" s="1"/>
      <c r="F8" s="1"/>
      <c r="G8" s="1"/>
      <c r="H8" s="1"/>
      <c r="J8" s="38" t="s">
        <v>4</v>
      </c>
      <c r="K8" s="10" t="s">
        <v>5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D8" s="38" t="s">
        <v>4</v>
      </c>
      <c r="AE8" s="10" t="s">
        <v>5</v>
      </c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X8" s="38" t="s">
        <v>4</v>
      </c>
      <c r="AY8" s="10" t="s">
        <v>5</v>
      </c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R8" s="2" t="s">
        <v>0</v>
      </c>
      <c r="BS8" s="2" t="s">
        <v>9</v>
      </c>
      <c r="BT8" s="2" t="s">
        <v>10</v>
      </c>
      <c r="BU8" s="2" t="s">
        <v>11</v>
      </c>
    </row>
    <row r="9" spans="1:87" ht="19.95" customHeight="1" x14ac:dyDescent="0.4">
      <c r="A9" s="1">
        <f t="shared" si="2"/>
        <v>9</v>
      </c>
      <c r="C9" s="2" t="s">
        <v>0</v>
      </c>
      <c r="D9" s="2" t="s">
        <v>1</v>
      </c>
      <c r="E9" s="2" t="s">
        <v>0</v>
      </c>
      <c r="F9" s="2" t="s">
        <v>1</v>
      </c>
      <c r="G9" s="2" t="s">
        <v>0</v>
      </c>
      <c r="H9" s="2" t="s">
        <v>1</v>
      </c>
      <c r="J9" s="39"/>
      <c r="K9" s="3">
        <v>0.33333333333333331</v>
      </c>
      <c r="L9" s="3">
        <v>0.66666666666666663</v>
      </c>
      <c r="M9" s="3">
        <v>1</v>
      </c>
      <c r="N9" s="3">
        <v>1.3333333333333333</v>
      </c>
      <c r="O9" s="3">
        <v>1.6666666666666665</v>
      </c>
      <c r="P9" s="3">
        <v>1.9999999999999998</v>
      </c>
      <c r="Q9" s="3">
        <v>2.333333333333333</v>
      </c>
      <c r="R9" s="3">
        <v>2.6666666666666665</v>
      </c>
      <c r="S9" s="3">
        <v>3</v>
      </c>
      <c r="T9" s="3">
        <v>3.3333333333333335</v>
      </c>
      <c r="U9" s="3"/>
      <c r="V9" s="3"/>
      <c r="W9" s="3"/>
      <c r="X9" s="3"/>
      <c r="Y9" s="3"/>
      <c r="Z9" s="3"/>
      <c r="AA9" s="3"/>
      <c r="AB9" s="3"/>
      <c r="AD9" s="39"/>
      <c r="AE9" s="3">
        <v>0.33333333333333331</v>
      </c>
      <c r="AF9" s="3">
        <v>0.66666666666666663</v>
      </c>
      <c r="AG9" s="3">
        <v>1</v>
      </c>
      <c r="AH9" s="3">
        <v>1.3333333333333333</v>
      </c>
      <c r="AI9" s="3">
        <v>1.6666666666666665</v>
      </c>
      <c r="AJ9" s="3">
        <v>1.9999999999999998</v>
      </c>
      <c r="AK9" s="3">
        <v>2.333333333333333</v>
      </c>
      <c r="AL9" s="3">
        <v>2.6666666666666665</v>
      </c>
      <c r="AM9" s="3">
        <v>3</v>
      </c>
      <c r="AN9" s="3">
        <v>3.3333333333333335</v>
      </c>
      <c r="AO9" s="3"/>
      <c r="AP9" s="3"/>
      <c r="AQ9" s="3"/>
      <c r="AR9" s="3"/>
      <c r="AS9" s="3"/>
      <c r="AT9" s="3"/>
      <c r="AU9" s="3"/>
      <c r="AV9" s="3"/>
      <c r="AX9" s="39"/>
      <c r="AY9" s="3">
        <v>0.33333333333333331</v>
      </c>
      <c r="AZ9" s="3">
        <v>0.66666666666666663</v>
      </c>
      <c r="BA9" s="3">
        <v>1</v>
      </c>
      <c r="BB9" s="3">
        <v>1.3333333333333333</v>
      </c>
      <c r="BC9" s="3">
        <v>1.6666666666666665</v>
      </c>
      <c r="BD9" s="3">
        <v>1.9999999999999998</v>
      </c>
      <c r="BE9" s="3">
        <v>2.333333333333333</v>
      </c>
      <c r="BF9" s="3">
        <v>2.6666666666666665</v>
      </c>
      <c r="BG9" s="3">
        <v>3</v>
      </c>
      <c r="BH9" s="3">
        <v>3.3333333333333335</v>
      </c>
      <c r="BI9" s="3"/>
      <c r="BJ9" s="3"/>
      <c r="BK9" s="3"/>
      <c r="BL9" s="3"/>
      <c r="BM9" s="3"/>
      <c r="BN9" s="3"/>
      <c r="BO9" s="3"/>
      <c r="BP9" s="3"/>
      <c r="BR9" s="13">
        <v>0.33333333333333331</v>
      </c>
      <c r="BS9" s="17">
        <v>0.14950912920238893</v>
      </c>
      <c r="BT9" s="17">
        <v>1.1803420469694732</v>
      </c>
      <c r="BU9" s="17">
        <v>-0.81578963603853571</v>
      </c>
    </row>
    <row r="10" spans="1:87" ht="19.95" customHeight="1" x14ac:dyDescent="0.35">
      <c r="A10" s="1">
        <f t="shared" si="2"/>
        <v>10</v>
      </c>
      <c r="C10" s="3">
        <v>2.7777779999999998E-3</v>
      </c>
      <c r="D10" s="4">
        <v>1.43E-2</v>
      </c>
      <c r="E10" s="3">
        <v>1</v>
      </c>
      <c r="F10" s="4">
        <v>3.5000000000000003E-2</v>
      </c>
      <c r="G10" s="13">
        <v>0.33333333333333331</v>
      </c>
      <c r="H10" s="19">
        <v>0.98188279175782867</v>
      </c>
      <c r="J10" s="3">
        <v>0.5</v>
      </c>
      <c r="K10" s="12">
        <v>0.39953</v>
      </c>
      <c r="L10" s="12">
        <v>0.35431000000000001</v>
      </c>
      <c r="M10" s="12">
        <v>0.34103</v>
      </c>
      <c r="N10" s="12">
        <v>0.31208000000000002</v>
      </c>
      <c r="O10" s="12">
        <v>0.29199999999999998</v>
      </c>
      <c r="P10" s="12">
        <v>0.27834999999999999</v>
      </c>
      <c r="Q10" s="12">
        <v>0.26856000000000002</v>
      </c>
      <c r="R10" s="12">
        <v>0.25846999999999998</v>
      </c>
      <c r="S10" s="12">
        <v>0.2477</v>
      </c>
      <c r="T10" s="12">
        <v>0.24334</v>
      </c>
      <c r="U10" s="12"/>
      <c r="V10" s="12"/>
      <c r="W10" s="12"/>
      <c r="X10" s="12"/>
      <c r="Y10" s="12"/>
      <c r="Z10" s="12"/>
      <c r="AA10" s="12"/>
      <c r="AB10" s="12"/>
      <c r="AD10" s="3">
        <v>0.5</v>
      </c>
      <c r="AE10" s="16">
        <v>0.78026218420731497</v>
      </c>
      <c r="AF10" s="16">
        <v>0.56887699627791433</v>
      </c>
      <c r="AG10" s="16">
        <v>0.54360047403678047</v>
      </c>
      <c r="AH10" s="16">
        <v>0.35543602538237062</v>
      </c>
      <c r="AI10" s="16">
        <v>0.32943289235182127</v>
      </c>
      <c r="AJ10" s="16">
        <v>0.33046180621529275</v>
      </c>
      <c r="AK10" s="16">
        <v>0.31752003311570159</v>
      </c>
      <c r="AL10" s="16">
        <v>0.26385596054369154</v>
      </c>
      <c r="AM10" s="16">
        <v>0.26690350390453604</v>
      </c>
      <c r="AN10" s="16">
        <v>0.29846996920555124</v>
      </c>
      <c r="AO10" s="16"/>
      <c r="AP10" s="16"/>
      <c r="AQ10" s="16"/>
      <c r="AR10" s="16"/>
      <c r="AS10" s="16"/>
      <c r="AT10" s="16"/>
      <c r="AU10" s="16"/>
      <c r="AV10" s="16"/>
      <c r="AX10" s="3">
        <v>0.5</v>
      </c>
      <c r="AY10" s="16">
        <v>0.41115978278977766</v>
      </c>
      <c r="AZ10" s="16">
        <v>0.35452814343815503</v>
      </c>
      <c r="BA10" s="16">
        <v>0.33896788091970886</v>
      </c>
      <c r="BB10" s="16">
        <v>0.30896872581200646</v>
      </c>
      <c r="BC10" s="16">
        <v>0.28793930014222102</v>
      </c>
      <c r="BD10" s="16">
        <v>0.27294917265048685</v>
      </c>
      <c r="BE10" s="16">
        <v>0.26290936417014493</v>
      </c>
      <c r="BF10" s="16">
        <v>0.25358265765874483</v>
      </c>
      <c r="BG10" s="16">
        <v>0.24328756098496629</v>
      </c>
      <c r="BH10" s="16">
        <v>0.23907220629134676</v>
      </c>
      <c r="BI10" s="16"/>
      <c r="BJ10" s="16"/>
      <c r="BK10" s="16"/>
      <c r="BL10" s="16"/>
      <c r="BM10" s="16"/>
      <c r="BN10" s="16"/>
      <c r="BO10" s="16"/>
      <c r="BP10" s="16"/>
      <c r="BR10" s="13">
        <v>0.66666666666666663</v>
      </c>
      <c r="BS10" s="17">
        <v>0.149466340979202</v>
      </c>
      <c r="BT10" s="17">
        <v>0.91090330189114987</v>
      </c>
      <c r="BU10" s="17">
        <v>-0.76973227231056851</v>
      </c>
    </row>
    <row r="11" spans="1:87" ht="19.95" customHeight="1" x14ac:dyDescent="0.35">
      <c r="A11" s="1">
        <f t="shared" si="2"/>
        <v>11</v>
      </c>
      <c r="C11" s="3">
        <v>0.25</v>
      </c>
      <c r="D11" s="4">
        <v>1.6500000000000001E-2</v>
      </c>
      <c r="E11" s="3">
        <v>2</v>
      </c>
      <c r="F11" s="4">
        <v>3.5000000000000003E-2</v>
      </c>
      <c r="G11" s="13">
        <v>0.66666666666666663</v>
      </c>
      <c r="H11" s="19">
        <v>0.98276687993119782</v>
      </c>
      <c r="J11" s="3">
        <v>0.6</v>
      </c>
      <c r="K11" s="12">
        <v>0.35871999999999998</v>
      </c>
      <c r="L11" s="12">
        <v>0.30496000000000001</v>
      </c>
      <c r="M11" s="12">
        <v>0.29508000000000001</v>
      </c>
      <c r="N11" s="12">
        <v>0.26927000000000001</v>
      </c>
      <c r="O11" s="12">
        <v>0.25139</v>
      </c>
      <c r="P11" s="12">
        <v>0.23854</v>
      </c>
      <c r="Q11" s="12">
        <v>0.23055</v>
      </c>
      <c r="R11" s="12">
        <v>0.22373000000000001</v>
      </c>
      <c r="S11" s="12">
        <v>0.21529999999999999</v>
      </c>
      <c r="T11" s="12">
        <v>0.21249999999999999</v>
      </c>
      <c r="U11" s="12"/>
      <c r="V11" s="12"/>
      <c r="W11" s="12"/>
      <c r="X11" s="12"/>
      <c r="Y11" s="12"/>
      <c r="Z11" s="12"/>
      <c r="AA11" s="12"/>
      <c r="AB11" s="12"/>
      <c r="AD11" s="3">
        <v>0.6</v>
      </c>
      <c r="AE11" s="16">
        <v>0.65402945038289695</v>
      </c>
      <c r="AF11" s="16">
        <v>0.48116072441020058</v>
      </c>
      <c r="AG11" s="16">
        <v>0.45647728164227797</v>
      </c>
      <c r="AH11" s="16">
        <v>0.3199268731570083</v>
      </c>
      <c r="AI11" s="16">
        <v>0.29252953319453856</v>
      </c>
      <c r="AJ11" s="16">
        <v>0.28952029941868246</v>
      </c>
      <c r="AK11" s="16">
        <v>0.2831395949195939</v>
      </c>
      <c r="AL11" s="16">
        <v>0.24322506188810286</v>
      </c>
      <c r="AM11" s="16">
        <v>0.24221318713803083</v>
      </c>
      <c r="AN11" s="16">
        <v>0.26512272312780205</v>
      </c>
      <c r="AO11" s="16"/>
      <c r="AP11" s="16"/>
      <c r="AQ11" s="16"/>
      <c r="AR11" s="16"/>
      <c r="AS11" s="16"/>
      <c r="AT11" s="16"/>
      <c r="AU11" s="16"/>
      <c r="AV11" s="16"/>
      <c r="AX11" s="3">
        <v>0.6</v>
      </c>
      <c r="AY11" s="16">
        <v>0.3483812962890212</v>
      </c>
      <c r="AZ11" s="16">
        <v>0.30418247821265387</v>
      </c>
      <c r="BA11" s="16">
        <v>0.29176058576507263</v>
      </c>
      <c r="BB11" s="16">
        <v>0.2685975741035842</v>
      </c>
      <c r="BC11" s="16">
        <v>0.25236787978462982</v>
      </c>
      <c r="BD11" s="16">
        <v>0.24032299158407297</v>
      </c>
      <c r="BE11" s="16">
        <v>0.23288065787584325</v>
      </c>
      <c r="BF11" s="16">
        <v>0.22607691453152912</v>
      </c>
      <c r="BG11" s="16">
        <v>0.21816096216914471</v>
      </c>
      <c r="BH11" s="16">
        <v>0.2153648622528925</v>
      </c>
      <c r="BI11" s="16"/>
      <c r="BJ11" s="16"/>
      <c r="BK11" s="16"/>
      <c r="BL11" s="16"/>
      <c r="BM11" s="16"/>
      <c r="BN11" s="16"/>
      <c r="BO11" s="16"/>
      <c r="BP11" s="16"/>
      <c r="BR11" s="13">
        <v>1</v>
      </c>
      <c r="BS11" s="17">
        <v>0.14929039000143401</v>
      </c>
      <c r="BT11" s="17">
        <v>0.8490394820055589</v>
      </c>
      <c r="BU11" s="17">
        <v>-0.69357739929024165</v>
      </c>
    </row>
    <row r="12" spans="1:87" ht="19.95" customHeight="1" x14ac:dyDescent="0.35">
      <c r="A12" s="1">
        <f t="shared" si="2"/>
        <v>12</v>
      </c>
      <c r="C12" s="3">
        <v>0.5</v>
      </c>
      <c r="D12" s="4">
        <v>1.7149996760000001E-2</v>
      </c>
      <c r="E12" s="3"/>
      <c r="F12" s="4"/>
      <c r="G12" s="13">
        <v>1</v>
      </c>
      <c r="H12" s="19">
        <v>0.98356160687751393</v>
      </c>
      <c r="J12" s="3">
        <v>0.7</v>
      </c>
      <c r="K12" s="12">
        <v>0.29748999999999998</v>
      </c>
      <c r="L12" s="12">
        <v>0.25945000000000001</v>
      </c>
      <c r="M12" s="12">
        <v>0.24746000000000001</v>
      </c>
      <c r="N12" s="12">
        <v>0.23002</v>
      </c>
      <c r="O12" s="12">
        <v>0.21759000000000001</v>
      </c>
      <c r="P12" s="12">
        <v>0.20727000000000001</v>
      </c>
      <c r="Q12" s="12">
        <v>0.20204</v>
      </c>
      <c r="R12" s="12">
        <v>0.19833000000000001</v>
      </c>
      <c r="S12" s="12">
        <v>0.19361999999999999</v>
      </c>
      <c r="T12" s="12">
        <v>0.19223999999999999</v>
      </c>
      <c r="U12" s="12"/>
      <c r="V12" s="12"/>
      <c r="W12" s="12"/>
      <c r="X12" s="12"/>
      <c r="Y12" s="12"/>
      <c r="Z12" s="12"/>
      <c r="AA12" s="12"/>
      <c r="AB12" s="12"/>
      <c r="AD12" s="3">
        <v>0.7</v>
      </c>
      <c r="AE12" s="16">
        <v>0.49743866235690154</v>
      </c>
      <c r="AF12" s="16">
        <v>0.37752267348480134</v>
      </c>
      <c r="AG12" s="16">
        <v>0.35849448823306701</v>
      </c>
      <c r="AH12" s="16">
        <v>0.27087467414336774</v>
      </c>
      <c r="AI12" s="16">
        <v>0.24667163854069768</v>
      </c>
      <c r="AJ12" s="16">
        <v>0.24200677391876149</v>
      </c>
      <c r="AK12" s="16">
        <v>0.24130272238739484</v>
      </c>
      <c r="AL12" s="16">
        <v>0.21428375826830265</v>
      </c>
      <c r="AM12" s="16">
        <v>0.2112751658472195</v>
      </c>
      <c r="AN12" s="16">
        <v>0.22744699109896191</v>
      </c>
      <c r="AO12" s="16"/>
      <c r="AP12" s="16"/>
      <c r="AQ12" s="16"/>
      <c r="AR12" s="16"/>
      <c r="AS12" s="16"/>
      <c r="AT12" s="16"/>
      <c r="AU12" s="16"/>
      <c r="AV12" s="16"/>
      <c r="AX12" s="3">
        <v>0.7</v>
      </c>
      <c r="AY12" s="16">
        <v>0.29178084151602068</v>
      </c>
      <c r="AZ12" s="16">
        <v>0.25902585525140592</v>
      </c>
      <c r="BA12" s="16">
        <v>0.24961801046800131</v>
      </c>
      <c r="BB12" s="16">
        <v>0.23284535020067773</v>
      </c>
      <c r="BC12" s="16">
        <v>0.22114340855250814</v>
      </c>
      <c r="BD12" s="16">
        <v>0.21194146739513492</v>
      </c>
      <c r="BE12" s="16">
        <v>0.20703101415852521</v>
      </c>
      <c r="BF12" s="16">
        <v>0.20268171029153439</v>
      </c>
      <c r="BG12" s="16">
        <v>0.19709480043334432</v>
      </c>
      <c r="BH12" s="16">
        <v>0.19567775360853598</v>
      </c>
      <c r="BI12" s="16"/>
      <c r="BJ12" s="16"/>
      <c r="BK12" s="16"/>
      <c r="BL12" s="16"/>
      <c r="BM12" s="16"/>
      <c r="BN12" s="16"/>
      <c r="BO12" s="16"/>
      <c r="BP12" s="16"/>
      <c r="BR12" s="13">
        <v>1.3333333333333333</v>
      </c>
      <c r="BS12" s="17">
        <v>0.15029559038090426</v>
      </c>
      <c r="BT12" s="17">
        <v>0.71014512511352701</v>
      </c>
      <c r="BU12" s="17">
        <v>-0.63428476889106755</v>
      </c>
    </row>
    <row r="13" spans="1:87" ht="19.95" customHeight="1" x14ac:dyDescent="0.35">
      <c r="A13" s="1">
        <f t="shared" si="2"/>
        <v>13</v>
      </c>
      <c r="C13" s="3">
        <v>0.75</v>
      </c>
      <c r="D13" s="4">
        <v>1.7849993710000001E-2</v>
      </c>
      <c r="E13" s="3"/>
      <c r="F13" s="4"/>
      <c r="G13" s="13">
        <v>1.3333333333333333</v>
      </c>
      <c r="H13" s="19">
        <v>0.98410271542811811</v>
      </c>
      <c r="J13" s="3">
        <v>0.8</v>
      </c>
      <c r="K13" s="12">
        <v>0.24129999999999999</v>
      </c>
      <c r="L13" s="12">
        <v>0.21798999999999999</v>
      </c>
      <c r="M13" s="12">
        <v>0.20821999999999999</v>
      </c>
      <c r="N13" s="12">
        <v>0.19789999999999999</v>
      </c>
      <c r="O13" s="12">
        <v>0.19069</v>
      </c>
      <c r="P13" s="12">
        <v>0.18398</v>
      </c>
      <c r="Q13" s="12">
        <v>0.18196000000000001</v>
      </c>
      <c r="R13" s="12">
        <v>0.18073</v>
      </c>
      <c r="S13" s="12">
        <v>0.17827999999999999</v>
      </c>
      <c r="T13" s="12">
        <v>0.17832000000000001</v>
      </c>
      <c r="U13" s="12"/>
      <c r="V13" s="12"/>
      <c r="W13" s="12"/>
      <c r="X13" s="12"/>
      <c r="Y13" s="12"/>
      <c r="Z13" s="12"/>
      <c r="AA13" s="12"/>
      <c r="AB13" s="12"/>
      <c r="AD13" s="3">
        <v>0.8</v>
      </c>
      <c r="AE13" s="16">
        <v>0.36171161213700814</v>
      </c>
      <c r="AF13" s="16">
        <v>0.28751692601066076</v>
      </c>
      <c r="AG13" s="16">
        <v>0.27409503551197917</v>
      </c>
      <c r="AH13" s="16">
        <v>0.2251893813545596</v>
      </c>
      <c r="AI13" s="16">
        <v>0.2064101019241153</v>
      </c>
      <c r="AJ13" s="16">
        <v>0.20205620818802139</v>
      </c>
      <c r="AK13" s="16">
        <v>0.20594199458210682</v>
      </c>
      <c r="AL13" s="16">
        <v>0.18957719834784484</v>
      </c>
      <c r="AM13" s="16">
        <v>0.1863809885746768</v>
      </c>
      <c r="AN13" s="16">
        <v>0.19800635854726831</v>
      </c>
      <c r="AO13" s="16"/>
      <c r="AP13" s="16"/>
      <c r="AQ13" s="16"/>
      <c r="AR13" s="16"/>
      <c r="AS13" s="16"/>
      <c r="AT13" s="16"/>
      <c r="AU13" s="16"/>
      <c r="AV13" s="16"/>
      <c r="AX13" s="3">
        <v>0.8</v>
      </c>
      <c r="AY13" s="16">
        <v>0.23900771506230942</v>
      </c>
      <c r="AZ13" s="16">
        <v>0.21734088098936521</v>
      </c>
      <c r="BA13" s="16">
        <v>0.21105692141550603</v>
      </c>
      <c r="BB13" s="16">
        <v>0.20058424734073457</v>
      </c>
      <c r="BC13" s="16">
        <v>0.19337986427384449</v>
      </c>
      <c r="BD13" s="16">
        <v>0.18709284596281456</v>
      </c>
      <c r="BE13" s="16">
        <v>0.18478246544591412</v>
      </c>
      <c r="BF13" s="16">
        <v>0.18292271360188694</v>
      </c>
      <c r="BG13" s="16">
        <v>0.17970694241982321</v>
      </c>
      <c r="BH13" s="16">
        <v>0.17965605552729136</v>
      </c>
      <c r="BI13" s="16"/>
      <c r="BJ13" s="16"/>
      <c r="BK13" s="16"/>
      <c r="BL13" s="16"/>
      <c r="BM13" s="16"/>
      <c r="BN13" s="16"/>
      <c r="BO13" s="16"/>
      <c r="BP13" s="16"/>
      <c r="BR13" s="13">
        <v>1.6666666666666665</v>
      </c>
      <c r="BS13" s="17">
        <v>0.15096839354272273</v>
      </c>
      <c r="BT13" s="17">
        <v>0.61923683218148828</v>
      </c>
      <c r="BU13" s="17">
        <v>-0.5745422144095107</v>
      </c>
    </row>
    <row r="14" spans="1:87" ht="19.95" customHeight="1" x14ac:dyDescent="0.35">
      <c r="A14" s="1">
        <f t="shared" si="2"/>
        <v>14</v>
      </c>
      <c r="C14" s="3">
        <v>1</v>
      </c>
      <c r="D14" s="5">
        <v>1.8424997330000002E-2</v>
      </c>
      <c r="E14" s="3"/>
      <c r="F14" s="5"/>
      <c r="G14" s="13">
        <v>1.6666666666666665</v>
      </c>
      <c r="H14" s="20">
        <v>0.98464412167076465</v>
      </c>
      <c r="J14" s="3">
        <v>0.9</v>
      </c>
      <c r="K14" s="12">
        <v>0.18583</v>
      </c>
      <c r="L14" s="12">
        <v>0.17757999999999999</v>
      </c>
      <c r="M14" s="12">
        <v>0.17082</v>
      </c>
      <c r="N14" s="12">
        <v>0.16969000000000001</v>
      </c>
      <c r="O14" s="12">
        <v>0.16891</v>
      </c>
      <c r="P14" s="12">
        <v>0.16619</v>
      </c>
      <c r="Q14" s="12">
        <v>0.16711999999999999</v>
      </c>
      <c r="R14" s="12">
        <v>0.16803000000000001</v>
      </c>
      <c r="S14" s="12">
        <v>0.16741</v>
      </c>
      <c r="T14" s="12">
        <v>0.16885</v>
      </c>
      <c r="U14" s="12"/>
      <c r="V14" s="12"/>
      <c r="W14" s="12"/>
      <c r="X14" s="12"/>
      <c r="Y14" s="12"/>
      <c r="Z14" s="12"/>
      <c r="AA14" s="12"/>
      <c r="AB14" s="12"/>
      <c r="AD14" s="3">
        <v>0.9</v>
      </c>
      <c r="AE14" s="16">
        <v>0.24122091074818966</v>
      </c>
      <c r="AF14" s="16">
        <v>0.20826599826995107</v>
      </c>
      <c r="AG14" s="16">
        <v>0.20110762101396107</v>
      </c>
      <c r="AH14" s="16">
        <v>0.18301975939665086</v>
      </c>
      <c r="AI14" s="16">
        <v>0.17194226907308247</v>
      </c>
      <c r="AJ14" s="16">
        <v>0.16994126019719824</v>
      </c>
      <c r="AK14" s="16">
        <v>0.17785810820468559</v>
      </c>
      <c r="AL14" s="16">
        <v>0.17038550555877746</v>
      </c>
      <c r="AM14" s="16">
        <v>0.168477738974702</v>
      </c>
      <c r="AN14" s="16">
        <v>0.17722008262472896</v>
      </c>
      <c r="AO14" s="16"/>
      <c r="AP14" s="16"/>
      <c r="AQ14" s="16"/>
      <c r="AR14" s="16"/>
      <c r="AS14" s="16"/>
      <c r="AT14" s="16"/>
      <c r="AU14" s="16"/>
      <c r="AV14" s="16"/>
      <c r="AX14" s="3">
        <v>0.9</v>
      </c>
      <c r="AY14" s="16">
        <v>0.18828812488060792</v>
      </c>
      <c r="AZ14" s="16">
        <v>0.17809050242103017</v>
      </c>
      <c r="BA14" s="16">
        <v>0.17542207166342733</v>
      </c>
      <c r="BB14" s="16">
        <v>0.17151114315412627</v>
      </c>
      <c r="BC14" s="16">
        <v>0.16897774289523387</v>
      </c>
      <c r="BD14" s="16">
        <v>0.1658475588864147</v>
      </c>
      <c r="BE14" s="16">
        <v>0.16628496819298766</v>
      </c>
      <c r="BF14" s="16">
        <v>0.16696860944553343</v>
      </c>
      <c r="BG14" s="16">
        <v>0.16617137031146945</v>
      </c>
      <c r="BH14" s="16">
        <v>0.16742978937377306</v>
      </c>
      <c r="BI14" s="16"/>
      <c r="BJ14" s="16"/>
      <c r="BK14" s="16"/>
      <c r="BL14" s="16"/>
      <c r="BM14" s="16"/>
      <c r="BN14" s="16"/>
      <c r="BO14" s="16"/>
      <c r="BP14" s="16"/>
      <c r="BR14" s="13">
        <v>1.9999999999999998</v>
      </c>
      <c r="BS14" s="17">
        <v>0.14946743816739316</v>
      </c>
      <c r="BT14" s="17">
        <v>0.56973113614437432</v>
      </c>
      <c r="BU14" s="17">
        <v>-0.50024293713360468</v>
      </c>
    </row>
    <row r="15" spans="1:87" ht="19.95" customHeight="1" x14ac:dyDescent="0.35">
      <c r="A15" s="1">
        <f t="shared" si="2"/>
        <v>15</v>
      </c>
      <c r="C15" s="3">
        <v>2</v>
      </c>
      <c r="D15" s="5">
        <v>2.0074999999999999E-2</v>
      </c>
      <c r="E15" s="3"/>
      <c r="F15" s="5"/>
      <c r="G15" s="13">
        <v>1.9999999999999998</v>
      </c>
      <c r="H15" s="20">
        <v>0.98518582576922953</v>
      </c>
      <c r="J15" s="3">
        <v>1</v>
      </c>
      <c r="K15" s="12">
        <v>0.13402</v>
      </c>
      <c r="L15" s="12">
        <v>0.14104</v>
      </c>
      <c r="M15" s="12">
        <v>0.14266999999999999</v>
      </c>
      <c r="N15" s="12">
        <v>0.14749000000000001</v>
      </c>
      <c r="O15" s="12">
        <v>0.15106</v>
      </c>
      <c r="P15" s="12">
        <v>0.15182000000000001</v>
      </c>
      <c r="Q15" s="12">
        <v>0.15537000000000001</v>
      </c>
      <c r="R15" s="12">
        <v>0.15823000000000001</v>
      </c>
      <c r="S15" s="12">
        <v>0.15916</v>
      </c>
      <c r="T15" s="12">
        <v>0.16161</v>
      </c>
      <c r="U15" s="12"/>
      <c r="V15" s="12"/>
      <c r="W15" s="12"/>
      <c r="X15" s="12"/>
      <c r="Y15" s="12"/>
      <c r="Z15" s="12"/>
      <c r="AA15" s="12"/>
      <c r="AB15" s="12"/>
      <c r="AD15" s="3">
        <v>1</v>
      </c>
      <c r="AE15" s="16">
        <v>0.13860581843766281</v>
      </c>
      <c r="AF15" s="16">
        <v>0.14245153991643941</v>
      </c>
      <c r="AG15" s="16">
        <v>0.14397624339037166</v>
      </c>
      <c r="AH15" s="16">
        <v>0.14844350800529893</v>
      </c>
      <c r="AI15" s="16">
        <v>0.14631590302373335</v>
      </c>
      <c r="AJ15" s="16">
        <v>0.14848746748244351</v>
      </c>
      <c r="AK15" s="16">
        <v>0.15973294277085032</v>
      </c>
      <c r="AL15" s="16">
        <v>0.15910518981632218</v>
      </c>
      <c r="AM15" s="16">
        <v>0.15919493624950193</v>
      </c>
      <c r="AN15" s="16">
        <v>0.1659436658051622</v>
      </c>
      <c r="AO15" s="16"/>
      <c r="AP15" s="16"/>
      <c r="AQ15" s="16"/>
      <c r="AR15" s="16"/>
      <c r="AS15" s="16"/>
      <c r="AT15" s="16"/>
      <c r="AU15" s="16"/>
      <c r="AV15" s="16"/>
      <c r="AX15" s="3">
        <v>1</v>
      </c>
      <c r="AY15" s="16">
        <v>0.13904657604601836</v>
      </c>
      <c r="AZ15" s="16">
        <v>0.14153436247454546</v>
      </c>
      <c r="BA15" s="16">
        <v>0.14372088165629121</v>
      </c>
      <c r="BB15" s="16">
        <v>0.14669711286233755</v>
      </c>
      <c r="BC15" s="16">
        <v>0.14893792936176534</v>
      </c>
      <c r="BD15" s="16">
        <v>0.14923432539200596</v>
      </c>
      <c r="BE15" s="16">
        <v>0.15242516455964322</v>
      </c>
      <c r="BF15" s="16">
        <v>0.15550060183830139</v>
      </c>
      <c r="BG15" s="16">
        <v>0.15698170628128247</v>
      </c>
      <c r="BH15" s="16">
        <v>0.15934123896897989</v>
      </c>
      <c r="BI15" s="16"/>
      <c r="BJ15" s="16"/>
      <c r="BK15" s="16"/>
      <c r="BL15" s="16"/>
      <c r="BM15" s="16"/>
      <c r="BN15" s="16"/>
      <c r="BO15" s="16"/>
      <c r="BP15" s="16"/>
      <c r="BR15" s="13">
        <v>2.333333333333333</v>
      </c>
      <c r="BS15" s="17">
        <v>0.15140693445772993</v>
      </c>
      <c r="BT15" s="17">
        <v>0.52626393503036151</v>
      </c>
      <c r="BU15" s="17">
        <v>-0.44004262618552203</v>
      </c>
    </row>
    <row r="16" spans="1:87" ht="19.95" customHeight="1" x14ac:dyDescent="0.35">
      <c r="A16" s="1">
        <f t="shared" si="2"/>
        <v>16</v>
      </c>
      <c r="C16" s="3">
        <v>3</v>
      </c>
      <c r="D16" s="5">
        <v>2.1100000000000001E-2</v>
      </c>
      <c r="E16" s="3"/>
      <c r="F16" s="5"/>
      <c r="G16" s="13">
        <v>2.333333333333333</v>
      </c>
      <c r="H16" s="20">
        <v>0.98552248843629786</v>
      </c>
      <c r="J16" s="3">
        <v>1.1000000000000001</v>
      </c>
      <c r="K16" s="12">
        <v>0.10327</v>
      </c>
      <c r="L16" s="12">
        <v>0.11413</v>
      </c>
      <c r="M16" s="12">
        <v>0.12809999999999999</v>
      </c>
      <c r="N16" s="12">
        <v>0.13346</v>
      </c>
      <c r="O16" s="12">
        <v>0.13786000000000001</v>
      </c>
      <c r="P16" s="12">
        <v>0.14172999999999999</v>
      </c>
      <c r="Q16" s="12">
        <v>0.14682000000000001</v>
      </c>
      <c r="R16" s="12">
        <v>0.15109</v>
      </c>
      <c r="S16" s="12">
        <v>0.15386</v>
      </c>
      <c r="T16" s="12">
        <v>0.15673000000000001</v>
      </c>
      <c r="U16" s="12"/>
      <c r="V16" s="12"/>
      <c r="W16" s="12"/>
      <c r="X16" s="12"/>
      <c r="Y16" s="12"/>
      <c r="Z16" s="12"/>
      <c r="AA16" s="12"/>
      <c r="AB16" s="12"/>
      <c r="AD16" s="3">
        <v>1.1000000000000001</v>
      </c>
      <c r="AE16" s="16">
        <v>9.1536597561672414E-2</v>
      </c>
      <c r="AF16" s="16">
        <v>0.10604151453509286</v>
      </c>
      <c r="AG16" s="16">
        <v>0.11838892452271298</v>
      </c>
      <c r="AH16" s="16">
        <v>0.13025837362588916</v>
      </c>
      <c r="AI16" s="16">
        <v>0.13479678805948112</v>
      </c>
      <c r="AJ16" s="16">
        <v>0.14168378195594183</v>
      </c>
      <c r="AK16" s="16">
        <v>0.1544773032930446</v>
      </c>
      <c r="AL16" s="16">
        <v>0.1578687265711807</v>
      </c>
      <c r="AM16" s="16">
        <v>0.15951817163219703</v>
      </c>
      <c r="AN16" s="16">
        <v>0.16433488729122367</v>
      </c>
      <c r="AO16" s="16"/>
      <c r="AP16" s="16"/>
      <c r="AQ16" s="16"/>
      <c r="AR16" s="16"/>
      <c r="AS16" s="16"/>
      <c r="AT16" s="16"/>
      <c r="AU16" s="16"/>
      <c r="AV16" s="16"/>
      <c r="AX16" s="3">
        <v>1.1000000000000001</v>
      </c>
      <c r="AY16" s="16">
        <v>0.1032006154547149</v>
      </c>
      <c r="AZ16" s="16">
        <v>0.11363021322291708</v>
      </c>
      <c r="BA16" s="16">
        <v>0.12186675600566001</v>
      </c>
      <c r="BB16" s="16">
        <v>0.12977793680568006</v>
      </c>
      <c r="BC16" s="16">
        <v>0.13564477382612167</v>
      </c>
      <c r="BD16" s="16">
        <v>0.13905109752914538</v>
      </c>
      <c r="BE16" s="16">
        <v>0.1443853309912152</v>
      </c>
      <c r="BF16" s="16">
        <v>0.14919100093904414</v>
      </c>
      <c r="BG16" s="16">
        <v>0.15241689874331341</v>
      </c>
      <c r="BH16" s="16">
        <v>0.1554723242303197</v>
      </c>
      <c r="BI16" s="16"/>
      <c r="BJ16" s="16"/>
      <c r="BK16" s="16"/>
      <c r="BL16" s="16"/>
      <c r="BM16" s="16"/>
      <c r="BN16" s="16"/>
      <c r="BO16" s="16"/>
      <c r="BP16" s="16"/>
      <c r="BR16" s="13">
        <v>2.6666666666666665</v>
      </c>
      <c r="BS16" s="17">
        <v>0.15349531662181265</v>
      </c>
      <c r="BT16" s="17">
        <v>0.48580304880063235</v>
      </c>
      <c r="BU16" s="17">
        <v>-0.38494045350497264</v>
      </c>
    </row>
    <row r="17" spans="1:73" ht="19.95" customHeight="1" x14ac:dyDescent="0.35">
      <c r="A17" s="1">
        <f t="shared" si="2"/>
        <v>17</v>
      </c>
      <c r="C17" s="3">
        <v>4</v>
      </c>
      <c r="D17" s="6">
        <v>2.18E-2</v>
      </c>
      <c r="E17" s="3"/>
      <c r="F17" s="6"/>
      <c r="G17" s="13">
        <v>2.6666666666666665</v>
      </c>
      <c r="H17" s="21">
        <v>0.98585926614943009</v>
      </c>
      <c r="J17" s="3">
        <v>1.2</v>
      </c>
      <c r="K17" s="12">
        <v>0.10983999999999999</v>
      </c>
      <c r="L17" s="12">
        <v>0.10829999999999999</v>
      </c>
      <c r="M17" s="12">
        <v>0.12136</v>
      </c>
      <c r="N17" s="12">
        <v>0.12608</v>
      </c>
      <c r="O17" s="12">
        <v>0.13128000000000001</v>
      </c>
      <c r="P17" s="12">
        <v>0.13700000000000001</v>
      </c>
      <c r="Q17" s="12">
        <v>0.14288000000000001</v>
      </c>
      <c r="R17" s="12">
        <v>0.14802000000000001</v>
      </c>
      <c r="S17" s="12">
        <v>0.15206</v>
      </c>
      <c r="T17" s="12">
        <v>0.15514</v>
      </c>
      <c r="U17" s="12"/>
      <c r="V17" s="12"/>
      <c r="W17" s="12"/>
      <c r="X17" s="12"/>
      <c r="Y17" s="12"/>
      <c r="Z17" s="12"/>
      <c r="AA17" s="12"/>
      <c r="AB17" s="12"/>
      <c r="AD17" s="3">
        <v>1.2</v>
      </c>
      <c r="AE17" s="16">
        <v>0.12172905067263173</v>
      </c>
      <c r="AF17" s="16">
        <v>0.11196472754760725</v>
      </c>
      <c r="AG17" s="16">
        <v>0.13209840482363816</v>
      </c>
      <c r="AH17" s="16">
        <v>0.13379234229020995</v>
      </c>
      <c r="AI17" s="16">
        <v>0.14028070616738367</v>
      </c>
      <c r="AJ17" s="16">
        <v>0.15084761542920191</v>
      </c>
      <c r="AK17" s="16">
        <v>0.16259471408232443</v>
      </c>
      <c r="AL17" s="16">
        <v>0.16689881183839192</v>
      </c>
      <c r="AM17" s="16">
        <v>0.16877576358806493</v>
      </c>
      <c r="AN17" s="16">
        <v>0.1712556425209911</v>
      </c>
      <c r="AO17" s="16"/>
      <c r="AP17" s="16"/>
      <c r="AQ17" s="16"/>
      <c r="AR17" s="16"/>
      <c r="AS17" s="16"/>
      <c r="AT17" s="16"/>
      <c r="AU17" s="16"/>
      <c r="AV17" s="16"/>
      <c r="AX17" s="3">
        <v>1.2</v>
      </c>
      <c r="AY17" s="16">
        <v>0.10447342885228411</v>
      </c>
      <c r="AZ17" s="16">
        <v>0.10691112339884731</v>
      </c>
      <c r="BA17" s="16">
        <v>0.11747125422930849</v>
      </c>
      <c r="BB17" s="16">
        <v>0.12450077982106474</v>
      </c>
      <c r="BC17" s="16">
        <v>0.13093395831106905</v>
      </c>
      <c r="BD17" s="16">
        <v>0.13605823850599347</v>
      </c>
      <c r="BE17" s="16">
        <v>0.14229593371467578</v>
      </c>
      <c r="BF17" s="16">
        <v>0.1478001481196114</v>
      </c>
      <c r="BG17" s="16">
        <v>0.15196946892817226</v>
      </c>
      <c r="BH17" s="16">
        <v>0.15525836637413595</v>
      </c>
      <c r="BI17" s="16"/>
      <c r="BJ17" s="16"/>
      <c r="BK17" s="16"/>
      <c r="BL17" s="16"/>
      <c r="BM17" s="16"/>
      <c r="BN17" s="16"/>
      <c r="BO17" s="16"/>
      <c r="BP17" s="16"/>
      <c r="BR17" s="13">
        <v>3</v>
      </c>
      <c r="BS17" s="17">
        <v>0.15392008229413279</v>
      </c>
      <c r="BT17" s="17">
        <v>0.45100639451998736</v>
      </c>
      <c r="BU17" s="17">
        <v>-0.32037043916690583</v>
      </c>
    </row>
    <row r="18" spans="1:73" ht="19.95" customHeight="1" x14ac:dyDescent="0.35">
      <c r="A18" s="1">
        <f t="shared" si="2"/>
        <v>18</v>
      </c>
      <c r="C18" s="3">
        <v>5</v>
      </c>
      <c r="D18" s="6">
        <v>2.2280000000000001E-2</v>
      </c>
      <c r="E18" s="3"/>
      <c r="F18" s="6"/>
      <c r="G18" s="13">
        <v>3</v>
      </c>
      <c r="H18" s="21">
        <v>0.98619615894794022</v>
      </c>
      <c r="J18" s="3">
        <v>1.3</v>
      </c>
      <c r="K18" s="12">
        <v>0.11482000000000001</v>
      </c>
      <c r="L18" s="12">
        <v>0.1139</v>
      </c>
      <c r="M18" s="12">
        <v>0.11792999999999999</v>
      </c>
      <c r="N18" s="12">
        <v>0.12475</v>
      </c>
      <c r="O18" s="12">
        <v>0.13103000000000001</v>
      </c>
      <c r="P18" s="12">
        <v>0.13549</v>
      </c>
      <c r="Q18" s="12">
        <v>0.14180000000000001</v>
      </c>
      <c r="R18" s="12">
        <v>0.14774999999999999</v>
      </c>
      <c r="S18" s="12">
        <v>0.15260000000000001</v>
      </c>
      <c r="T18" s="12">
        <v>0.15597</v>
      </c>
      <c r="U18" s="12"/>
      <c r="V18" s="12"/>
      <c r="W18" s="12"/>
      <c r="X18" s="12"/>
      <c r="Y18" s="12"/>
      <c r="Z18" s="12"/>
      <c r="AA18" s="12"/>
      <c r="AB18" s="12"/>
      <c r="AD18" s="3">
        <v>1.3</v>
      </c>
      <c r="AE18" s="16">
        <v>0.17086418700616307</v>
      </c>
      <c r="AF18" s="16">
        <v>0.13366769508135343</v>
      </c>
      <c r="AG18" s="16">
        <v>0.15111034882678065</v>
      </c>
      <c r="AH18" s="16">
        <v>0.13898175423847045</v>
      </c>
      <c r="AI18" s="16">
        <v>0.14604424550370981</v>
      </c>
      <c r="AJ18" s="16">
        <v>0.15871727440911065</v>
      </c>
      <c r="AK18" s="16">
        <v>0.1681799616604413</v>
      </c>
      <c r="AL18" s="16">
        <v>0.17237382787133806</v>
      </c>
      <c r="AM18" s="16">
        <v>0.17418335809987223</v>
      </c>
      <c r="AN18" s="16">
        <v>0.17459863677910761</v>
      </c>
      <c r="AO18" s="16"/>
      <c r="AP18" s="16"/>
      <c r="AQ18" s="16"/>
      <c r="AR18" s="16"/>
      <c r="AS18" s="16"/>
      <c r="AT18" s="16"/>
      <c r="AU18" s="16"/>
      <c r="AV18" s="16"/>
      <c r="AX18" s="3">
        <v>1.3</v>
      </c>
      <c r="AY18" s="16">
        <v>0.11853100866522721</v>
      </c>
      <c r="AZ18" s="16">
        <v>0.11408360614177243</v>
      </c>
      <c r="BA18" s="16">
        <v>0.12427204284020396</v>
      </c>
      <c r="BB18" s="16">
        <v>0.12806125599116072</v>
      </c>
      <c r="BC18" s="16">
        <v>0.13303602351687396</v>
      </c>
      <c r="BD18" s="16">
        <v>0.13849722132292389</v>
      </c>
      <c r="BE18" s="16">
        <v>0.14463719626247432</v>
      </c>
      <c r="BF18" s="16">
        <v>0.15003678942178209</v>
      </c>
      <c r="BG18" s="16">
        <v>0.15447431006814594</v>
      </c>
      <c r="BH18" s="16">
        <v>0.15766377524518813</v>
      </c>
      <c r="BI18" s="16"/>
      <c r="BJ18" s="16"/>
      <c r="BK18" s="16"/>
      <c r="BL18" s="16"/>
      <c r="BM18" s="16"/>
      <c r="BN18" s="16"/>
      <c r="BO18" s="16"/>
      <c r="BP18" s="16"/>
      <c r="BR18" s="13">
        <v>3.3333333333333335</v>
      </c>
      <c r="BS18" s="17">
        <v>0.15575562199690204</v>
      </c>
      <c r="BT18" s="17">
        <v>0.42947354670581006</v>
      </c>
      <c r="BU18" s="17">
        <v>-0.2915123778946524</v>
      </c>
    </row>
    <row r="19" spans="1:73" ht="19.95" customHeight="1" x14ac:dyDescent="0.35">
      <c r="A19" s="1">
        <f t="shared" si="2"/>
        <v>19</v>
      </c>
      <c r="C19" s="7">
        <v>7</v>
      </c>
      <c r="D19" s="4">
        <v>2.2800000000000001E-2</v>
      </c>
      <c r="E19" s="7"/>
      <c r="F19" s="4"/>
      <c r="G19" s="14">
        <v>3.3333333333333335</v>
      </c>
      <c r="H19" s="19">
        <v>0.98642629823356731</v>
      </c>
      <c r="J19" s="3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D19" s="3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X19" s="3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R19" s="13"/>
      <c r="BS19" s="17"/>
      <c r="BT19" s="17"/>
      <c r="BU19" s="17"/>
    </row>
    <row r="20" spans="1:73" ht="19.95" customHeight="1" x14ac:dyDescent="0.35">
      <c r="A20" s="1">
        <f t="shared" si="2"/>
        <v>20</v>
      </c>
      <c r="C20" s="7">
        <v>10</v>
      </c>
      <c r="D20" s="4">
        <v>2.3525000000000001E-2</v>
      </c>
      <c r="E20" s="7"/>
      <c r="F20" s="4"/>
      <c r="G20" s="14"/>
      <c r="H20" s="19"/>
      <c r="J20" s="3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D20" s="3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X20" s="3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R20" s="13"/>
      <c r="BS20" s="17"/>
      <c r="BT20" s="17"/>
      <c r="BU20" s="17"/>
    </row>
    <row r="21" spans="1:73" ht="19.95" customHeight="1" x14ac:dyDescent="0.35">
      <c r="A21" s="1">
        <f t="shared" si="2"/>
        <v>21</v>
      </c>
      <c r="C21" s="3"/>
      <c r="D21" s="6"/>
      <c r="E21" s="3"/>
      <c r="F21" s="6"/>
      <c r="G21" s="13"/>
      <c r="H21" s="21"/>
      <c r="J21" s="3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D21" s="3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X21" s="3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R21" s="13"/>
      <c r="BS21" s="17"/>
      <c r="BT21" s="17"/>
      <c r="BU21" s="17"/>
    </row>
    <row r="22" spans="1:73" ht="19.95" customHeight="1" x14ac:dyDescent="0.35">
      <c r="A22" s="1">
        <f t="shared" si="2"/>
        <v>22</v>
      </c>
      <c r="C22" s="3"/>
      <c r="D22" s="5"/>
      <c r="E22" s="3"/>
      <c r="F22" s="5"/>
      <c r="G22" s="13"/>
      <c r="H22" s="20"/>
      <c r="J22" s="3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D22" s="3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X22" s="3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R22" s="13"/>
      <c r="BS22" s="17"/>
      <c r="BT22" s="17"/>
      <c r="BU22" s="17"/>
    </row>
    <row r="23" spans="1:73" ht="19.95" customHeight="1" x14ac:dyDescent="0.35">
      <c r="A23" s="1">
        <f t="shared" si="2"/>
        <v>23</v>
      </c>
      <c r="C23" s="3"/>
      <c r="D23" s="6"/>
      <c r="E23" s="3"/>
      <c r="F23" s="6"/>
      <c r="G23" s="13"/>
      <c r="H23" s="21"/>
      <c r="J23" s="3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D23" s="3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X23" s="3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R23" s="13"/>
      <c r="BS23" s="17"/>
      <c r="BT23" s="17"/>
      <c r="BU23" s="17"/>
    </row>
    <row r="24" spans="1:73" ht="19.95" customHeight="1" x14ac:dyDescent="0.35">
      <c r="A24" s="1">
        <f t="shared" si="2"/>
        <v>24</v>
      </c>
      <c r="C24" s="3"/>
      <c r="D24" s="6"/>
      <c r="E24" s="3"/>
      <c r="F24" s="6"/>
      <c r="G24" s="13"/>
      <c r="H24" s="21"/>
      <c r="J24" s="3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D24" s="3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X24" s="3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R24" s="13"/>
      <c r="BS24" s="17"/>
      <c r="BT24" s="17"/>
      <c r="BU24" s="17"/>
    </row>
    <row r="25" spans="1:73" ht="19.95" customHeight="1" x14ac:dyDescent="0.35">
      <c r="A25" s="1">
        <f t="shared" si="2"/>
        <v>25</v>
      </c>
      <c r="C25" s="7"/>
      <c r="D25" s="4"/>
      <c r="E25" s="7"/>
      <c r="F25" s="4"/>
      <c r="G25" s="14"/>
      <c r="H25" s="19"/>
      <c r="J25" s="3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D25" s="3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X25" s="3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R25" s="13"/>
      <c r="BS25" s="17"/>
      <c r="BT25" s="17"/>
      <c r="BU25" s="17"/>
    </row>
    <row r="26" spans="1:73" ht="19.95" customHeight="1" x14ac:dyDescent="0.35">
      <c r="A26" s="1">
        <f t="shared" si="2"/>
        <v>26</v>
      </c>
      <c r="C26" s="7"/>
      <c r="D26" s="4"/>
      <c r="E26" s="7"/>
      <c r="F26" s="4"/>
      <c r="G26" s="14"/>
      <c r="H26" s="19"/>
      <c r="J26" s="3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D26" s="3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X26" s="3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R26" s="13"/>
      <c r="BS26" s="17"/>
      <c r="BT26" s="17"/>
      <c r="BU26" s="17"/>
    </row>
    <row r="27" spans="1:73" ht="19.95" customHeight="1" x14ac:dyDescent="0.35">
      <c r="A27" s="1">
        <f t="shared" si="2"/>
        <v>27</v>
      </c>
      <c r="C27" s="3"/>
      <c r="D27" s="6"/>
      <c r="E27" s="3"/>
      <c r="F27" s="6"/>
      <c r="G27" s="13"/>
      <c r="H27" s="21"/>
      <c r="J27" s="3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D27" s="3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X27" s="3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R27" s="13"/>
      <c r="BS27" s="17"/>
      <c r="BT27" s="17"/>
      <c r="BU27" s="17"/>
    </row>
    <row r="28" spans="1:73" ht="19.95" customHeight="1" x14ac:dyDescent="0.35">
      <c r="A28" s="1">
        <f t="shared" si="2"/>
        <v>28</v>
      </c>
      <c r="C28" s="3"/>
      <c r="D28" s="5"/>
      <c r="E28" s="3"/>
      <c r="F28" s="5"/>
      <c r="G28" s="13"/>
      <c r="H28" s="20"/>
      <c r="J28" s="3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D28" s="3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X28" s="3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R28" s="13"/>
      <c r="BS28" s="17"/>
      <c r="BT28" s="17"/>
      <c r="BU28" s="17"/>
    </row>
    <row r="29" spans="1:73" ht="19.95" customHeight="1" x14ac:dyDescent="0.35">
      <c r="A29" s="1">
        <f t="shared" si="2"/>
        <v>29</v>
      </c>
      <c r="J29" s="3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D29" s="3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X29" s="3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</row>
    <row r="30" spans="1:73" ht="19.95" customHeight="1" x14ac:dyDescent="0.35">
      <c r="A30" s="1">
        <f t="shared" si="2"/>
        <v>30</v>
      </c>
      <c r="J30" s="3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D30" s="3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X30" s="3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</row>
    <row r="31" spans="1:73" ht="19.95" customHeight="1" x14ac:dyDescent="0.35">
      <c r="A31" s="1">
        <f t="shared" si="2"/>
        <v>31</v>
      </c>
      <c r="J31" s="3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D31" s="3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X31" s="3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</row>
    <row r="32" spans="1:73" ht="19.95" customHeight="1" x14ac:dyDescent="0.35">
      <c r="A32" s="1">
        <f t="shared" si="2"/>
        <v>32</v>
      </c>
      <c r="J32" s="3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D32" s="3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X32" s="3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</row>
    <row r="33" spans="1:68" ht="19.95" customHeight="1" x14ac:dyDescent="0.35">
      <c r="A33" s="1">
        <f t="shared" si="2"/>
        <v>33</v>
      </c>
      <c r="J33" s="3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D33" s="3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X33" s="3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</row>
    <row r="34" spans="1:68" ht="19.95" customHeight="1" x14ac:dyDescent="0.4">
      <c r="A34" s="1">
        <f t="shared" si="2"/>
        <v>34</v>
      </c>
    </row>
    <row r="35" spans="1:68" ht="19.95" customHeight="1" x14ac:dyDescent="0.4">
      <c r="A35" s="1">
        <f t="shared" si="2"/>
        <v>35</v>
      </c>
    </row>
    <row r="36" spans="1:68" ht="19.95" customHeight="1" x14ac:dyDescent="0.4">
      <c r="A36" s="1">
        <f t="shared" si="2"/>
        <v>36</v>
      </c>
    </row>
    <row r="37" spans="1:68" ht="19.95" customHeight="1" x14ac:dyDescent="0.4">
      <c r="A37" s="1">
        <f t="shared" si="2"/>
        <v>37</v>
      </c>
    </row>
    <row r="38" spans="1:68" ht="19.95" customHeight="1" x14ac:dyDescent="0.4">
      <c r="A38" s="1">
        <f t="shared" si="2"/>
        <v>38</v>
      </c>
    </row>
    <row r="39" spans="1:68" ht="19.95" customHeight="1" x14ac:dyDescent="0.4">
      <c r="A39" s="1">
        <f t="shared" si="2"/>
        <v>39</v>
      </c>
    </row>
    <row r="40" spans="1:68" ht="19.95" customHeight="1" x14ac:dyDescent="0.4">
      <c r="A40" s="1">
        <f t="shared" si="2"/>
        <v>40</v>
      </c>
    </row>
    <row r="41" spans="1:68" ht="19.95" customHeight="1" x14ac:dyDescent="0.4">
      <c r="A41" s="1">
        <f t="shared" si="2"/>
        <v>41</v>
      </c>
    </row>
    <row r="42" spans="1:68" ht="19.95" customHeight="1" x14ac:dyDescent="0.4">
      <c r="A42" s="1">
        <f t="shared" si="2"/>
        <v>42</v>
      </c>
    </row>
    <row r="43" spans="1:68" ht="19.95" customHeight="1" x14ac:dyDescent="0.4">
      <c r="A43" s="1">
        <f t="shared" si="2"/>
        <v>43</v>
      </c>
    </row>
    <row r="44" spans="1:68" ht="19.95" customHeight="1" x14ac:dyDescent="0.4">
      <c r="A44" s="1">
        <f t="shared" si="2"/>
        <v>44</v>
      </c>
    </row>
    <row r="45" spans="1:68" ht="19.95" customHeight="1" x14ac:dyDescent="0.4">
      <c r="A45" s="1">
        <f t="shared" si="2"/>
        <v>45</v>
      </c>
    </row>
    <row r="46" spans="1:68" ht="19.95" customHeight="1" x14ac:dyDescent="0.4">
      <c r="A46" s="1">
        <f t="shared" si="2"/>
        <v>46</v>
      </c>
    </row>
    <row r="47" spans="1:68" ht="19.95" customHeight="1" x14ac:dyDescent="0.4">
      <c r="A47" s="1">
        <f t="shared" si="2"/>
        <v>47</v>
      </c>
    </row>
    <row r="48" spans="1:68" ht="19.95" customHeight="1" x14ac:dyDescent="0.4">
      <c r="A48" s="1">
        <f t="shared" si="2"/>
        <v>48</v>
      </c>
    </row>
    <row r="49" spans="1:1" ht="19.95" customHeight="1" x14ac:dyDescent="0.4">
      <c r="A49" s="1">
        <f t="shared" si="2"/>
        <v>49</v>
      </c>
    </row>
    <row r="50" spans="1:1" ht="19.95" customHeight="1" x14ac:dyDescent="0.4">
      <c r="A50" s="1">
        <f t="shared" si="2"/>
        <v>50</v>
      </c>
    </row>
    <row r="51" spans="1:1" ht="19.95" customHeight="1" x14ac:dyDescent="0.4">
      <c r="A51" s="1">
        <f t="shared" si="2"/>
        <v>51</v>
      </c>
    </row>
    <row r="52" spans="1:1" ht="19.95" customHeight="1" x14ac:dyDescent="0.4">
      <c r="A52" s="1">
        <f t="shared" si="2"/>
        <v>52</v>
      </c>
    </row>
    <row r="53" spans="1:1" ht="19.95" customHeight="1" x14ac:dyDescent="0.4">
      <c r="A53" s="1">
        <f t="shared" si="2"/>
        <v>53</v>
      </c>
    </row>
    <row r="54" spans="1:1" ht="19.95" customHeight="1" x14ac:dyDescent="0.4">
      <c r="A54" s="1">
        <f t="shared" si="2"/>
        <v>54</v>
      </c>
    </row>
    <row r="55" spans="1:1" ht="19.95" customHeight="1" x14ac:dyDescent="0.4">
      <c r="A55" s="1">
        <f t="shared" si="2"/>
        <v>55</v>
      </c>
    </row>
    <row r="56" spans="1:1" ht="19.95" customHeight="1" x14ac:dyDescent="0.4">
      <c r="A56" s="1">
        <f t="shared" si="2"/>
        <v>56</v>
      </c>
    </row>
    <row r="57" spans="1:1" ht="19.95" customHeight="1" x14ac:dyDescent="0.4">
      <c r="A57" s="1">
        <f t="shared" si="2"/>
        <v>57</v>
      </c>
    </row>
    <row r="58" spans="1:1" ht="19.95" customHeight="1" x14ac:dyDescent="0.4">
      <c r="A58" s="1">
        <f t="shared" si="2"/>
        <v>58</v>
      </c>
    </row>
    <row r="59" spans="1:1" ht="19.95" customHeight="1" x14ac:dyDescent="0.4">
      <c r="A59" s="1">
        <f t="shared" si="2"/>
        <v>59</v>
      </c>
    </row>
    <row r="60" spans="1:1" ht="19.95" customHeight="1" x14ac:dyDescent="0.4">
      <c r="A60" s="1">
        <f t="shared" si="2"/>
        <v>60</v>
      </c>
    </row>
    <row r="61" spans="1:1" ht="19.95" customHeight="1" x14ac:dyDescent="0.4">
      <c r="A61" s="1">
        <f t="shared" si="2"/>
        <v>61</v>
      </c>
    </row>
    <row r="62" spans="1:1" ht="19.95" customHeight="1" x14ac:dyDescent="0.4">
      <c r="A62" s="1">
        <f t="shared" si="2"/>
        <v>62</v>
      </c>
    </row>
    <row r="63" spans="1:1" ht="19.95" customHeight="1" x14ac:dyDescent="0.4">
      <c r="A63" s="1">
        <f t="shared" si="2"/>
        <v>63</v>
      </c>
    </row>
    <row r="64" spans="1:1" ht="19.95" customHeight="1" x14ac:dyDescent="0.4">
      <c r="A64" s="1">
        <f t="shared" si="2"/>
        <v>64</v>
      </c>
    </row>
    <row r="65" spans="1:1" ht="19.95" customHeight="1" x14ac:dyDescent="0.4">
      <c r="A65" s="1">
        <f t="shared" si="2"/>
        <v>65</v>
      </c>
    </row>
    <row r="66" spans="1:1" ht="19.95" customHeight="1" x14ac:dyDescent="0.4">
      <c r="A66" s="1">
        <f t="shared" si="2"/>
        <v>66</v>
      </c>
    </row>
  </sheetData>
  <mergeCells count="16">
    <mergeCell ref="BR7:BU7"/>
    <mergeCell ref="J8:J9"/>
    <mergeCell ref="AD8:AD9"/>
    <mergeCell ref="J7:N7"/>
    <mergeCell ref="AD7:AH7"/>
    <mergeCell ref="AX7:BB7"/>
    <mergeCell ref="AX8:AX9"/>
    <mergeCell ref="C4:D4"/>
    <mergeCell ref="E4:F4"/>
    <mergeCell ref="AF3:AG4"/>
    <mergeCell ref="AH3:AI4"/>
    <mergeCell ref="C7:D7"/>
    <mergeCell ref="E7:F7"/>
    <mergeCell ref="G7:H7"/>
    <mergeCell ref="C5:D5"/>
    <mergeCell ref="E5:F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29</xdr:col>
                    <xdr:colOff>7620</xdr:colOff>
                    <xdr:row>2</xdr:row>
                    <xdr:rowOff>99060</xdr:rowOff>
                  </from>
                  <to>
                    <xdr:col>30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2022-09-01T08:06:50Z</dcterms:created>
  <dcterms:modified xsi:type="dcterms:W3CDTF">2022-09-12T08:54:59Z</dcterms:modified>
</cp:coreProperties>
</file>