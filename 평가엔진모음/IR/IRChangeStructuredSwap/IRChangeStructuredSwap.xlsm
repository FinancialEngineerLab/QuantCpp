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4" i="2" l="1"/>
  <c r="AN44" i="2"/>
  <c r="D3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I139" i="4" l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138" i="4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I137" i="4"/>
  <c r="G137" i="4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I46" i="4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G46" i="4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I27" i="4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G27" i="4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K26" i="4"/>
  <c r="I26" i="4"/>
  <c r="G26" i="4"/>
  <c r="O24" i="2" l="1"/>
  <c r="O23" i="2"/>
  <c r="O22" i="2"/>
  <c r="O21" i="2"/>
  <c r="O20" i="2"/>
  <c r="O19" i="2"/>
  <c r="O18" i="2"/>
  <c r="O17" i="2"/>
  <c r="O16" i="2"/>
  <c r="O15" i="2"/>
  <c r="O14" i="2"/>
  <c r="O13" i="2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AQ17" i="2" l="1"/>
  <c r="AQ18" i="2" s="1"/>
  <c r="AP17" i="2"/>
  <c r="AP18" i="2" s="1"/>
  <c r="N18" i="2"/>
  <c r="P18" i="2" s="1"/>
  <c r="Q17" i="2"/>
  <c r="R17" i="2" s="1"/>
  <c r="N17" i="2"/>
  <c r="P17" i="2" s="1"/>
  <c r="AT16" i="2"/>
  <c r="AS16" i="2"/>
  <c r="AR16" i="2"/>
  <c r="AQ16" i="2"/>
  <c r="AP16" i="2"/>
  <c r="AQ19" i="2" l="1"/>
  <c r="AS18" i="2"/>
  <c r="AT18" i="2" s="1"/>
  <c r="AP19" i="2"/>
  <c r="AR18" i="2"/>
  <c r="AR17" i="2"/>
  <c r="AS17" i="2"/>
  <c r="AT17" i="2" s="1"/>
  <c r="Q19" i="2"/>
  <c r="R19" i="2" s="1"/>
  <c r="Q18" i="2"/>
  <c r="R18" i="2" s="1"/>
  <c r="N19" i="2"/>
  <c r="AP20" i="2" l="1"/>
  <c r="AR19" i="2"/>
  <c r="AQ20" i="2"/>
  <c r="AS19" i="2"/>
  <c r="AT19" i="2" s="1"/>
  <c r="Q20" i="2"/>
  <c r="R20" i="2" s="1"/>
  <c r="P19" i="2"/>
  <c r="N20" i="2"/>
  <c r="AQ21" i="2" l="1"/>
  <c r="AS20" i="2"/>
  <c r="AT20" i="2" s="1"/>
  <c r="AP21" i="2"/>
  <c r="AR20" i="2"/>
  <c r="Q21" i="2"/>
  <c r="R21" i="2" s="1"/>
  <c r="N21" i="2"/>
  <c r="P20" i="2"/>
  <c r="AR21" i="2" l="1"/>
  <c r="AP22" i="2"/>
  <c r="AS21" i="2"/>
  <c r="AT21" i="2" s="1"/>
  <c r="AQ22" i="2"/>
  <c r="Q22" i="2"/>
  <c r="R22" i="2" s="1"/>
  <c r="N22" i="2"/>
  <c r="P21" i="2"/>
  <c r="AQ23" i="2" l="1"/>
  <c r="AS22" i="2"/>
  <c r="AT22" i="2" s="1"/>
  <c r="AP23" i="2"/>
  <c r="AR22" i="2"/>
  <c r="Q23" i="2"/>
  <c r="R23" i="2" s="1"/>
  <c r="Q24" i="2"/>
  <c r="R24" i="2" s="1"/>
  <c r="N23" i="2"/>
  <c r="P22" i="2"/>
  <c r="AP24" i="2" l="1"/>
  <c r="AR24" i="2" s="1"/>
  <c r="AR23" i="2"/>
  <c r="AS23" i="2"/>
  <c r="AT23" i="2" s="1"/>
  <c r="AQ24" i="2"/>
  <c r="AS24" i="2" s="1"/>
  <c r="AT24" i="2" s="1"/>
  <c r="N24" i="2"/>
  <c r="P24" i="2" s="1"/>
  <c r="P23" i="2"/>
  <c r="L11" i="3"/>
  <c r="K11" i="3"/>
  <c r="J11" i="3"/>
  <c r="E11" i="3"/>
  <c r="D11" i="3"/>
  <c r="C11" i="3"/>
  <c r="S13" i="4" l="1"/>
  <c r="U13" i="4" s="1"/>
  <c r="S12" i="4"/>
  <c r="U12" i="4" s="1"/>
  <c r="S11" i="4"/>
  <c r="U11" i="4" s="1"/>
  <c r="S10" i="4"/>
  <c r="U10" i="4" s="1"/>
  <c r="S9" i="4"/>
  <c r="U9" i="4" s="1"/>
  <c r="S8" i="4"/>
  <c r="U8" i="4" s="1"/>
  <c r="S7" i="4"/>
  <c r="U7" i="4" s="1"/>
  <c r="S6" i="4"/>
  <c r="U6" i="4" s="1"/>
  <c r="S5" i="4"/>
  <c r="U5" i="4" s="1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Q16" i="2"/>
  <c r="R16" i="2" s="1"/>
  <c r="P16" i="2"/>
  <c r="N16" i="2"/>
  <c r="I16" i="2"/>
  <c r="C16" i="2"/>
  <c r="A16" i="2"/>
  <c r="AK15" i="2"/>
  <c r="AE15" i="2"/>
  <c r="AD15" i="2"/>
  <c r="Q15" i="2"/>
  <c r="R15" i="2" s="1"/>
  <c r="P15" i="2"/>
  <c r="N15" i="2"/>
  <c r="I15" i="2"/>
  <c r="C15" i="2"/>
  <c r="B15" i="2"/>
  <c r="A15" i="2"/>
  <c r="AK14" i="2"/>
  <c r="AM16" i="2" s="1"/>
  <c r="AI14" i="2"/>
  <c r="AE14" i="2"/>
  <c r="Q14" i="2"/>
  <c r="R14" i="2" s="1"/>
  <c r="P14" i="2"/>
  <c r="N14" i="2"/>
  <c r="I14" i="2"/>
  <c r="G14" i="2"/>
  <c r="C14" i="2"/>
  <c r="A14" i="2"/>
  <c r="Q13" i="2"/>
  <c r="R13" i="2" s="1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16" i="2" l="1"/>
  <c r="K34" i="2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콜옵션을 가짐
1: Receiver가 풋옵션을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<sst xmlns="http://schemas.openxmlformats.org/spreadsheetml/2006/main" count="202" uniqueCount="97">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</sst>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#,##0.0000000_ ;[Red]\-#,##0.0000000\ "/>
    <numFmt numFmtId="186" formatCode="_-* #,##0.00_-;\-* #,##0.00_-;_-* &quot;-&quot;_-;_-@_-"/>
    <numFmt numFmtId="187" formatCode="_-* #,##0.0000_-;\-* #,##0.0000_-;_-* &quot;-&quot;_-;_-@_-"/>
    <numFmt numFmtId="188" formatCode="0.000%"/>
    <numFmt numFmtId="189" formatCode="[$-F400]h:mm:ss\ AM/PM"/>
    <numFmt numFmtId="190" formatCode="0.00000_);[Red]\(0.00000\)"/>
    <numFmt numFmtId="191" formatCode="0.0000000000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4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9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90" fontId="7" fillId="21" borderId="10" xfId="0" applyNumberFormat="1" applyFont="1" applyFill="1" applyBorder="1">
      <alignment vertical="center"/>
    </xf>
    <xf numFmtId="190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0" fontId="0" fillId="24" borderId="10" xfId="0" applyFill="1" applyBorder="1">
      <alignment vertical="center"/>
    </xf>
    <xf numFmtId="188" fontId="0" fillId="23" borderId="10" xfId="1" applyNumberFormat="1" applyFont="1" applyFill="1" applyBorder="1">
      <alignment vertical="center"/>
    </xf>
    <xf numFmtId="0" fontId="0" fillId="23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8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1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0" fontId="11" fillId="17" borderId="0" xfId="0" applyNumberFormat="1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9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8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8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85" fontId="8" fillId="23" borderId="20" xfId="2" applyNumberFormat="1" applyFont="1" applyFill="1" applyBorder="1" applyAlignment="1">
      <alignment horizontal="center" vertical="center"/>
    </xf>
    <xf numFmtId="185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8</xdr:row>
          <xdr:rowOff>152400</xdr:rowOff>
        </xdr:from>
        <xdr:to>
          <xdr:col>3</xdr:col>
          <xdr:colOff>68580</xdr:colOff>
          <xdr:row>11</xdr:row>
          <xdr:rowOff>30480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152400</xdr:rowOff>
        </xdr:from>
        <xdr:to>
          <xdr:col>4</xdr:col>
          <xdr:colOff>647700</xdr:colOff>
          <xdr:row>11</xdr:row>
          <xdr:rowOff>30480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abSelected="1" topLeftCell="A4" zoomScale="90" zoomScaleNormal="90" workbookViewId="0">
      <selection activeCell="E9" sqref="E9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89" t="s">
        <v>0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</row>
    <row r="3" spans="1:45" x14ac:dyDescent="0.4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</row>
    <row r="4" spans="1:45" x14ac:dyDescent="0.4">
      <c r="A4" s="14">
        <f>4</f>
        <v>4</v>
      </c>
      <c r="B4" s="77" t="s">
        <v>2</v>
      </c>
      <c r="C4" s="77"/>
      <c r="D4" s="78">
        <v>2</v>
      </c>
      <c r="E4" s="78"/>
    </row>
    <row r="5" spans="1:45" x14ac:dyDescent="0.4">
      <c r="A5" s="14">
        <f>A4+1</f>
        <v>5</v>
      </c>
      <c r="G5" s="82" t="s">
        <v>22</v>
      </c>
      <c r="H5" s="84" t="s">
        <v>21</v>
      </c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</row>
    <row r="6" spans="1:45" x14ac:dyDescent="0.4">
      <c r="A6" s="14">
        <f t="shared" ref="A6:A69" si="1">A5+1</f>
        <v>6</v>
      </c>
      <c r="B6" s="77" t="s">
        <v>3</v>
      </c>
      <c r="C6" s="77"/>
      <c r="D6" s="78">
        <v>1</v>
      </c>
      <c r="E6" s="78"/>
      <c r="G6" s="83"/>
      <c r="H6" s="85" t="s">
        <v>7</v>
      </c>
      <c r="I6" s="86"/>
      <c r="L6" s="81" t="s">
        <v>11</v>
      </c>
      <c r="M6" s="81"/>
      <c r="N6" s="81"/>
      <c r="Q6" s="81" t="s">
        <v>12</v>
      </c>
      <c r="R6" s="81"/>
      <c r="S6" s="81"/>
      <c r="V6" s="81" t="s">
        <v>13</v>
      </c>
      <c r="W6" s="81"/>
      <c r="X6" s="81"/>
    </row>
    <row r="7" spans="1:45" x14ac:dyDescent="0.4">
      <c r="A7" s="14">
        <f t="shared" si="1"/>
        <v>7</v>
      </c>
      <c r="B7" s="77" t="s">
        <v>4</v>
      </c>
      <c r="C7" s="77"/>
      <c r="D7" s="78">
        <v>0</v>
      </c>
      <c r="E7" s="78"/>
      <c r="G7" s="83"/>
      <c r="H7" s="87"/>
      <c r="I7" s="88"/>
      <c r="L7" s="81"/>
      <c r="M7" s="81"/>
      <c r="N7" s="81"/>
      <c r="Q7" s="81"/>
      <c r="R7" s="81"/>
      <c r="S7" s="81"/>
      <c r="V7" s="81"/>
      <c r="W7" s="81"/>
      <c r="X7" s="81"/>
    </row>
    <row r="8" spans="1:45" x14ac:dyDescent="0.4">
      <c r="A8" s="14">
        <f t="shared" si="1"/>
        <v>8</v>
      </c>
      <c r="B8" s="77" t="s">
        <v>1</v>
      </c>
      <c r="C8" s="77"/>
      <c r="D8" s="78">
        <v>0.01</v>
      </c>
      <c r="E8" s="78"/>
      <c r="G8" s="83"/>
      <c r="V8" s="81" t="s">
        <v>14</v>
      </c>
      <c r="W8" s="81"/>
      <c r="X8" s="5">
        <v>3</v>
      </c>
    </row>
    <row r="9" spans="1:45" x14ac:dyDescent="0.4">
      <c r="A9" s="14">
        <f t="shared" si="1"/>
        <v>9</v>
      </c>
      <c r="G9" s="83"/>
      <c r="H9" s="2" t="s">
        <v>8</v>
      </c>
      <c r="I9" s="3">
        <v>1.1812730174247044E-2</v>
      </c>
      <c r="Q9" s="81" t="s">
        <v>15</v>
      </c>
      <c r="R9" s="81"/>
      <c r="S9" s="5">
        <v>3</v>
      </c>
      <c r="V9" s="79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3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0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3"/>
      <c r="H11" s="1">
        <v>0.5</v>
      </c>
      <c r="I11" s="4">
        <v>3.8366773450559358E-3</v>
      </c>
      <c r="L11" s="10">
        <v>1</v>
      </c>
      <c r="M11" s="11">
        <v>2.7777777000000002E-3</v>
      </c>
      <c r="N11" s="12">
        <v>1.3140000000000001E-2</v>
      </c>
      <c r="P11" s="14">
        <v>1.318797235888099E-2</v>
      </c>
      <c r="Q11" s="10">
        <v>1</v>
      </c>
      <c r="R11" s="11">
        <v>1</v>
      </c>
      <c r="S11" s="12">
        <v>0.14964285714285716</v>
      </c>
      <c r="V11" s="9">
        <v>0.5</v>
      </c>
      <c r="W11" s="13">
        <v>0.13150000000000001</v>
      </c>
      <c r="X11" s="13">
        <v>0.14050000000000001</v>
      </c>
      <c r="Y11" s="13">
        <v>0.14899999999999999</v>
      </c>
      <c r="Z11" s="13">
        <v>0.159</v>
      </c>
      <c r="AA11" s="13">
        <v>0.16800000000000001</v>
      </c>
      <c r="AB11" s="13">
        <v>0.16300000000000001</v>
      </c>
      <c r="AC11" s="13">
        <v>0.159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3"/>
      <c r="H12" s="1">
        <v>1</v>
      </c>
      <c r="I12" s="4">
        <v>3.5217620164794566E-3</v>
      </c>
      <c r="L12" s="10">
        <f>L11+1</f>
        <v>2</v>
      </c>
      <c r="M12" s="11">
        <v>0.25</v>
      </c>
      <c r="N12" s="12">
        <v>1.49E-2</v>
      </c>
      <c r="P12" s="14">
        <v>1.463383573570143E-2</v>
      </c>
      <c r="Q12" s="10">
        <f>Q11+1</f>
        <v>2</v>
      </c>
      <c r="R12" s="11">
        <v>2</v>
      </c>
      <c r="S12" s="12">
        <v>0.15085714285714286</v>
      </c>
      <c r="V12" s="9">
        <v>1</v>
      </c>
      <c r="W12" s="13">
        <v>0.13550000000000001</v>
      </c>
      <c r="X12" s="13">
        <v>0.14150000000000001</v>
      </c>
      <c r="Y12" s="13">
        <v>0.14800000000000002</v>
      </c>
      <c r="Z12" s="13">
        <v>0.154</v>
      </c>
      <c r="AA12" s="13">
        <v>0.16200000000000001</v>
      </c>
      <c r="AB12" s="13">
        <v>0.1565</v>
      </c>
      <c r="AC12" s="13">
        <v>0.15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90" t="s">
        <v>6</v>
      </c>
      <c r="E13" s="90"/>
      <c r="G13" s="83"/>
      <c r="H13" s="1">
        <v>1.5</v>
      </c>
      <c r="I13" s="4">
        <v>3.8266484320019236E-3</v>
      </c>
      <c r="L13" s="10">
        <f t="shared" ref="L13:L40" si="2">L12+1</f>
        <v>3</v>
      </c>
      <c r="M13" s="11">
        <v>0.5</v>
      </c>
      <c r="N13" s="12">
        <v>1.5476336E-2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0.14971428571428572</v>
      </c>
      <c r="V13" s="9">
        <v>1.5</v>
      </c>
      <c r="W13" s="13">
        <v>0.14300000000000002</v>
      </c>
      <c r="X13" s="13">
        <v>0.14800000000000002</v>
      </c>
      <c r="Y13" s="13">
        <v>0.14949999999999999</v>
      </c>
      <c r="Z13" s="13">
        <v>0.153</v>
      </c>
      <c r="AA13" s="13">
        <v>0.157</v>
      </c>
      <c r="AB13" s="13">
        <v>0.151</v>
      </c>
      <c r="AC13" s="13">
        <v>0.14599999999999999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90"/>
      <c r="E14" s="90"/>
      <c r="G14" s="83"/>
      <c r="H14" s="1">
        <v>2</v>
      </c>
      <c r="I14" s="4">
        <v>3.3690782998520093E-3</v>
      </c>
      <c r="L14" s="10">
        <f t="shared" si="2"/>
        <v>4</v>
      </c>
      <c r="M14" s="11">
        <v>0.75</v>
      </c>
      <c r="N14" s="12">
        <v>1.6555259999999999E-2</v>
      </c>
      <c r="P14" s="14">
        <v>1.5345782860275376E-2</v>
      </c>
      <c r="Q14" s="10">
        <f t="shared" si="3"/>
        <v>4</v>
      </c>
      <c r="R14" s="11">
        <v>4</v>
      </c>
      <c r="S14" s="12">
        <v>0.1472857142857143</v>
      </c>
      <c r="V14" s="9">
        <v>2</v>
      </c>
      <c r="W14" s="13">
        <v>0.154</v>
      </c>
      <c r="X14" s="13">
        <v>0.1555</v>
      </c>
      <c r="Y14" s="13">
        <v>0.152</v>
      </c>
      <c r="Z14" s="13">
        <v>0.1525</v>
      </c>
      <c r="AA14" s="13">
        <v>0.153</v>
      </c>
      <c r="AB14" s="13">
        <v>0.14699999999999999</v>
      </c>
      <c r="AC14" s="13">
        <v>0.14199999999999999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90"/>
      <c r="E15" s="90"/>
      <c r="G15" s="83"/>
      <c r="H15" s="1">
        <v>3</v>
      </c>
      <c r="I15" s="4">
        <v>3.760809453103385E-3</v>
      </c>
      <c r="L15" s="10">
        <f t="shared" si="2"/>
        <v>5</v>
      </c>
      <c r="M15" s="11">
        <v>1</v>
      </c>
      <c r="N15" s="12">
        <v>1.7812487500000002E-2</v>
      </c>
      <c r="P15" s="14">
        <v>1.5986155340339928E-2</v>
      </c>
      <c r="Q15" s="10">
        <f t="shared" si="3"/>
        <v>5</v>
      </c>
      <c r="R15" s="11">
        <v>5</v>
      </c>
      <c r="S15" s="12">
        <v>0.14885714285714285</v>
      </c>
      <c r="U15" s="15"/>
      <c r="V15" s="9">
        <v>3</v>
      </c>
      <c r="W15" s="13">
        <v>0.16250000000000001</v>
      </c>
      <c r="X15" s="13">
        <v>0.1565</v>
      </c>
      <c r="Y15" s="13">
        <v>0.1525</v>
      </c>
      <c r="Z15" s="13">
        <v>0.14899999999999999</v>
      </c>
      <c r="AA15" s="13">
        <v>0.14550000000000002</v>
      </c>
      <c r="AB15" s="13">
        <v>0.14199999999999999</v>
      </c>
      <c r="AC15" s="13">
        <v>0.14000000000000001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3"/>
      <c r="H16" s="1">
        <v>4</v>
      </c>
      <c r="I16" s="4">
        <v>3.3577001369029628E-3</v>
      </c>
      <c r="L16" s="10">
        <f t="shared" si="2"/>
        <v>6</v>
      </c>
      <c r="M16" s="11">
        <v>2</v>
      </c>
      <c r="N16" s="12">
        <v>2.0689384000000002E-2</v>
      </c>
      <c r="P16" s="14">
        <v>1.6598067391845491E-2</v>
      </c>
      <c r="Q16" s="10">
        <f t="shared" si="3"/>
        <v>6</v>
      </c>
      <c r="R16" s="11">
        <v>7</v>
      </c>
      <c r="S16" s="12">
        <v>0.14299999999999999</v>
      </c>
      <c r="U16" s="15"/>
      <c r="V16" s="9">
        <v>4</v>
      </c>
      <c r="W16" s="13">
        <v>0.159</v>
      </c>
      <c r="X16" s="13">
        <v>0.1555</v>
      </c>
      <c r="Y16" s="13">
        <v>0.15049999999999999</v>
      </c>
      <c r="Z16" s="13">
        <v>0.14599999999999999</v>
      </c>
      <c r="AA16" s="13">
        <v>0.14199999999999999</v>
      </c>
      <c r="AB16" s="13">
        <v>0.14000000000000001</v>
      </c>
      <c r="AC16" s="13">
        <v>0.13800000000000001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91">
        <v>44803.912002314813</v>
      </c>
      <c r="E17" s="91"/>
      <c r="G17" s="83"/>
      <c r="H17" s="1">
        <v>5</v>
      </c>
      <c r="I17" s="4">
        <v>3.7490718169600106E-3</v>
      </c>
      <c r="L17" s="10">
        <f t="shared" si="2"/>
        <v>7</v>
      </c>
      <c r="M17" s="11">
        <v>3</v>
      </c>
      <c r="N17" s="12">
        <v>2.16750437E-2</v>
      </c>
      <c r="P17" s="14">
        <v>1.7923708702772701E-2</v>
      </c>
      <c r="Q17" s="10">
        <f t="shared" si="3"/>
        <v>7</v>
      </c>
      <c r="R17" s="11">
        <v>10</v>
      </c>
      <c r="S17" s="12">
        <v>0.14214285714285715</v>
      </c>
      <c r="U17" s="15"/>
      <c r="V17" s="9">
        <v>5</v>
      </c>
      <c r="W17" s="13">
        <v>0.16300000000000001</v>
      </c>
      <c r="X17" s="13">
        <v>0.1555</v>
      </c>
      <c r="Y17" s="13">
        <v>0.152</v>
      </c>
      <c r="Z17" s="13">
        <v>0.14749999999999999</v>
      </c>
      <c r="AA17" s="13">
        <v>0.14300000000000002</v>
      </c>
      <c r="AB17" s="13">
        <v>0.14199999999999999</v>
      </c>
      <c r="AC17" s="13">
        <v>0.13900000000000001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91">
        <v>44803.91201388889</v>
      </c>
      <c r="E18" s="91"/>
      <c r="G18" s="83"/>
      <c r="H18" s="1">
        <v>7</v>
      </c>
      <c r="I18" s="4">
        <v>4.3249213316136816E-3</v>
      </c>
      <c r="L18" s="10">
        <f t="shared" si="2"/>
        <v>8</v>
      </c>
      <c r="M18" s="11">
        <v>4</v>
      </c>
      <c r="N18" s="12">
        <v>2.19994027E-2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0.151</v>
      </c>
      <c r="X18" s="13">
        <v>0.14849999999999999</v>
      </c>
      <c r="Y18" s="13">
        <v>0.14599999999999999</v>
      </c>
      <c r="Z18" s="13">
        <v>0.14349999999999999</v>
      </c>
      <c r="AA18" s="13">
        <v>0.14000000000000001</v>
      </c>
      <c r="AB18" s="13">
        <v>0.13800000000000001</v>
      </c>
      <c r="AC18" s="13">
        <v>0.13400000000000001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3"/>
      <c r="H19" s="1">
        <v>10</v>
      </c>
      <c r="I19" s="4">
        <v>4.6034822064218561E-3</v>
      </c>
      <c r="L19" s="10">
        <f t="shared" si="2"/>
        <v>9</v>
      </c>
      <c r="M19" s="11">
        <v>5</v>
      </c>
      <c r="N19" s="12">
        <v>2.2199215299999998E-2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0.151</v>
      </c>
      <c r="X19" s="13">
        <v>0.14949999999999999</v>
      </c>
      <c r="Y19" s="13">
        <v>0.14599999999999999</v>
      </c>
      <c r="Z19" s="13">
        <v>0.14349999999999999</v>
      </c>
      <c r="AA19" s="13">
        <v>0.14000000000000001</v>
      </c>
      <c r="AB19" s="13">
        <v>0.13699999999999998</v>
      </c>
      <c r="AC19" s="13">
        <v>0.128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3"/>
      <c r="H20" s="1"/>
      <c r="I20" s="4"/>
      <c r="L20" s="10">
        <f t="shared" si="2"/>
        <v>10</v>
      </c>
      <c r="M20" s="11">
        <v>7</v>
      </c>
      <c r="N20" s="12">
        <v>2.2158577200000001E-2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3"/>
      <c r="H21" s="1"/>
      <c r="I21" s="4"/>
      <c r="L21" s="10">
        <f t="shared" si="2"/>
        <v>11</v>
      </c>
      <c r="M21" s="11">
        <v>10</v>
      </c>
      <c r="N21" s="12">
        <v>2.2148508000000001E-2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3"/>
      <c r="H22" s="1"/>
      <c r="I22" s="4"/>
      <c r="L22" s="10">
        <f t="shared" si="2"/>
        <v>12</v>
      </c>
      <c r="M22" s="11">
        <v>12</v>
      </c>
      <c r="N22" s="12">
        <v>2.4148508000000003E-2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3"/>
      <c r="H23" s="1"/>
      <c r="I23" s="4"/>
      <c r="L23" s="10">
        <f t="shared" si="2"/>
        <v>13</v>
      </c>
      <c r="M23" s="11">
        <v>15</v>
      </c>
      <c r="N23" s="12">
        <v>2.4648508000000003E-2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3"/>
      <c r="H24" s="1"/>
      <c r="I24" s="4"/>
      <c r="L24" s="10">
        <f t="shared" si="2"/>
        <v>14</v>
      </c>
      <c r="M24" s="11">
        <v>20</v>
      </c>
      <c r="N24" s="12">
        <v>2.5148508000000003E-2</v>
      </c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3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3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3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3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3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3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3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3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3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3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3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3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3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3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3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3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2" t="s">
        <v>24</v>
      </c>
      <c r="H42" s="84" t="s">
        <v>23</v>
      </c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</row>
    <row r="43" spans="1:40" x14ac:dyDescent="0.4">
      <c r="A43" s="14">
        <f t="shared" si="1"/>
        <v>43</v>
      </c>
      <c r="B43" s="77" t="s">
        <v>3</v>
      </c>
      <c r="C43" s="77"/>
      <c r="D43" s="78">
        <v>1</v>
      </c>
      <c r="E43" s="78"/>
      <c r="G43" s="83"/>
      <c r="H43" s="85" t="s">
        <v>7</v>
      </c>
      <c r="I43" s="86"/>
      <c r="L43" s="81" t="s">
        <v>11</v>
      </c>
      <c r="M43" s="81"/>
      <c r="N43" s="81"/>
      <c r="Q43" s="81" t="s">
        <v>12</v>
      </c>
      <c r="R43" s="81"/>
      <c r="S43" s="81"/>
      <c r="V43" s="81" t="s">
        <v>13</v>
      </c>
      <c r="W43" s="81"/>
      <c r="X43" s="81"/>
    </row>
    <row r="44" spans="1:40" x14ac:dyDescent="0.4">
      <c r="A44" s="14">
        <f t="shared" si="1"/>
        <v>44</v>
      </c>
      <c r="B44" s="77" t="s">
        <v>4</v>
      </c>
      <c r="C44" s="77"/>
      <c r="D44" s="78">
        <v>0</v>
      </c>
      <c r="E44" s="78"/>
      <c r="G44" s="83"/>
      <c r="H44" s="87"/>
      <c r="I44" s="88"/>
      <c r="L44" s="81"/>
      <c r="M44" s="81"/>
      <c r="N44" s="81"/>
      <c r="Q44" s="81"/>
      <c r="R44" s="81"/>
      <c r="S44" s="81"/>
      <c r="V44" s="81"/>
      <c r="W44" s="81"/>
      <c r="X44" s="81"/>
    </row>
    <row r="45" spans="1:40" x14ac:dyDescent="0.4">
      <c r="A45" s="14">
        <f t="shared" si="1"/>
        <v>45</v>
      </c>
      <c r="B45" s="77" t="s">
        <v>1</v>
      </c>
      <c r="C45" s="77"/>
      <c r="D45" s="78">
        <v>0.01</v>
      </c>
      <c r="E45" s="78"/>
      <c r="G45" s="83"/>
      <c r="V45" s="81" t="s">
        <v>14</v>
      </c>
      <c r="W45" s="81"/>
      <c r="X45" s="5">
        <v>3</v>
      </c>
    </row>
    <row r="46" spans="1:40" x14ac:dyDescent="0.4">
      <c r="A46" s="14">
        <f t="shared" si="1"/>
        <v>46</v>
      </c>
      <c r="G46" s="83"/>
      <c r="H46" s="2" t="s">
        <v>8</v>
      </c>
      <c r="I46" s="3">
        <v>3.0759535228527847E-3</v>
      </c>
      <c r="Q46" s="81" t="s">
        <v>15</v>
      </c>
      <c r="R46" s="81"/>
      <c r="S46" s="5">
        <v>3</v>
      </c>
      <c r="V46" s="79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3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0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3"/>
      <c r="H48" s="1">
        <v>0.5</v>
      </c>
      <c r="I48" s="4">
        <v>2.8058134790752286E-3</v>
      </c>
      <c r="L48" s="10">
        <v>1</v>
      </c>
      <c r="M48" s="11">
        <v>2.7397260273972603E-3</v>
      </c>
      <c r="N48" s="12">
        <v>8.6890657808009007E-3</v>
      </c>
      <c r="Q48" s="10">
        <v>1</v>
      </c>
      <c r="R48" s="11">
        <v>1</v>
      </c>
      <c r="S48" s="12">
        <v>0.14964285714285716</v>
      </c>
      <c r="V48" s="9">
        <v>0.5</v>
      </c>
      <c r="W48" s="13">
        <v>0.13434168787402886</v>
      </c>
      <c r="X48" s="13">
        <v>0.14331660541725327</v>
      </c>
      <c r="Y48" s="13">
        <v>0.15389227153588408</v>
      </c>
      <c r="Z48" s="13">
        <v>0.15957177711912104</v>
      </c>
      <c r="AA48" s="13">
        <v>0.16868827273125536</v>
      </c>
      <c r="AB48" s="13">
        <v>0.1633608468774079</v>
      </c>
      <c r="AC48" s="13">
        <v>0.15988942222162261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3"/>
      <c r="H49" s="1">
        <v>1</v>
      </c>
      <c r="I49" s="4">
        <v>2.7974750336003215E-3</v>
      </c>
      <c r="L49" s="10">
        <f>L48+1</f>
        <v>2</v>
      </c>
      <c r="M49" s="11">
        <v>0.25</v>
      </c>
      <c r="N49" s="12">
        <v>1.0003487032455844E-2</v>
      </c>
      <c r="Q49" s="10">
        <f>Q48+1</f>
        <v>2</v>
      </c>
      <c r="R49" s="11">
        <v>2</v>
      </c>
      <c r="S49" s="12">
        <v>0.15085714285714286</v>
      </c>
      <c r="V49" s="9">
        <v>1</v>
      </c>
      <c r="W49" s="13">
        <v>0.13711575189940856</v>
      </c>
      <c r="X49" s="13">
        <v>0.14223277511673557</v>
      </c>
      <c r="Y49" s="13">
        <v>0.15247552214154234</v>
      </c>
      <c r="Z49" s="13">
        <v>0.1577944614164018</v>
      </c>
      <c r="AA49" s="13">
        <v>0.16299640749308345</v>
      </c>
      <c r="AB49" s="13">
        <v>0.15876406981026001</v>
      </c>
      <c r="AC49" s="13">
        <v>0.1501238010687459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90" t="s">
        <v>6</v>
      </c>
      <c r="E50" s="90"/>
      <c r="G50" s="83"/>
      <c r="H50" s="1">
        <v>1.5</v>
      </c>
      <c r="I50" s="4">
        <v>2.9109758409553849E-3</v>
      </c>
      <c r="L50" s="10">
        <f t="shared" ref="L50:L77" si="4">L49+1</f>
        <v>3</v>
      </c>
      <c r="M50" s="11">
        <v>0.5</v>
      </c>
      <c r="N50" s="12">
        <v>1.0369449462123514E-2</v>
      </c>
      <c r="Q50" s="10">
        <f t="shared" ref="Q50:Q77" si="5">Q49+1</f>
        <v>3</v>
      </c>
      <c r="R50" s="11">
        <v>3</v>
      </c>
      <c r="S50" s="12">
        <v>0.14971428571428572</v>
      </c>
      <c r="V50" s="9">
        <v>1.5</v>
      </c>
      <c r="W50" s="13">
        <v>0.14404080130561936</v>
      </c>
      <c r="X50" s="13">
        <v>0.15227136749713319</v>
      </c>
      <c r="Y50" s="13">
        <v>0.15348104392010717</v>
      </c>
      <c r="Z50" s="13">
        <v>0.15666375929734186</v>
      </c>
      <c r="AA50" s="13">
        <v>0.16090004504473471</v>
      </c>
      <c r="AB50" s="13">
        <v>0.15131869380597596</v>
      </c>
      <c r="AC50" s="13">
        <v>0.15058935792856598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90"/>
      <c r="E51" s="90"/>
      <c r="G51" s="83"/>
      <c r="H51" s="1">
        <v>2</v>
      </c>
      <c r="I51" s="4">
        <v>2.967675013320088E-3</v>
      </c>
      <c r="L51" s="10">
        <f t="shared" si="4"/>
        <v>4</v>
      </c>
      <c r="M51" s="11">
        <v>1</v>
      </c>
      <c r="N51" s="12">
        <v>1.065071169115943E-2</v>
      </c>
      <c r="Q51" s="10">
        <f t="shared" si="5"/>
        <v>4</v>
      </c>
      <c r="R51" s="11">
        <v>4</v>
      </c>
      <c r="S51" s="12">
        <v>0.1472857142857143</v>
      </c>
      <c r="V51" s="9">
        <v>2</v>
      </c>
      <c r="W51" s="13">
        <v>0.15702682763852729</v>
      </c>
      <c r="X51" s="13">
        <v>0.15951491183930222</v>
      </c>
      <c r="Y51" s="13">
        <v>0.15644310169676806</v>
      </c>
      <c r="Z51" s="13">
        <v>0.15438544513377153</v>
      </c>
      <c r="AA51" s="13">
        <v>0.15541479871739408</v>
      </c>
      <c r="AB51" s="13">
        <v>0.14717613046935257</v>
      </c>
      <c r="AC51" s="13">
        <v>0.14649021678069085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90"/>
      <c r="E52" s="90"/>
      <c r="G52" s="83"/>
      <c r="H52" s="1">
        <v>3</v>
      </c>
      <c r="I52" s="4">
        <v>2.9995875641758681E-3</v>
      </c>
      <c r="L52" s="10">
        <f t="shared" si="4"/>
        <v>5</v>
      </c>
      <c r="M52" s="11">
        <v>1.5</v>
      </c>
      <c r="N52" s="12">
        <v>1.1232868491218115E-2</v>
      </c>
      <c r="Q52" s="10">
        <f t="shared" si="5"/>
        <v>5</v>
      </c>
      <c r="R52" s="11">
        <v>5</v>
      </c>
      <c r="S52" s="12">
        <v>0.14885714285714285</v>
      </c>
      <c r="U52" s="15"/>
      <c r="V52" s="9">
        <v>3</v>
      </c>
      <c r="W52" s="13">
        <v>0.1640371677881321</v>
      </c>
      <c r="X52" s="13">
        <v>0.16137681677497567</v>
      </c>
      <c r="Y52" s="13">
        <v>0.1571749862507337</v>
      </c>
      <c r="Z52" s="13">
        <v>0.14937257030241843</v>
      </c>
      <c r="AA52" s="13">
        <v>0.15040069342335544</v>
      </c>
      <c r="AB52" s="13">
        <v>0.14492963240514573</v>
      </c>
      <c r="AC52" s="13">
        <v>0.14240863276377219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3"/>
      <c r="H53" s="1">
        <v>4</v>
      </c>
      <c r="I53" s="4">
        <v>2.9682304659188158E-3</v>
      </c>
      <c r="L53" s="10">
        <f t="shared" si="4"/>
        <v>6</v>
      </c>
      <c r="M53" s="11">
        <v>2</v>
      </c>
      <c r="N53" s="12">
        <v>1.1789152174404991E-2</v>
      </c>
      <c r="Q53" s="10">
        <f t="shared" si="5"/>
        <v>6</v>
      </c>
      <c r="R53" s="11">
        <v>7</v>
      </c>
      <c r="S53" s="12">
        <v>0.14299999999999999</v>
      </c>
      <c r="U53" s="15"/>
      <c r="V53" s="9">
        <v>4</v>
      </c>
      <c r="W53" s="13">
        <v>0.16178449024457578</v>
      </c>
      <c r="X53" s="13">
        <v>0.15923573548596104</v>
      </c>
      <c r="Y53" s="13">
        <v>0.15229896126040593</v>
      </c>
      <c r="Z53" s="13">
        <v>0.14636830666588851</v>
      </c>
      <c r="AA53" s="13">
        <v>0.14493709045267392</v>
      </c>
      <c r="AB53" s="13">
        <v>0.14379388192157058</v>
      </c>
      <c r="AC53" s="13">
        <v>0.13980706636998824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91">
        <v>44803.91201388889</v>
      </c>
      <c r="E54" s="91"/>
      <c r="G54" s="83"/>
      <c r="H54" s="1">
        <v>5</v>
      </c>
      <c r="I54" s="4">
        <v>3.0708959165870781E-3</v>
      </c>
      <c r="L54" s="10">
        <f t="shared" si="4"/>
        <v>7</v>
      </c>
      <c r="M54" s="11">
        <v>3</v>
      </c>
      <c r="N54" s="12">
        <v>1.2994280638884272E-2</v>
      </c>
      <c r="Q54" s="10">
        <f t="shared" si="5"/>
        <v>7</v>
      </c>
      <c r="R54" s="11">
        <v>10</v>
      </c>
      <c r="S54" s="12">
        <v>0.14214285714285715</v>
      </c>
      <c r="U54" s="15"/>
      <c r="V54" s="9">
        <v>5</v>
      </c>
      <c r="W54" s="13">
        <v>0.16618510737204301</v>
      </c>
      <c r="X54" s="13">
        <v>0.15703133289981455</v>
      </c>
      <c r="Y54" s="13">
        <v>0.15348739345452553</v>
      </c>
      <c r="Z54" s="13">
        <v>0.15064634905996188</v>
      </c>
      <c r="AA54" s="13">
        <v>0.14762985175765875</v>
      </c>
      <c r="AB54" s="13">
        <v>0.14244843792577588</v>
      </c>
      <c r="AC54" s="13">
        <v>0.14044120852128711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91">
        <v>44803.91201388889</v>
      </c>
      <c r="E55" s="91"/>
      <c r="G55" s="83"/>
      <c r="H55" s="1">
        <v>7</v>
      </c>
      <c r="I55" s="4">
        <v>2.9444887126456247E-3</v>
      </c>
      <c r="L55" s="10">
        <f t="shared" si="4"/>
        <v>8</v>
      </c>
      <c r="M55" s="11">
        <v>4</v>
      </c>
      <c r="N55" s="12">
        <v>1.4098710157381851E-2</v>
      </c>
      <c r="Q55" s="10">
        <f t="shared" si="5"/>
        <v>8</v>
      </c>
      <c r="R55" s="11"/>
      <c r="S55" s="12"/>
      <c r="U55" s="15"/>
      <c r="V55" s="9">
        <v>7</v>
      </c>
      <c r="W55" s="13">
        <v>0.15244163544637693</v>
      </c>
      <c r="X55" s="13">
        <v>0.15081390154370894</v>
      </c>
      <c r="Y55" s="13">
        <v>0.1491603800827547</v>
      </c>
      <c r="Z55" s="13">
        <v>0.14763947086819354</v>
      </c>
      <c r="AA55" s="13">
        <v>0.14099732722068076</v>
      </c>
      <c r="AB55" s="13">
        <v>0.14156800987879536</v>
      </c>
      <c r="AC55" s="13">
        <v>0.13650085643237639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3"/>
      <c r="H56" s="1">
        <v>10</v>
      </c>
      <c r="I56" s="4">
        <v>3.0618976643522608E-3</v>
      </c>
      <c r="L56" s="10">
        <f t="shared" si="4"/>
        <v>9</v>
      </c>
      <c r="M56" s="11">
        <v>5</v>
      </c>
      <c r="N56" s="12">
        <v>1.5130227733121272E-2</v>
      </c>
      <c r="Q56" s="10">
        <f t="shared" si="5"/>
        <v>9</v>
      </c>
      <c r="R56" s="11"/>
      <c r="S56" s="12"/>
      <c r="U56" s="15"/>
      <c r="V56" s="9">
        <v>10</v>
      </c>
      <c r="W56" s="13">
        <v>0.15404621830526616</v>
      </c>
      <c r="X56" s="13">
        <v>0.15337116082562099</v>
      </c>
      <c r="Y56" s="13">
        <v>0.1484132449421624</v>
      </c>
      <c r="Z56" s="13">
        <v>0.14657200821606189</v>
      </c>
      <c r="AA56" s="13">
        <v>0.14293319162819595</v>
      </c>
      <c r="AB56" s="13">
        <v>0.13733549492199806</v>
      </c>
      <c r="AC56" s="13">
        <v>0.13242134733632341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3"/>
      <c r="H57" s="1"/>
      <c r="I57" s="4"/>
      <c r="L57" s="10">
        <f t="shared" si="4"/>
        <v>10</v>
      </c>
      <c r="M57" s="11">
        <v>6</v>
      </c>
      <c r="N57" s="12">
        <v>1.5849271623014721E-2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3"/>
      <c r="H58" s="1"/>
      <c r="I58" s="4"/>
      <c r="L58" s="10">
        <f t="shared" si="4"/>
        <v>11</v>
      </c>
      <c r="M58" s="11">
        <v>7</v>
      </c>
      <c r="N58" s="12">
        <v>1.6550825374879296E-2</v>
      </c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3"/>
      <c r="H59" s="1"/>
      <c r="I59" s="4"/>
      <c r="L59" s="10">
        <f t="shared" si="4"/>
        <v>12</v>
      </c>
      <c r="M59" s="11">
        <v>8</v>
      </c>
      <c r="N59" s="12">
        <v>1.7109675666147576E-2</v>
      </c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3"/>
      <c r="H60" s="1"/>
      <c r="I60" s="4"/>
      <c r="L60" s="10">
        <f t="shared" si="4"/>
        <v>13</v>
      </c>
      <c r="M60" s="11">
        <v>9</v>
      </c>
      <c r="N60" s="12">
        <v>1.7615725503967474E-2</v>
      </c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3"/>
      <c r="H61" s="1"/>
      <c r="I61" s="4"/>
      <c r="L61" s="10">
        <f t="shared" si="4"/>
        <v>14</v>
      </c>
      <c r="M61" s="11">
        <v>10</v>
      </c>
      <c r="N61" s="12">
        <v>1.800272666892799E-2</v>
      </c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3"/>
      <c r="H62" s="1"/>
      <c r="I62" s="4"/>
      <c r="L62" s="10">
        <f t="shared" si="4"/>
        <v>15</v>
      </c>
      <c r="M62" s="11">
        <v>12</v>
      </c>
      <c r="N62" s="12">
        <v>1.8406233364707987E-2</v>
      </c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3"/>
      <c r="H63" s="1"/>
      <c r="I63" s="4"/>
      <c r="L63" s="10">
        <f t="shared" si="4"/>
        <v>16</v>
      </c>
      <c r="M63" s="11">
        <v>15</v>
      </c>
      <c r="N63" s="12">
        <v>1.8711117181001526E-2</v>
      </c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3"/>
      <c r="H64" s="1"/>
      <c r="I64" s="4"/>
      <c r="L64" s="10">
        <f t="shared" si="4"/>
        <v>17</v>
      </c>
      <c r="M64" s="11">
        <v>20</v>
      </c>
      <c r="N64" s="12">
        <v>2.0387616104242202E-2</v>
      </c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3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3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3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3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3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3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3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3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3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3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3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3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3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2" t="s">
        <v>26</v>
      </c>
      <c r="H79" s="84" t="s">
        <v>25</v>
      </c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</row>
    <row r="80" spans="1:40" x14ac:dyDescent="0.4">
      <c r="A80" s="14">
        <f t="shared" si="6"/>
        <v>80</v>
      </c>
      <c r="B80" s="77" t="s">
        <v>3</v>
      </c>
      <c r="C80" s="77"/>
      <c r="D80" s="78">
        <v>1</v>
      </c>
      <c r="E80" s="78"/>
      <c r="G80" s="83"/>
      <c r="H80" s="85" t="s">
        <v>7</v>
      </c>
      <c r="I80" s="86"/>
      <c r="L80" s="81" t="s">
        <v>11</v>
      </c>
      <c r="M80" s="81"/>
      <c r="N80" s="81"/>
      <c r="Q80" s="81" t="s">
        <v>12</v>
      </c>
      <c r="R80" s="81"/>
      <c r="S80" s="81"/>
      <c r="V80" s="81" t="s">
        <v>13</v>
      </c>
      <c r="W80" s="81"/>
      <c r="X80" s="81"/>
    </row>
    <row r="81" spans="1:40" x14ac:dyDescent="0.4">
      <c r="A81" s="14">
        <f t="shared" si="6"/>
        <v>81</v>
      </c>
      <c r="B81" s="77" t="s">
        <v>4</v>
      </c>
      <c r="C81" s="77"/>
      <c r="D81" s="78">
        <v>0</v>
      </c>
      <c r="E81" s="78"/>
      <c r="G81" s="83"/>
      <c r="H81" s="87"/>
      <c r="I81" s="88"/>
      <c r="L81" s="81"/>
      <c r="M81" s="81"/>
      <c r="N81" s="81"/>
      <c r="Q81" s="81"/>
      <c r="R81" s="81"/>
      <c r="S81" s="81"/>
      <c r="V81" s="81"/>
      <c r="W81" s="81"/>
      <c r="X81" s="81"/>
    </row>
    <row r="82" spans="1:40" x14ac:dyDescent="0.4">
      <c r="A82" s="14">
        <f t="shared" si="6"/>
        <v>82</v>
      </c>
      <c r="B82" s="77" t="s">
        <v>1</v>
      </c>
      <c r="C82" s="77"/>
      <c r="D82" s="78">
        <v>0.01</v>
      </c>
      <c r="E82" s="78"/>
      <c r="G82" s="83"/>
      <c r="V82" s="81" t="s">
        <v>14</v>
      </c>
      <c r="W82" s="81"/>
      <c r="X82" s="5">
        <v>3</v>
      </c>
    </row>
    <row r="83" spans="1:40" x14ac:dyDescent="0.4">
      <c r="A83" s="14">
        <f t="shared" si="6"/>
        <v>83</v>
      </c>
      <c r="G83" s="83"/>
      <c r="H83" s="2" t="s">
        <v>8</v>
      </c>
      <c r="I83" s="3">
        <v>6.483333333333334E-3</v>
      </c>
      <c r="Q83" s="81" t="s">
        <v>15</v>
      </c>
      <c r="R83" s="81"/>
      <c r="S83" s="5">
        <v>3</v>
      </c>
      <c r="V83" s="79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3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0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3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3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90" t="s">
        <v>6</v>
      </c>
      <c r="E87" s="90"/>
      <c r="G87" s="83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90"/>
      <c r="E88" s="90"/>
      <c r="G88" s="83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90"/>
      <c r="E89" s="90"/>
      <c r="G89" s="83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3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91">
        <v>44803.697731481479</v>
      </c>
      <c r="E91" s="91"/>
      <c r="G91" s="83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91">
        <v>44803.697754629633</v>
      </c>
      <c r="E92" s="91"/>
      <c r="G92" s="83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3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3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3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3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3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3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3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3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3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3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3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3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3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3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3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3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3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3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3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3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3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3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2" t="s">
        <v>28</v>
      </c>
      <c r="H116" s="84" t="s">
        <v>27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  <c r="S116" s="84"/>
      <c r="T116" s="84"/>
      <c r="U116" s="84"/>
      <c r="V116" s="84"/>
      <c r="W116" s="84"/>
      <c r="X116" s="84"/>
    </row>
    <row r="117" spans="2:40" x14ac:dyDescent="0.4">
      <c r="B117" s="77" t="s">
        <v>3</v>
      </c>
      <c r="C117" s="77"/>
      <c r="D117" s="78">
        <v>1</v>
      </c>
      <c r="E117" s="78"/>
      <c r="G117" s="83"/>
      <c r="H117" s="85" t="s">
        <v>7</v>
      </c>
      <c r="I117" s="86"/>
      <c r="L117" s="81" t="s">
        <v>11</v>
      </c>
      <c r="M117" s="81"/>
      <c r="N117" s="81"/>
      <c r="Q117" s="81" t="s">
        <v>12</v>
      </c>
      <c r="R117" s="81"/>
      <c r="S117" s="81"/>
      <c r="V117" s="81" t="s">
        <v>13</v>
      </c>
      <c r="W117" s="81"/>
      <c r="X117" s="81"/>
    </row>
    <row r="118" spans="2:40" x14ac:dyDescent="0.4">
      <c r="B118" s="77" t="s">
        <v>4</v>
      </c>
      <c r="C118" s="77"/>
      <c r="D118" s="78">
        <v>0</v>
      </c>
      <c r="E118" s="78"/>
      <c r="G118" s="83"/>
      <c r="H118" s="87"/>
      <c r="I118" s="88"/>
      <c r="L118" s="81"/>
      <c r="M118" s="81"/>
      <c r="N118" s="81"/>
      <c r="Q118" s="81"/>
      <c r="R118" s="81"/>
      <c r="S118" s="81"/>
      <c r="V118" s="81"/>
      <c r="W118" s="81"/>
      <c r="X118" s="81"/>
    </row>
    <row r="119" spans="2:40" x14ac:dyDescent="0.4">
      <c r="B119" s="77" t="s">
        <v>1</v>
      </c>
      <c r="C119" s="77"/>
      <c r="D119" s="78">
        <v>0.01</v>
      </c>
      <c r="E119" s="78"/>
      <c r="G119" s="83"/>
      <c r="V119" s="81" t="s">
        <v>14</v>
      </c>
      <c r="W119" s="81"/>
      <c r="X119" s="5">
        <v>3</v>
      </c>
    </row>
    <row r="120" spans="2:40" x14ac:dyDescent="0.4">
      <c r="G120" s="83"/>
      <c r="H120" s="2" t="s">
        <v>8</v>
      </c>
      <c r="I120" s="3">
        <v>7.3000000000000009E-3</v>
      </c>
      <c r="Q120" s="81" t="s">
        <v>15</v>
      </c>
      <c r="R120" s="81"/>
      <c r="S120" s="5">
        <v>3</v>
      </c>
      <c r="V120" s="79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3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0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3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3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90" t="s">
        <v>6</v>
      </c>
      <c r="E124" s="90"/>
      <c r="G124" s="83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90"/>
      <c r="E125" s="90"/>
      <c r="G125" s="83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90"/>
      <c r="E126" s="90"/>
      <c r="G126" s="83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3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91">
        <v>44803.697754629633</v>
      </c>
      <c r="E128" s="91"/>
      <c r="G128" s="83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91">
        <v>44803.697777777779</v>
      </c>
      <c r="E129" s="91"/>
      <c r="G129" s="83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3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3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3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3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3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3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3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3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3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3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3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3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3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3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3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3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3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3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3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3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3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3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533400</xdr:colOff>
                    <xdr:row>8</xdr:row>
                    <xdr:rowOff>152400</xdr:rowOff>
                  </from>
                  <to>
                    <xdr:col>3</xdr:col>
                    <xdr:colOff>68580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152400</xdr:rowOff>
                  </from>
                  <to>
                    <xdr:col>4</xdr:col>
                    <xdr:colOff>647700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4" zoomScale="85" zoomScaleNormal="85" workbookViewId="0">
      <selection activeCell="M32" sqref="M32"/>
    </sheetView>
  </sheetViews>
  <sheetFormatPr defaultColWidth="11.3984375" defaultRowHeight="16.2" customHeight="1" x14ac:dyDescent="0.4"/>
  <cols>
    <col min="1" max="1" width="11.3984375" style="42"/>
    <col min="2" max="2" width="11.3984375" style="51"/>
    <col min="3" max="3" width="11.3984375" style="71"/>
    <col min="4" max="9" width="11.3984375" style="48"/>
    <col min="10" max="11" width="11.3984375" style="76"/>
    <col min="12" max="12" width="11.3984375" style="74"/>
    <col min="13" max="13" width="11.3984375" style="43"/>
    <col min="14" max="21" width="11.3984375" style="52"/>
    <col min="22" max="26" width="11.3984375" style="43"/>
    <col min="27" max="28" width="0" style="43" hidden="1" customWidth="1"/>
    <col min="29" max="41" width="11.3984375" style="43"/>
    <col min="42" max="43" width="11.3984375" style="52"/>
    <col min="44" max="46" width="11.3984375" style="53"/>
    <col min="47" max="48" width="11.3984375" style="54"/>
    <col min="49" max="49" width="11.3984375" style="52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57" t="s">
        <v>29</v>
      </c>
      <c r="C3" s="157"/>
      <c r="D3" s="113">
        <f>N13</f>
        <v>44509</v>
      </c>
      <c r="E3" s="114"/>
      <c r="F3" s="153" t="s">
        <v>31</v>
      </c>
      <c r="G3" s="153"/>
      <c r="H3" s="114">
        <v>1</v>
      </c>
      <c r="I3" s="114"/>
      <c r="J3" s="153" t="s">
        <v>71</v>
      </c>
      <c r="K3" s="153"/>
      <c r="L3" s="114">
        <v>10000</v>
      </c>
      <c r="M3" s="114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113">
        <v>44693</v>
      </c>
      <c r="E4" s="114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56" t="s">
        <v>48</v>
      </c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D5" s="156" t="s">
        <v>49</v>
      </c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6"/>
      <c r="AR5" s="156"/>
      <c r="AS5" s="156"/>
      <c r="AT5" s="156"/>
      <c r="AU5" s="156"/>
      <c r="AV5" s="156"/>
      <c r="AW5" s="156"/>
      <c r="AX5" s="156"/>
      <c r="AY5" s="156"/>
      <c r="AZ5" s="156"/>
      <c r="BA5" s="156"/>
      <c r="BB5" s="156"/>
    </row>
    <row r="6" spans="1:57" ht="16.2" customHeight="1" x14ac:dyDescent="0.4">
      <c r="A6" s="42">
        <f t="shared" si="1"/>
        <v>6</v>
      </c>
      <c r="B6" s="156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156"/>
      <c r="AX6" s="156"/>
      <c r="AY6" s="156"/>
      <c r="AZ6" s="156"/>
      <c r="BA6" s="156"/>
      <c r="BB6" s="156"/>
    </row>
    <row r="7" spans="1:57" ht="16.2" customHeight="1" x14ac:dyDescent="0.4">
      <c r="A7" s="42">
        <f t="shared" si="1"/>
        <v>7</v>
      </c>
      <c r="B7" s="157" t="s">
        <v>75</v>
      </c>
      <c r="C7" s="157"/>
      <c r="D7" s="155">
        <v>2</v>
      </c>
      <c r="E7" s="155"/>
      <c r="F7" s="158" t="s">
        <v>32</v>
      </c>
      <c r="G7" s="159"/>
      <c r="H7" s="114">
        <v>1</v>
      </c>
      <c r="I7" s="114"/>
      <c r="J7" s="153" t="s">
        <v>39</v>
      </c>
      <c r="K7" s="153"/>
      <c r="L7" s="114">
        <v>0</v>
      </c>
      <c r="M7" s="114"/>
      <c r="N7" s="43"/>
      <c r="O7" s="43"/>
      <c r="P7" s="43"/>
      <c r="Q7" s="43"/>
      <c r="R7" s="43"/>
      <c r="S7" s="43"/>
      <c r="T7" s="43"/>
      <c r="U7" s="43"/>
      <c r="AD7" s="157" t="s">
        <v>75</v>
      </c>
      <c r="AE7" s="157"/>
      <c r="AF7" s="155">
        <v>1</v>
      </c>
      <c r="AG7" s="155"/>
      <c r="AH7" s="158" t="s">
        <v>32</v>
      </c>
      <c r="AI7" s="159"/>
      <c r="AJ7" s="114">
        <v>1</v>
      </c>
      <c r="AK7" s="114"/>
      <c r="AL7" s="153" t="s">
        <v>39</v>
      </c>
      <c r="AM7" s="153"/>
      <c r="AN7" s="114">
        <v>0</v>
      </c>
      <c r="AO7" s="114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53" t="s">
        <v>53</v>
      </c>
      <c r="C8" s="153"/>
      <c r="D8" s="154">
        <v>1</v>
      </c>
      <c r="E8" s="155"/>
      <c r="F8" s="153" t="s">
        <v>54</v>
      </c>
      <c r="G8" s="153"/>
      <c r="H8" s="154">
        <v>1</v>
      </c>
      <c r="I8" s="155"/>
      <c r="J8" s="153" t="s">
        <v>43</v>
      </c>
      <c r="K8" s="153"/>
      <c r="L8" s="114">
        <v>1</v>
      </c>
      <c r="M8" s="114"/>
      <c r="N8" s="43"/>
      <c r="O8" s="43"/>
      <c r="P8" s="43"/>
      <c r="Q8" s="43"/>
      <c r="R8" s="43"/>
      <c r="S8" s="43"/>
      <c r="T8" s="43"/>
      <c r="U8" s="43"/>
      <c r="AD8" s="153" t="s">
        <v>53</v>
      </c>
      <c r="AE8" s="153"/>
      <c r="AF8" s="154">
        <v>1</v>
      </c>
      <c r="AG8" s="155"/>
      <c r="AH8" s="153" t="s">
        <v>54</v>
      </c>
      <c r="AI8" s="153"/>
      <c r="AJ8" s="154">
        <v>1</v>
      </c>
      <c r="AK8" s="155"/>
      <c r="AL8" s="153" t="s">
        <v>43</v>
      </c>
      <c r="AM8" s="153"/>
      <c r="AN8" s="114">
        <v>0</v>
      </c>
      <c r="AO8" s="114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63" t="str">
        <f>IF(D7&gt;=1,"기초금리1", "")</f>
        <v>기초금리1</v>
      </c>
      <c r="C10" s="151" t="str">
        <f>IF($D$7&gt;=1,"커브번호", "")</f>
        <v>커브번호</v>
      </c>
      <c r="D10" s="151"/>
      <c r="E10" s="121">
        <v>1</v>
      </c>
      <c r="F10" s="121"/>
      <c r="G10" s="45"/>
      <c r="H10" s="45"/>
      <c r="I10" s="134" t="str">
        <f>IF(OR(E11 = 0, E11 = 2, E11 = 4), "RefType = "&amp;E11&amp;" 이므로 Ref Swap 금리정보 사용안함", "사용")</f>
        <v>사용</v>
      </c>
      <c r="J10" s="134"/>
      <c r="K10" s="134"/>
      <c r="L10" s="135"/>
      <c r="N10" s="148" t="s">
        <v>34</v>
      </c>
      <c r="O10" s="148"/>
      <c r="P10" s="148"/>
      <c r="Q10" s="148"/>
      <c r="R10" s="42"/>
      <c r="S10" s="42"/>
      <c r="T10" s="42"/>
      <c r="U10" s="42"/>
      <c r="W10" s="148" t="s">
        <v>55</v>
      </c>
      <c r="X10" s="148"/>
      <c r="Y10" s="148"/>
      <c r="AD10" s="124" t="str">
        <f>IF($AF$7&gt;=1,"기초금리1", "")</f>
        <v>기초금리1</v>
      </c>
      <c r="AE10" s="120" t="str">
        <f>IF($AF$7&gt;=1,"커브번호", "")</f>
        <v>커브번호</v>
      </c>
      <c r="AF10" s="120"/>
      <c r="AG10" s="121">
        <v>1</v>
      </c>
      <c r="AH10" s="121"/>
      <c r="AI10" s="45"/>
      <c r="AJ10" s="45"/>
      <c r="AK10" s="118" t="str">
        <f>IF(OR(AG11 = 0, AG11 = 2, AG11 = 4), "RefType = "&amp;AG11&amp;" 이므로 Ref Swap 금리정보 사용안함", "사용")</f>
        <v>RefType = 0 이므로 Ref Swap 금리정보 사용안함</v>
      </c>
      <c r="AL10" s="118"/>
      <c r="AM10" s="118"/>
      <c r="AN10" s="119"/>
      <c r="AP10" s="148" t="s">
        <v>57</v>
      </c>
      <c r="AQ10" s="148"/>
      <c r="AR10" s="148"/>
      <c r="AS10" s="148"/>
      <c r="AT10" s="42"/>
      <c r="AU10" s="42"/>
      <c r="AV10" s="42"/>
      <c r="AW10" s="42"/>
      <c r="AY10" s="148" t="s">
        <v>56</v>
      </c>
      <c r="AZ10" s="148"/>
      <c r="BA10" s="148"/>
    </row>
    <row r="11" spans="1:57" ht="16.2" customHeight="1" x14ac:dyDescent="0.4">
      <c r="A11" s="42">
        <f t="shared" si="1"/>
        <v>11</v>
      </c>
      <c r="B11" s="149"/>
      <c r="C11" s="140" t="str">
        <f>IF($D$7&gt;=1,"Reference Rate Type", "")</f>
        <v>Reference Rate Type</v>
      </c>
      <c r="D11" s="141"/>
      <c r="E11" s="152">
        <v>1</v>
      </c>
      <c r="F11" s="152"/>
      <c r="G11" s="126" t="str">
        <f>IF(OR(E11 = 0, E11 = 2, E11 = 4), "", "Zero/Swap 레퍼런스금리정보")</f>
        <v>Zero/Swap 레퍼런스금리정보</v>
      </c>
      <c r="H11" s="126"/>
      <c r="I11" s="126" t="str">
        <f>IF(OR(E11 = 0, E11 = 2, E11 = 4), "", "연 지급횟수")</f>
        <v>연 지급횟수</v>
      </c>
      <c r="J11" s="127"/>
      <c r="K11" s="111">
        <v>4</v>
      </c>
      <c r="L11" s="112"/>
      <c r="M11" s="42"/>
      <c r="N11" s="162" t="str">
        <f>IF(OR(E11 = 0, E11 = 2, E11 = 4), "ForwardStart", "ResetStart")</f>
        <v>ResetStart</v>
      </c>
      <c r="O11" s="162" t="str">
        <f>IF(OR(E11 = 0, E11 = 2, E11 = 4), "ForwardEnd", "ResetEnd")</f>
        <v>ResetEnd</v>
      </c>
      <c r="P11" s="115" t="s">
        <v>35</v>
      </c>
      <c r="Q11" s="115" t="s">
        <v>36</v>
      </c>
      <c r="R11" s="115" t="s">
        <v>37</v>
      </c>
      <c r="S11" s="115" t="s">
        <v>38</v>
      </c>
      <c r="T11" s="115" t="s">
        <v>76</v>
      </c>
      <c r="U11" s="115" t="s">
        <v>77</v>
      </c>
      <c r="W11" s="46" t="s">
        <v>44</v>
      </c>
      <c r="X11" s="136">
        <v>0</v>
      </c>
      <c r="Y11" s="136"/>
      <c r="AD11" s="125"/>
      <c r="AE11" s="107" t="str">
        <f>IF($AF$7&gt;=1,"Reference Rate Type", "")</f>
        <v>Reference Rate Type</v>
      </c>
      <c r="AF11" s="122"/>
      <c r="AG11" s="152">
        <v>0</v>
      </c>
      <c r="AH11" s="152"/>
      <c r="AI11" s="109" t="str">
        <f>IF(OR(AG11 = 0, AG11 = 2, AG11 = 4), "", "Zero/Swap 레퍼런스금리정보")</f>
        <v/>
      </c>
      <c r="AJ11" s="109"/>
      <c r="AK11" s="109" t="str">
        <f>IF(OR(AG11 = 0, AG11 = 2, AG11 = 4), "", "연 지급횟수")</f>
        <v/>
      </c>
      <c r="AL11" s="110"/>
      <c r="AM11" s="111">
        <v>4</v>
      </c>
      <c r="AN11" s="112"/>
      <c r="AO11" s="42"/>
      <c r="AP11" s="115" t="str">
        <f>IF(OR(AG11 = 0, AG11 = 2, AG11 = 4), "ForwardStart", "ResetEnd")</f>
        <v>ForwardStart</v>
      </c>
      <c r="AQ11" s="115" t="str">
        <f>IF(OR(AG11 = 0, AG11 = 2, AG11 = 4), "ForwardEnd", "ResetEnd")</f>
        <v>ForwardEnd</v>
      </c>
      <c r="AR11" s="115" t="s">
        <v>35</v>
      </c>
      <c r="AS11" s="115" t="s">
        <v>36</v>
      </c>
      <c r="AT11" s="115" t="s">
        <v>37</v>
      </c>
      <c r="AU11" s="115" t="s">
        <v>38</v>
      </c>
      <c r="AV11" s="115" t="s">
        <v>76</v>
      </c>
      <c r="AW11" s="115" t="s">
        <v>77</v>
      </c>
      <c r="AY11" s="46" t="s">
        <v>44</v>
      </c>
      <c r="AZ11" s="136">
        <v>0</v>
      </c>
      <c r="BA11" s="136"/>
    </row>
    <row r="12" spans="1:57" ht="16.2" customHeight="1" x14ac:dyDescent="0.4">
      <c r="A12" s="42">
        <f t="shared" si="1"/>
        <v>12</v>
      </c>
      <c r="B12" s="149"/>
      <c r="C12" s="140" t="str">
        <f>IF($D$7&gt;=1,"DayCount", "")</f>
        <v>DayCount</v>
      </c>
      <c r="D12" s="140"/>
      <c r="E12" s="98">
        <v>0</v>
      </c>
      <c r="F12" s="98"/>
      <c r="G12" s="126"/>
      <c r="H12" s="126"/>
      <c r="I12" s="126" t="str">
        <f>IF(OR(E11 = 0, E11 = 2, E11 = 4,E14=1), "", "만기")</f>
        <v>만기</v>
      </c>
      <c r="J12" s="127"/>
      <c r="K12" s="160">
        <v>0.25</v>
      </c>
      <c r="L12" s="161"/>
      <c r="N12" s="115"/>
      <c r="O12" s="115"/>
      <c r="P12" s="115"/>
      <c r="Q12" s="115"/>
      <c r="R12" s="115"/>
      <c r="S12" s="115"/>
      <c r="T12" s="115"/>
      <c r="U12" s="115"/>
      <c r="W12" s="46" t="s">
        <v>45</v>
      </c>
      <c r="X12" s="136">
        <v>0</v>
      </c>
      <c r="Y12" s="136"/>
      <c r="AD12" s="125"/>
      <c r="AE12" s="107" t="str">
        <f>IF($AF$7&gt;=1,"DayCount", "")</f>
        <v>DayCount</v>
      </c>
      <c r="AF12" s="107"/>
      <c r="AG12" s="98">
        <v>0</v>
      </c>
      <c r="AH12" s="98"/>
      <c r="AI12" s="109"/>
      <c r="AJ12" s="109"/>
      <c r="AK12" s="126" t="str">
        <f>IF(OR(AG11 = 0, AG11 = 2, AG11 = 4,AG14=1), "", "만기")</f>
        <v/>
      </c>
      <c r="AL12" s="127"/>
      <c r="AM12" s="128">
        <v>0.25</v>
      </c>
      <c r="AN12" s="129"/>
      <c r="AP12" s="115"/>
      <c r="AQ12" s="115"/>
      <c r="AR12" s="115"/>
      <c r="AS12" s="115"/>
      <c r="AT12" s="115"/>
      <c r="AU12" s="115"/>
      <c r="AV12" s="115"/>
      <c r="AW12" s="115"/>
      <c r="AY12" s="46" t="s">
        <v>45</v>
      </c>
      <c r="AZ12" s="136">
        <v>0</v>
      </c>
      <c r="BA12" s="136"/>
    </row>
    <row r="13" spans="1:57" ht="16.2" customHeight="1" x14ac:dyDescent="0.4">
      <c r="A13" s="42">
        <f t="shared" si="1"/>
        <v>13</v>
      </c>
      <c r="B13" s="149"/>
      <c r="C13" s="140" t="str">
        <f>IF($D$7&gt;=1,"금리결정조건Multiple", "")</f>
        <v>금리결정조건Multiple</v>
      </c>
      <c r="D13" s="141"/>
      <c r="E13" s="97">
        <v>1</v>
      </c>
      <c r="F13" s="97"/>
      <c r="G13" s="93" t="str">
        <f>IF(OR(E11 = 0, E11 = 2, E11 = 4), "", "ex) Zero Rate 5년 -&gt; 연 지급횟수= 0, 만기= 5 // CD91일 -&gt; 연 지급횟수= 4, 만기= 0.25")</f>
        <v>ex) Zero Rate 5년 -&gt; 연 지급횟수= 0, 만기= 5 // CD91일 -&gt; 연 지급횟수= 4, 만기= 0.25</v>
      </c>
      <c r="H13" s="93"/>
      <c r="I13" s="93"/>
      <c r="J13" s="93"/>
      <c r="K13" s="93"/>
      <c r="L13" s="94"/>
      <c r="M13" s="42"/>
      <c r="N13" s="47">
        <v>44509</v>
      </c>
      <c r="O13" s="47">
        <f>EDATE(N13,3)</f>
        <v>44601</v>
      </c>
      <c r="P13" s="47">
        <f>N13</f>
        <v>44509</v>
      </c>
      <c r="Q13" s="47">
        <f>O13</f>
        <v>44601</v>
      </c>
      <c r="R13" s="47">
        <f>Q13+2</f>
        <v>44603</v>
      </c>
      <c r="S13" s="48">
        <v>0</v>
      </c>
      <c r="T13" s="48">
        <v>0</v>
      </c>
      <c r="U13" s="48">
        <v>0.05</v>
      </c>
      <c r="W13" s="46" t="s">
        <v>46</v>
      </c>
      <c r="X13" s="136">
        <v>0</v>
      </c>
      <c r="Y13" s="136"/>
      <c r="AD13" s="125"/>
      <c r="AE13" s="107" t="str">
        <f>IF($AF$7&gt;=1,"금리결정조건Multiple", "")</f>
        <v>금리결정조건Multiple</v>
      </c>
      <c r="AF13" s="122"/>
      <c r="AG13" s="97">
        <v>1</v>
      </c>
      <c r="AH13" s="97"/>
      <c r="AI13" s="93" t="str">
        <f>IF(OR(AG11 = 0, AG11 = 2, AG11 = 4), "", "ex) Zero Rate 5년 -&gt; 연 지급횟수= 0, 만기= 5 // CD91일 -&gt; 연 지급횟수= 4, 만기= 0.25")</f>
        <v/>
      </c>
      <c r="AJ13" s="93"/>
      <c r="AK13" s="93"/>
      <c r="AL13" s="93"/>
      <c r="AM13" s="93"/>
      <c r="AN13" s="94"/>
      <c r="AO13" s="42"/>
      <c r="AP13" s="47">
        <v>44509</v>
      </c>
      <c r="AQ13" s="47">
        <v>44601</v>
      </c>
      <c r="AR13" s="47">
        <v>44509</v>
      </c>
      <c r="AS13" s="47">
        <v>44601</v>
      </c>
      <c r="AT13" s="47">
        <v>44603</v>
      </c>
      <c r="AU13" s="48">
        <v>0.02</v>
      </c>
      <c r="AV13" s="48">
        <v>0</v>
      </c>
      <c r="AW13" s="48">
        <v>0</v>
      </c>
      <c r="AY13" s="46" t="s">
        <v>46</v>
      </c>
      <c r="AZ13" s="136">
        <v>0</v>
      </c>
      <c r="BA13" s="136"/>
    </row>
    <row r="14" spans="1:57" ht="16.2" customHeight="1" x14ac:dyDescent="0.4">
      <c r="A14" s="42">
        <f t="shared" si="1"/>
        <v>14</v>
      </c>
      <c r="B14" s="149"/>
      <c r="C14" s="139" t="str">
        <f>IF($D$7&gt;=1,"Power Spread Flag", "")</f>
        <v>Power Spread Flag</v>
      </c>
      <c r="D14" s="139"/>
      <c r="E14" s="98">
        <v>0</v>
      </c>
      <c r="F14" s="98"/>
      <c r="G14" s="146" t="str">
        <f>IF(E14&gt;0,"PowerSpreadFlag 1일때 입력","입력필요X")</f>
        <v>입력필요X</v>
      </c>
      <c r="H14" s="146"/>
      <c r="I14" s="146" t="str">
        <f>IF(E14&gt;0,"만기1","")</f>
        <v/>
      </c>
      <c r="J14" s="146"/>
      <c r="K14" s="100">
        <v>10</v>
      </c>
      <c r="L14" s="101"/>
      <c r="M14" s="42"/>
      <c r="N14" s="47">
        <f>EDATE(N13,3)</f>
        <v>44601</v>
      </c>
      <c r="O14" s="47">
        <f t="shared" ref="O14:O24" si="2">EDATE(N14,3)</f>
        <v>44690</v>
      </c>
      <c r="P14" s="47">
        <f>N14</f>
        <v>44601</v>
      </c>
      <c r="Q14" s="47">
        <f>O14</f>
        <v>44690</v>
      </c>
      <c r="R14" s="47">
        <f>Q14+2</f>
        <v>44692</v>
      </c>
      <c r="S14" s="48">
        <v>0</v>
      </c>
      <c r="T14" s="48">
        <v>0</v>
      </c>
      <c r="U14" s="48">
        <v>0.05</v>
      </c>
      <c r="W14" s="49" t="s">
        <v>40</v>
      </c>
      <c r="X14" s="49" t="s">
        <v>41</v>
      </c>
      <c r="Y14" s="49" t="s">
        <v>42</v>
      </c>
      <c r="AD14" s="125"/>
      <c r="AE14" s="106" t="str">
        <f>IF($AF$7&gt;=1,"Power Spread Flag", "")</f>
        <v>Power Spread Flag</v>
      </c>
      <c r="AF14" s="106"/>
      <c r="AG14" s="98">
        <v>0</v>
      </c>
      <c r="AH14" s="98"/>
      <c r="AI14" s="99" t="str">
        <f>IF(AG14&gt;0,"PowerSpreadFlag 1일때 입력","입력필요X")</f>
        <v>입력필요X</v>
      </c>
      <c r="AJ14" s="99"/>
      <c r="AK14" s="99" t="str">
        <f>IF(AG14&gt;0,"만기1","")</f>
        <v/>
      </c>
      <c r="AL14" s="99"/>
      <c r="AM14" s="100">
        <v>10</v>
      </c>
      <c r="AN14" s="101"/>
      <c r="AP14" s="47">
        <v>44601</v>
      </c>
      <c r="AQ14" s="47">
        <v>44690</v>
      </c>
      <c r="AR14" s="47">
        <v>44601</v>
      </c>
      <c r="AS14" s="47">
        <v>44690</v>
      </c>
      <c r="AT14" s="47">
        <v>44692</v>
      </c>
      <c r="AU14" s="48">
        <v>0.02</v>
      </c>
      <c r="AV14" s="48">
        <v>0</v>
      </c>
      <c r="AW14" s="48">
        <v>0</v>
      </c>
      <c r="AY14" s="49" t="s">
        <v>40</v>
      </c>
      <c r="AZ14" s="49" t="s">
        <v>41</v>
      </c>
      <c r="BA14" s="49" t="s">
        <v>42</v>
      </c>
    </row>
    <row r="15" spans="1:57" ht="16.2" customHeight="1" x14ac:dyDescent="0.4">
      <c r="A15" s="42">
        <f t="shared" si="1"/>
        <v>15</v>
      </c>
      <c r="B15" s="149" t="str">
        <f>IF($D$7&gt;0, "사용", "커브개수"&amp;"="&amp;$D$7&amp;"이므로 사용안함")</f>
        <v>사용</v>
      </c>
      <c r="C15" s="139" t="str">
        <f>IF($D$7&gt;=1,"Range상한", "")</f>
        <v>Range상한</v>
      </c>
      <c r="D15" s="139"/>
      <c r="E15" s="130">
        <v>0.02</v>
      </c>
      <c r="F15" s="130"/>
      <c r="G15" s="146"/>
      <c r="H15" s="146"/>
      <c r="I15" s="146" t="str">
        <f>IF(E14&gt;0,"만기2","")</f>
        <v/>
      </c>
      <c r="J15" s="146"/>
      <c r="K15" s="100">
        <v>5</v>
      </c>
      <c r="L15" s="101"/>
      <c r="M15" s="42"/>
      <c r="N15" s="47">
        <f t="shared" ref="N15" si="3">EDATE(N14,3)</f>
        <v>44690</v>
      </c>
      <c r="O15" s="47">
        <f t="shared" si="2"/>
        <v>44782</v>
      </c>
      <c r="P15" s="47">
        <f t="shared" ref="P15:P16" si="4">N15</f>
        <v>44690</v>
      </c>
      <c r="Q15" s="47">
        <f t="shared" ref="Q15:Q16" si="5">O15</f>
        <v>44782</v>
      </c>
      <c r="R15" s="47">
        <f t="shared" ref="R15:R16" si="6">Q15+2</f>
        <v>44784</v>
      </c>
      <c r="S15" s="48">
        <v>0</v>
      </c>
      <c r="T15" s="48">
        <v>0</v>
      </c>
      <c r="U15" s="48">
        <v>0.05</v>
      </c>
      <c r="W15" s="50">
        <v>41188</v>
      </c>
      <c r="X15" s="50">
        <v>41188</v>
      </c>
      <c r="Y15" s="50">
        <v>41188</v>
      </c>
      <c r="AD15" s="125" t="str">
        <f>IF($AF$7&gt;0, "사용", "커브개수"&amp;"="&amp;$AF$7&amp;"이므로 사용안함")</f>
        <v>사용</v>
      </c>
      <c r="AE15" s="106" t="str">
        <f>IF($AF$7&gt;=1,"Range상한", "")</f>
        <v>Range상한</v>
      </c>
      <c r="AF15" s="106"/>
      <c r="AG15" s="130">
        <v>0.5</v>
      </c>
      <c r="AH15" s="130"/>
      <c r="AI15" s="99"/>
      <c r="AJ15" s="99"/>
      <c r="AK15" s="99" t="str">
        <f>IF(AG14&gt;0,"만기2","")</f>
        <v/>
      </c>
      <c r="AL15" s="99"/>
      <c r="AM15" s="100">
        <v>5</v>
      </c>
      <c r="AN15" s="101"/>
      <c r="AP15" s="47">
        <v>44690</v>
      </c>
      <c r="AQ15" s="47">
        <v>44782</v>
      </c>
      <c r="AR15" s="47">
        <v>44690</v>
      </c>
      <c r="AS15" s="47">
        <v>44782</v>
      </c>
      <c r="AT15" s="47">
        <v>44784</v>
      </c>
      <c r="AU15" s="48">
        <v>0.02</v>
      </c>
      <c r="AV15" s="48">
        <v>0</v>
      </c>
      <c r="AW15" s="48">
        <v>0</v>
      </c>
      <c r="AY15" s="50">
        <v>41188</v>
      </c>
      <c r="AZ15" s="50">
        <v>41188</v>
      </c>
      <c r="BA15" s="50">
        <v>41188</v>
      </c>
    </row>
    <row r="16" spans="1:57" ht="16.2" customHeight="1" x14ac:dyDescent="0.4">
      <c r="A16" s="42">
        <f t="shared" si="1"/>
        <v>16</v>
      </c>
      <c r="B16" s="149"/>
      <c r="C16" s="139" t="str">
        <f>IF($D$7&gt;=1,"Range하한", "")</f>
        <v>Range하한</v>
      </c>
      <c r="D16" s="140"/>
      <c r="E16" s="108">
        <v>0</v>
      </c>
      <c r="F16" s="108"/>
      <c r="G16" s="150"/>
      <c r="H16" s="150"/>
      <c r="I16" s="147" t="str">
        <f>IF(E14&gt;0,"Spread1","")</f>
        <v/>
      </c>
      <c r="J16" s="147"/>
      <c r="K16" s="137" t="str">
        <f>IF(E14&gt;0, I14&amp;"-"&amp;I15, "")</f>
        <v/>
      </c>
      <c r="L16" s="138"/>
      <c r="M16" s="42"/>
      <c r="N16" s="47">
        <f>EDATE(N15,3)</f>
        <v>44782</v>
      </c>
      <c r="O16" s="47">
        <f t="shared" si="2"/>
        <v>44874</v>
      </c>
      <c r="P16" s="47">
        <f t="shared" si="4"/>
        <v>44782</v>
      </c>
      <c r="Q16" s="47">
        <f t="shared" si="5"/>
        <v>44874</v>
      </c>
      <c r="R16" s="47">
        <f t="shared" si="6"/>
        <v>44876</v>
      </c>
      <c r="S16" s="48">
        <v>0</v>
      </c>
      <c r="T16" s="48">
        <v>0</v>
      </c>
      <c r="U16" s="48">
        <v>0.05</v>
      </c>
      <c r="W16" s="50">
        <v>41189</v>
      </c>
      <c r="X16" s="50">
        <v>41189</v>
      </c>
      <c r="Y16" s="50">
        <v>41189</v>
      </c>
      <c r="AD16" s="125"/>
      <c r="AE16" s="106" t="str">
        <f>IF($AF$7&gt;=1,"Range하한", "")</f>
        <v>Range하한</v>
      </c>
      <c r="AF16" s="107"/>
      <c r="AG16" s="108">
        <v>-0.1</v>
      </c>
      <c r="AH16" s="108"/>
      <c r="AI16" s="105"/>
      <c r="AJ16" s="105"/>
      <c r="AK16" s="102" t="str">
        <f>IF(AG14&gt;0,"Spread1","")</f>
        <v/>
      </c>
      <c r="AL16" s="102"/>
      <c r="AM16" s="103" t="str">
        <f>IF(AG14&gt;0, AK14&amp;"-"&amp;AK15, "")</f>
        <v/>
      </c>
      <c r="AN16" s="104"/>
      <c r="AO16" s="42"/>
      <c r="AP16" s="47">
        <f>EDATE(AP15,3)</f>
        <v>44782</v>
      </c>
      <c r="AQ16" s="47">
        <f>EDATE(AQ15,3)</f>
        <v>44874</v>
      </c>
      <c r="AR16" s="47">
        <f>AP16</f>
        <v>44782</v>
      </c>
      <c r="AS16" s="47">
        <f>AQ16</f>
        <v>44874</v>
      </c>
      <c r="AT16" s="47">
        <f>AS16+2</f>
        <v>44876</v>
      </c>
      <c r="AU16" s="48">
        <v>0.02</v>
      </c>
      <c r="AV16" s="48">
        <v>0</v>
      </c>
      <c r="AW16" s="48">
        <v>0</v>
      </c>
      <c r="AY16" s="50">
        <v>41189</v>
      </c>
      <c r="AZ16" s="50">
        <v>41189</v>
      </c>
      <c r="BA16" s="50">
        <v>41189</v>
      </c>
    </row>
    <row r="17" spans="1:53" ht="16.2" customHeight="1" x14ac:dyDescent="0.4">
      <c r="A17" s="42">
        <f t="shared" si="1"/>
        <v>17</v>
      </c>
      <c r="B17" s="41"/>
      <c r="C17" s="131" t="str">
        <f>IF($D$7&gt;=1,"Payoff조건Multiple", "")</f>
        <v>Payoff조건Multiple</v>
      </c>
      <c r="D17" s="131"/>
      <c r="E17" s="116">
        <v>1</v>
      </c>
      <c r="F17" s="116"/>
      <c r="G17" s="95" t="str">
        <f>IF(E14&gt;0,"예시) 10년-5년 스왑: 연 지급횟수=4, 만기1=10, 만기2=5 // 10년-5년 Zero: 연 지급횟수=0","")</f>
        <v/>
      </c>
      <c r="H17" s="95"/>
      <c r="I17" s="95"/>
      <c r="J17" s="95"/>
      <c r="K17" s="95"/>
      <c r="L17" s="96"/>
      <c r="M17" s="42"/>
      <c r="N17" s="47">
        <f>EDATE(N16,3)</f>
        <v>44874</v>
      </c>
      <c r="O17" s="47">
        <f t="shared" si="2"/>
        <v>44966</v>
      </c>
      <c r="P17" s="47">
        <f>N17</f>
        <v>44874</v>
      </c>
      <c r="Q17" s="47">
        <f>O17</f>
        <v>44966</v>
      </c>
      <c r="R17" s="47">
        <f>Q17+2</f>
        <v>44968</v>
      </c>
      <c r="S17" s="48">
        <v>0</v>
      </c>
      <c r="T17" s="48">
        <v>0</v>
      </c>
      <c r="U17" s="48">
        <v>0.05</v>
      </c>
      <c r="W17" s="50">
        <v>41195</v>
      </c>
      <c r="X17" s="50">
        <v>41195</v>
      </c>
      <c r="Y17" s="50">
        <v>41195</v>
      </c>
      <c r="AD17" s="40"/>
      <c r="AE17" s="117" t="str">
        <f>IF($AF$7&gt;=1,"Payoff조건Multiple", "")</f>
        <v>Payoff조건Multiple</v>
      </c>
      <c r="AF17" s="117"/>
      <c r="AG17" s="116">
        <v>0</v>
      </c>
      <c r="AH17" s="116"/>
      <c r="AI17" s="95" t="str">
        <f>IF(AG14&gt;0,"예시) 10년-5년 스왑: 연 지급횟수=4, 만기1=10, 만기2=5 // 10년-5년 Zero: 연 지급횟수=0","")</f>
        <v/>
      </c>
      <c r="AJ17" s="95"/>
      <c r="AK17" s="95"/>
      <c r="AL17" s="95"/>
      <c r="AM17" s="95"/>
      <c r="AN17" s="96"/>
      <c r="AO17" s="42"/>
      <c r="AP17" s="47">
        <f>EDATE(AP16,3)</f>
        <v>44874</v>
      </c>
      <c r="AQ17" s="47">
        <f>EDATE(AQ16,3)</f>
        <v>44966</v>
      </c>
      <c r="AR17" s="47">
        <f>AP17</f>
        <v>44874</v>
      </c>
      <c r="AS17" s="47">
        <f>AQ17</f>
        <v>44966</v>
      </c>
      <c r="AT17" s="47">
        <f>AS17+2</f>
        <v>44968</v>
      </c>
      <c r="AU17" s="48">
        <v>0.02</v>
      </c>
      <c r="AV17" s="48">
        <v>0</v>
      </c>
      <c r="AW17" s="48">
        <v>0</v>
      </c>
      <c r="AY17" s="50">
        <v>41195</v>
      </c>
      <c r="AZ17" s="50">
        <v>41195</v>
      </c>
      <c r="BA17" s="50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24" si="7">EDATE(N17,3)</f>
        <v>44966</v>
      </c>
      <c r="O18" s="47">
        <f t="shared" si="2"/>
        <v>45055</v>
      </c>
      <c r="P18" s="47">
        <f t="shared" ref="P18:P24" si="8">N18</f>
        <v>44966</v>
      </c>
      <c r="Q18" s="47">
        <f t="shared" ref="Q18:Q24" si="9">O18</f>
        <v>45055</v>
      </c>
      <c r="R18" s="47">
        <f t="shared" ref="R18:R24" si="10">Q18+2</f>
        <v>45057</v>
      </c>
      <c r="S18" s="48">
        <v>0</v>
      </c>
      <c r="T18" s="48">
        <v>0</v>
      </c>
      <c r="U18" s="48">
        <v>0.05</v>
      </c>
      <c r="W18" s="50">
        <v>41196</v>
      </c>
      <c r="X18" s="50">
        <v>41196</v>
      </c>
      <c r="Y18" s="50">
        <v>41196</v>
      </c>
      <c r="AP18" s="47">
        <f t="shared" ref="AP18:AP24" si="11">EDATE(AP17,3)</f>
        <v>44966</v>
      </c>
      <c r="AQ18" s="47">
        <f t="shared" ref="AQ18:AQ24" si="12">EDATE(AQ17,3)</f>
        <v>45055</v>
      </c>
      <c r="AR18" s="47">
        <f t="shared" ref="AR18:AR24" si="13">AP18</f>
        <v>44966</v>
      </c>
      <c r="AS18" s="47">
        <f t="shared" ref="AS18:AS24" si="14">AQ18</f>
        <v>45055</v>
      </c>
      <c r="AT18" s="47">
        <f t="shared" ref="AT18:AT24" si="15">AS18+2</f>
        <v>45057</v>
      </c>
      <c r="AU18" s="48">
        <v>0.02</v>
      </c>
      <c r="AV18" s="48">
        <v>0</v>
      </c>
      <c r="AW18" s="48">
        <v>0</v>
      </c>
      <c r="AY18" s="50">
        <v>41196</v>
      </c>
      <c r="AZ18" s="50">
        <v>41196</v>
      </c>
      <c r="BA18" s="50">
        <v>41196</v>
      </c>
    </row>
    <row r="19" spans="1:53" ht="16.2" customHeight="1" thickBot="1" x14ac:dyDescent="0.45">
      <c r="A19" s="42">
        <f t="shared" si="1"/>
        <v>19</v>
      </c>
      <c r="B19" s="163" t="str">
        <f>IF(D7&gt;=2,"기초금리2", "")</f>
        <v>기초금리2</v>
      </c>
      <c r="C19" s="151" t="str">
        <f>IF($D$7&gt;=2,"커브번호", "")</f>
        <v>커브번호</v>
      </c>
      <c r="D19" s="151"/>
      <c r="E19" s="121">
        <v>2</v>
      </c>
      <c r="F19" s="121"/>
      <c r="G19" s="45"/>
      <c r="H19" s="45"/>
      <c r="I19" s="134" t="str">
        <f>IF(OR(E20 = 0, E20 = 2, E20 = 4), "RefType = "&amp;E20&amp;" 이므로 Ref Swap 금리정보 사용안함", "사용")</f>
        <v>RefType = 0 이므로 Ref Swap 금리정보 사용안함</v>
      </c>
      <c r="J19" s="134"/>
      <c r="K19" s="134"/>
      <c r="L19" s="135"/>
      <c r="M19" s="42"/>
      <c r="N19" s="47">
        <f t="shared" si="7"/>
        <v>45055</v>
      </c>
      <c r="O19" s="47">
        <f t="shared" si="2"/>
        <v>45147</v>
      </c>
      <c r="P19" s="47">
        <f t="shared" si="8"/>
        <v>45055</v>
      </c>
      <c r="Q19" s="47">
        <f t="shared" si="9"/>
        <v>45147</v>
      </c>
      <c r="R19" s="47">
        <f t="shared" si="10"/>
        <v>45149</v>
      </c>
      <c r="S19" s="48">
        <v>0</v>
      </c>
      <c r="T19" s="48">
        <v>0</v>
      </c>
      <c r="U19" s="48">
        <v>0.05</v>
      </c>
      <c r="W19" s="50">
        <v>41202</v>
      </c>
      <c r="X19" s="50">
        <v>41202</v>
      </c>
      <c r="Y19" s="50">
        <v>41202</v>
      </c>
      <c r="AD19" s="124" t="str">
        <f>IF($AF$7&gt;=2,"기초금리2", "")</f>
        <v/>
      </c>
      <c r="AE19" s="120" t="str">
        <f>IF($AF$7&gt;=2,"커브번호", "")</f>
        <v/>
      </c>
      <c r="AF19" s="120"/>
      <c r="AG19" s="121">
        <v>2</v>
      </c>
      <c r="AH19" s="121"/>
      <c r="AI19" s="45"/>
      <c r="AJ19" s="45"/>
      <c r="AK19" s="118" t="str">
        <f>IF(OR(AG20 = 0, AG20 = 2, AG20 = 4), "RefType = "&amp;AG20&amp;" 이므로 Ref Swap 금리정보 사용안함", "사용")</f>
        <v>RefType = 0 이므로 Ref Swap 금리정보 사용안함</v>
      </c>
      <c r="AL19" s="118"/>
      <c r="AM19" s="118"/>
      <c r="AN19" s="119"/>
      <c r="AP19" s="47">
        <f t="shared" si="11"/>
        <v>45055</v>
      </c>
      <c r="AQ19" s="47">
        <f t="shared" si="12"/>
        <v>45147</v>
      </c>
      <c r="AR19" s="47">
        <f t="shared" si="13"/>
        <v>45055</v>
      </c>
      <c r="AS19" s="47">
        <f t="shared" si="14"/>
        <v>45147</v>
      </c>
      <c r="AT19" s="47">
        <f t="shared" si="15"/>
        <v>45149</v>
      </c>
      <c r="AU19" s="48">
        <v>0.02</v>
      </c>
      <c r="AV19" s="48">
        <v>0</v>
      </c>
      <c r="AW19" s="48">
        <v>0</v>
      </c>
      <c r="AY19" s="50">
        <v>41202</v>
      </c>
      <c r="AZ19" s="50">
        <v>41202</v>
      </c>
      <c r="BA19" s="50">
        <v>41202</v>
      </c>
    </row>
    <row r="20" spans="1:53" ht="16.2" customHeight="1" thickBot="1" x14ac:dyDescent="0.45">
      <c r="A20" s="42">
        <f t="shared" si="1"/>
        <v>20</v>
      </c>
      <c r="B20" s="149"/>
      <c r="C20" s="140" t="str">
        <f>IF($D$7&gt;=2,"Reference Rate Type", "")</f>
        <v>Reference Rate Type</v>
      </c>
      <c r="D20" s="141"/>
      <c r="E20" s="123">
        <v>0</v>
      </c>
      <c r="F20" s="123"/>
      <c r="G20" s="126" t="str">
        <f>IF(OR(E20 = 0, E20 = 2, E20 = 4), "", "Zero/Swap 레퍼런스금리정보")</f>
        <v/>
      </c>
      <c r="H20" s="126"/>
      <c r="I20" s="126" t="str">
        <f>IF(OR(E20 = 0, E20 = 2, E20 = 4), "", "연 지급횟수")</f>
        <v/>
      </c>
      <c r="J20" s="127"/>
      <c r="K20" s="111">
        <v>4</v>
      </c>
      <c r="L20" s="112"/>
      <c r="M20" s="42"/>
      <c r="N20" s="47">
        <f t="shared" si="7"/>
        <v>45147</v>
      </c>
      <c r="O20" s="47">
        <f t="shared" si="2"/>
        <v>45239</v>
      </c>
      <c r="P20" s="47">
        <f t="shared" si="8"/>
        <v>45147</v>
      </c>
      <c r="Q20" s="47">
        <f t="shared" si="9"/>
        <v>45239</v>
      </c>
      <c r="R20" s="47">
        <f t="shared" si="10"/>
        <v>45241</v>
      </c>
      <c r="S20" s="48">
        <v>0</v>
      </c>
      <c r="T20" s="48">
        <v>0</v>
      </c>
      <c r="U20" s="48">
        <v>0.05</v>
      </c>
      <c r="W20" s="50">
        <v>41203</v>
      </c>
      <c r="X20" s="50">
        <v>41203</v>
      </c>
      <c r="Y20" s="50">
        <v>41203</v>
      </c>
      <c r="AD20" s="125"/>
      <c r="AE20" s="107" t="str">
        <f>IF($AF$7&gt;=2,"Reference Rate Type", "")</f>
        <v/>
      </c>
      <c r="AF20" s="122"/>
      <c r="AG20" s="123">
        <v>0</v>
      </c>
      <c r="AH20" s="123"/>
      <c r="AI20" s="109" t="str">
        <f>IF(OR(AG20 = 0, AG20 = 2, AG20 = 4), "", "Zero/Swap 레퍼런스금리정보")</f>
        <v/>
      </c>
      <c r="AJ20" s="109"/>
      <c r="AK20" s="109" t="str">
        <f>IF(OR(AG20 = 0, AG20 = 2, AG20 = 4), "", "연 지급횟수")</f>
        <v/>
      </c>
      <c r="AL20" s="110"/>
      <c r="AM20" s="111">
        <v>4</v>
      </c>
      <c r="AN20" s="112"/>
      <c r="AP20" s="47">
        <f t="shared" si="11"/>
        <v>45147</v>
      </c>
      <c r="AQ20" s="47">
        <f t="shared" si="12"/>
        <v>45239</v>
      </c>
      <c r="AR20" s="47">
        <f t="shared" si="13"/>
        <v>45147</v>
      </c>
      <c r="AS20" s="47">
        <f t="shared" si="14"/>
        <v>45239</v>
      </c>
      <c r="AT20" s="47">
        <f t="shared" si="15"/>
        <v>45241</v>
      </c>
      <c r="AU20" s="48">
        <v>0.02</v>
      </c>
      <c r="AV20" s="48">
        <v>0</v>
      </c>
      <c r="AW20" s="48">
        <v>0</v>
      </c>
      <c r="AY20" s="50">
        <v>41203</v>
      </c>
      <c r="AZ20" s="50">
        <v>41203</v>
      </c>
      <c r="BA20" s="50">
        <v>41203</v>
      </c>
    </row>
    <row r="21" spans="1:53" ht="16.2" customHeight="1" x14ac:dyDescent="0.4">
      <c r="A21" s="42">
        <f t="shared" si="1"/>
        <v>21</v>
      </c>
      <c r="B21" s="149"/>
      <c r="C21" s="140" t="str">
        <f>IF($D$7&gt;=2,"DayCount", "")</f>
        <v>DayCount</v>
      </c>
      <c r="D21" s="140"/>
      <c r="E21" s="98">
        <v>0</v>
      </c>
      <c r="F21" s="98"/>
      <c r="G21" s="126"/>
      <c r="H21" s="126"/>
      <c r="I21" s="126" t="str">
        <f>IF(OR(E20 = 0, E20 = 2, E20 = 4,E23=1), "", "만기")</f>
        <v/>
      </c>
      <c r="J21" s="127"/>
      <c r="K21" s="128">
        <v>1</v>
      </c>
      <c r="L21" s="129"/>
      <c r="M21" s="42"/>
      <c r="N21" s="47">
        <f t="shared" si="7"/>
        <v>45239</v>
      </c>
      <c r="O21" s="47">
        <f t="shared" si="2"/>
        <v>45331</v>
      </c>
      <c r="P21" s="47">
        <f t="shared" si="8"/>
        <v>45239</v>
      </c>
      <c r="Q21" s="47">
        <f t="shared" si="9"/>
        <v>45331</v>
      </c>
      <c r="R21" s="47">
        <f t="shared" si="10"/>
        <v>45333</v>
      </c>
      <c r="S21" s="48">
        <v>0</v>
      </c>
      <c r="T21" s="48">
        <v>0</v>
      </c>
      <c r="U21" s="48">
        <v>0.05</v>
      </c>
      <c r="W21" s="50">
        <v>41209</v>
      </c>
      <c r="X21" s="50">
        <v>41209</v>
      </c>
      <c r="Y21" s="50">
        <v>41209</v>
      </c>
      <c r="AD21" s="125"/>
      <c r="AE21" s="107" t="str">
        <f>IF($AF$7&gt;=2,"DayCount", "")</f>
        <v/>
      </c>
      <c r="AF21" s="107"/>
      <c r="AG21" s="98">
        <v>0</v>
      </c>
      <c r="AH21" s="98"/>
      <c r="AI21" s="109"/>
      <c r="AJ21" s="109"/>
      <c r="AK21" s="126" t="str">
        <f>IF(OR(AG20 = 0, AG20 = 2, AG20 = 4,AG23=1), "", "만기")</f>
        <v/>
      </c>
      <c r="AL21" s="127"/>
      <c r="AM21" s="128">
        <v>5</v>
      </c>
      <c r="AN21" s="129"/>
      <c r="AP21" s="47">
        <f t="shared" si="11"/>
        <v>45239</v>
      </c>
      <c r="AQ21" s="47">
        <f t="shared" si="12"/>
        <v>45331</v>
      </c>
      <c r="AR21" s="47">
        <f t="shared" si="13"/>
        <v>45239</v>
      </c>
      <c r="AS21" s="47">
        <f t="shared" si="14"/>
        <v>45331</v>
      </c>
      <c r="AT21" s="47">
        <f t="shared" si="15"/>
        <v>45333</v>
      </c>
      <c r="AU21" s="48">
        <v>0.02</v>
      </c>
      <c r="AV21" s="48">
        <v>0</v>
      </c>
      <c r="AW21" s="48">
        <v>0</v>
      </c>
      <c r="AY21" s="50">
        <v>41209</v>
      </c>
      <c r="AZ21" s="50">
        <v>41209</v>
      </c>
      <c r="BA21" s="50">
        <v>41209</v>
      </c>
    </row>
    <row r="22" spans="1:53" ht="16.2" customHeight="1" x14ac:dyDescent="0.4">
      <c r="A22" s="42">
        <f t="shared" si="1"/>
        <v>22</v>
      </c>
      <c r="B22" s="149"/>
      <c r="C22" s="140" t="str">
        <f>IF($D$7&gt;=2,"금리결정조건Multiple", "")</f>
        <v>금리결정조건Multiple</v>
      </c>
      <c r="D22" s="141"/>
      <c r="E22" s="97">
        <v>1</v>
      </c>
      <c r="F22" s="97"/>
      <c r="G22" s="93" t="str">
        <f>IF(OR(E20 = 0, E20 = 2, E20 = 4), "", "ex) Zero Rate 5년 -&gt; 연 지급횟수= 0, 만기= 5 // CD91일 -&gt; 연 지급횟수= 4, 만기= 0.25")</f>
        <v/>
      </c>
      <c r="H22" s="93"/>
      <c r="I22" s="93"/>
      <c r="J22" s="93"/>
      <c r="K22" s="93"/>
      <c r="L22" s="94"/>
      <c r="M22" s="42"/>
      <c r="N22" s="47">
        <f t="shared" si="7"/>
        <v>45331</v>
      </c>
      <c r="O22" s="47">
        <f t="shared" si="2"/>
        <v>45421</v>
      </c>
      <c r="P22" s="47">
        <f t="shared" si="8"/>
        <v>45331</v>
      </c>
      <c r="Q22" s="47">
        <f t="shared" si="9"/>
        <v>45421</v>
      </c>
      <c r="R22" s="47">
        <f t="shared" si="10"/>
        <v>45423</v>
      </c>
      <c r="S22" s="48">
        <v>0</v>
      </c>
      <c r="T22" s="48">
        <v>0</v>
      </c>
      <c r="U22" s="48">
        <v>0.05</v>
      </c>
      <c r="W22" s="50">
        <v>41210</v>
      </c>
      <c r="X22" s="50">
        <v>41210</v>
      </c>
      <c r="Y22" s="50">
        <v>41210</v>
      </c>
      <c r="AD22" s="125"/>
      <c r="AE22" s="107" t="str">
        <f>IF($AF$7&gt;=2,"금리결정조건Multiple", "")</f>
        <v/>
      </c>
      <c r="AF22" s="122"/>
      <c r="AG22" s="97">
        <v>1</v>
      </c>
      <c r="AH22" s="97"/>
      <c r="AI22" s="93" t="str">
        <f>IF(OR(AG20 = 0, AG20 = 2, AG20 = 4), "", "ex) Zero Rate 5년 -&gt; 연 지급횟수= 0, 만기= 5 // CD91일 -&gt; 연 지급횟수= 4, 만기= 0.25")</f>
        <v/>
      </c>
      <c r="AJ22" s="93"/>
      <c r="AK22" s="93"/>
      <c r="AL22" s="93"/>
      <c r="AM22" s="93"/>
      <c r="AN22" s="94"/>
      <c r="AP22" s="47">
        <f t="shared" si="11"/>
        <v>45331</v>
      </c>
      <c r="AQ22" s="47">
        <f t="shared" si="12"/>
        <v>45421</v>
      </c>
      <c r="AR22" s="47">
        <f t="shared" si="13"/>
        <v>45331</v>
      </c>
      <c r="AS22" s="47">
        <f t="shared" si="14"/>
        <v>45421</v>
      </c>
      <c r="AT22" s="47">
        <f t="shared" si="15"/>
        <v>45423</v>
      </c>
      <c r="AU22" s="48">
        <v>0.02</v>
      </c>
      <c r="AV22" s="48">
        <v>0</v>
      </c>
      <c r="AW22" s="48">
        <v>0</v>
      </c>
      <c r="AY22" s="50">
        <v>41210</v>
      </c>
      <c r="AZ22" s="50">
        <v>41210</v>
      </c>
      <c r="BA22" s="50">
        <v>41210</v>
      </c>
    </row>
    <row r="23" spans="1:53" ht="16.2" customHeight="1" x14ac:dyDescent="0.4">
      <c r="A23" s="42">
        <f t="shared" si="1"/>
        <v>23</v>
      </c>
      <c r="B23" s="149"/>
      <c r="C23" s="139" t="str">
        <f>IF($D$7&gt;=2,"Power Spread Flag", "")</f>
        <v>Power Spread Flag</v>
      </c>
      <c r="D23" s="139"/>
      <c r="E23" s="98">
        <v>0</v>
      </c>
      <c r="F23" s="98"/>
      <c r="G23" s="146" t="str">
        <f>IF(E23&gt;0,"PowerSpreadFlag 1일때 입력","입력필요X")</f>
        <v>입력필요X</v>
      </c>
      <c r="H23" s="146"/>
      <c r="I23" s="146" t="str">
        <f>IF(E23&gt;0,"만기1","")</f>
        <v/>
      </c>
      <c r="J23" s="146"/>
      <c r="K23" s="100">
        <v>10</v>
      </c>
      <c r="L23" s="101"/>
      <c r="M23" s="42"/>
      <c r="N23" s="47">
        <f t="shared" si="7"/>
        <v>45421</v>
      </c>
      <c r="O23" s="47">
        <f t="shared" si="2"/>
        <v>45513</v>
      </c>
      <c r="P23" s="47">
        <f t="shared" si="8"/>
        <v>45421</v>
      </c>
      <c r="Q23" s="47">
        <f t="shared" si="9"/>
        <v>45513</v>
      </c>
      <c r="R23" s="47">
        <f t="shared" si="10"/>
        <v>45515</v>
      </c>
      <c r="S23" s="48">
        <v>0</v>
      </c>
      <c r="T23" s="48">
        <v>0</v>
      </c>
      <c r="U23" s="48">
        <v>0.05</v>
      </c>
      <c r="W23" s="50">
        <v>41216</v>
      </c>
      <c r="X23" s="50">
        <v>41216</v>
      </c>
      <c r="Y23" s="50">
        <v>41216</v>
      </c>
      <c r="AD23" s="125"/>
      <c r="AE23" s="106" t="str">
        <f>IF($AF$7&gt;=2,"Power Spread Flag", "")</f>
        <v/>
      </c>
      <c r="AF23" s="106"/>
      <c r="AG23" s="98">
        <v>0</v>
      </c>
      <c r="AH23" s="98"/>
      <c r="AI23" s="99" t="str">
        <f>IF(AG23&gt;0,"PowerSpreadFlag 1일때 입력","입력필요X")</f>
        <v>입력필요X</v>
      </c>
      <c r="AJ23" s="99"/>
      <c r="AK23" s="99" t="str">
        <f>IF(AG23&gt;0,"만기1","")</f>
        <v/>
      </c>
      <c r="AL23" s="99"/>
      <c r="AM23" s="100">
        <v>10</v>
      </c>
      <c r="AN23" s="101"/>
      <c r="AP23" s="47">
        <f t="shared" si="11"/>
        <v>45421</v>
      </c>
      <c r="AQ23" s="47">
        <f t="shared" si="12"/>
        <v>45513</v>
      </c>
      <c r="AR23" s="47">
        <f t="shared" si="13"/>
        <v>45421</v>
      </c>
      <c r="AS23" s="47">
        <f t="shared" si="14"/>
        <v>45513</v>
      </c>
      <c r="AT23" s="47">
        <f t="shared" si="15"/>
        <v>45515</v>
      </c>
      <c r="AU23" s="48">
        <v>0.02</v>
      </c>
      <c r="AV23" s="48">
        <v>0</v>
      </c>
      <c r="AW23" s="48">
        <v>0</v>
      </c>
      <c r="AY23" s="50">
        <v>41216</v>
      </c>
      <c r="AZ23" s="50">
        <v>41216</v>
      </c>
      <c r="BA23" s="50">
        <v>41216</v>
      </c>
    </row>
    <row r="24" spans="1:53" ht="16.2" customHeight="1" x14ac:dyDescent="0.4">
      <c r="A24" s="42">
        <f t="shared" si="1"/>
        <v>24</v>
      </c>
      <c r="B24" s="149" t="str">
        <f>IF($D$7&gt;1, "사용", "커브개수"&amp;"="&amp;$D$7&amp;"이므로 사용안함")</f>
        <v>사용</v>
      </c>
      <c r="C24" s="139" t="str">
        <f>IF($D$7&gt;=2,"Range상한", "")</f>
        <v>Range상한</v>
      </c>
      <c r="D24" s="139"/>
      <c r="E24" s="130">
        <v>0.03</v>
      </c>
      <c r="F24" s="130"/>
      <c r="G24" s="146"/>
      <c r="H24" s="146"/>
      <c r="I24" s="146" t="str">
        <f>IF(E23&gt;0,"만기2","")</f>
        <v/>
      </c>
      <c r="J24" s="146"/>
      <c r="K24" s="100">
        <v>5</v>
      </c>
      <c r="L24" s="101"/>
      <c r="M24" s="42"/>
      <c r="N24" s="47">
        <f t="shared" si="7"/>
        <v>45513</v>
      </c>
      <c r="O24" s="47">
        <f t="shared" si="2"/>
        <v>45605</v>
      </c>
      <c r="P24" s="47">
        <f t="shared" si="8"/>
        <v>45513</v>
      </c>
      <c r="Q24" s="47">
        <f t="shared" si="9"/>
        <v>45605</v>
      </c>
      <c r="R24" s="47">
        <f t="shared" si="10"/>
        <v>45607</v>
      </c>
      <c r="S24" s="48">
        <v>0</v>
      </c>
      <c r="T24" s="48">
        <v>0</v>
      </c>
      <c r="U24" s="48">
        <v>0.05</v>
      </c>
      <c r="W24" s="50">
        <v>41217</v>
      </c>
      <c r="X24" s="50">
        <v>41217</v>
      </c>
      <c r="Y24" s="50">
        <v>41217</v>
      </c>
      <c r="AD24" s="125" t="str">
        <f>IF($AF$7&gt;1, "사용", "커브개수"&amp;"="&amp;$AF$7&amp;"이므로 사용안함")</f>
        <v>커브개수=1이므로 사용안함</v>
      </c>
      <c r="AE24" s="106" t="str">
        <f>IF($AF$7&gt;=2,"Range상한", "")</f>
        <v/>
      </c>
      <c r="AF24" s="106"/>
      <c r="AG24" s="130">
        <v>0.5</v>
      </c>
      <c r="AH24" s="130"/>
      <c r="AI24" s="99"/>
      <c r="AJ24" s="99"/>
      <c r="AK24" s="99" t="str">
        <f>IF(AG23&gt;0,"만기2","")</f>
        <v/>
      </c>
      <c r="AL24" s="99"/>
      <c r="AM24" s="100">
        <v>5</v>
      </c>
      <c r="AN24" s="101"/>
      <c r="AP24" s="47">
        <f t="shared" si="11"/>
        <v>45513</v>
      </c>
      <c r="AQ24" s="47">
        <f t="shared" si="12"/>
        <v>45605</v>
      </c>
      <c r="AR24" s="47">
        <f t="shared" si="13"/>
        <v>45513</v>
      </c>
      <c r="AS24" s="47">
        <f t="shared" si="14"/>
        <v>45605</v>
      </c>
      <c r="AT24" s="47">
        <f t="shared" si="15"/>
        <v>45607</v>
      </c>
      <c r="AU24" s="48">
        <v>0.02</v>
      </c>
      <c r="AV24" s="48">
        <v>0</v>
      </c>
      <c r="AW24" s="48">
        <v>0</v>
      </c>
      <c r="AY24" s="50">
        <v>41217</v>
      </c>
      <c r="AZ24" s="50">
        <v>41217</v>
      </c>
      <c r="BA24" s="50">
        <v>41217</v>
      </c>
    </row>
    <row r="25" spans="1:53" ht="16.2" customHeight="1" x14ac:dyDescent="0.4">
      <c r="A25" s="42">
        <f t="shared" si="1"/>
        <v>25</v>
      </c>
      <c r="B25" s="149"/>
      <c r="C25" s="139" t="str">
        <f>IF($D$7&gt;=2,"Range하한", "")</f>
        <v>Range하한</v>
      </c>
      <c r="D25" s="140"/>
      <c r="E25" s="108">
        <v>-0.01</v>
      </c>
      <c r="F25" s="108"/>
      <c r="G25" s="150"/>
      <c r="H25" s="150"/>
      <c r="I25" s="147" t="str">
        <f>IF(E23&gt;0,"Spread1","")</f>
        <v/>
      </c>
      <c r="J25" s="147"/>
      <c r="K25" s="137" t="str">
        <f>IF(E23&gt;0, I23&amp;"-"&amp;I24, "")</f>
        <v/>
      </c>
      <c r="L25" s="138"/>
      <c r="N25" s="47"/>
      <c r="O25" s="47"/>
      <c r="P25" s="47"/>
      <c r="Q25" s="47"/>
      <c r="R25" s="47"/>
      <c r="S25" s="48"/>
      <c r="T25" s="48"/>
      <c r="U25" s="48"/>
      <c r="W25" s="50">
        <v>41223</v>
      </c>
      <c r="X25" s="50">
        <v>41223</v>
      </c>
      <c r="Y25" s="50">
        <v>41223</v>
      </c>
      <c r="AD25" s="125"/>
      <c r="AE25" s="106" t="str">
        <f>IF($AF$7&gt;=2,"Range하한", "")</f>
        <v/>
      </c>
      <c r="AF25" s="107"/>
      <c r="AG25" s="108">
        <v>-0.1</v>
      </c>
      <c r="AH25" s="108"/>
      <c r="AI25" s="105"/>
      <c r="AJ25" s="105"/>
      <c r="AK25" s="102" t="str">
        <f>IF(AG23&gt;0,"Spread1","")</f>
        <v/>
      </c>
      <c r="AL25" s="102"/>
      <c r="AM25" s="103" t="str">
        <f>IF(AG23&gt;0, AK23&amp;"-"&amp;AK24, "")</f>
        <v/>
      </c>
      <c r="AN25" s="104"/>
      <c r="AP25" s="47"/>
      <c r="AQ25" s="47"/>
      <c r="AR25" s="47"/>
      <c r="AS25" s="47"/>
      <c r="AT25" s="47"/>
      <c r="AU25" s="48"/>
      <c r="AV25" s="48"/>
      <c r="AW25" s="48"/>
      <c r="AY25" s="50">
        <v>41223</v>
      </c>
      <c r="AZ25" s="50">
        <v>41223</v>
      </c>
      <c r="BA25" s="50">
        <v>41223</v>
      </c>
    </row>
    <row r="26" spans="1:53" ht="16.2" customHeight="1" x14ac:dyDescent="0.4">
      <c r="A26" s="42">
        <f t="shared" si="1"/>
        <v>26</v>
      </c>
      <c r="B26" s="41"/>
      <c r="C26" s="131" t="str">
        <f>IF($D$7&gt;=2,"Payoff조건Multiple", "")</f>
        <v>Payoff조건Multiple</v>
      </c>
      <c r="D26" s="131"/>
      <c r="E26" s="116">
        <v>0</v>
      </c>
      <c r="F26" s="116"/>
      <c r="G26" s="95" t="str">
        <f>IF(E23&gt;0,"예시) 10년-5년 스왑: 연 지급횟수=4, 만기1=10, 만기2=5 // 10년-5년 Zero: 연 지급횟수=0","")</f>
        <v/>
      </c>
      <c r="H26" s="95"/>
      <c r="I26" s="95"/>
      <c r="J26" s="95"/>
      <c r="K26" s="95"/>
      <c r="L26" s="96"/>
      <c r="N26" s="47"/>
      <c r="O26" s="47"/>
      <c r="P26" s="47"/>
      <c r="Q26" s="47"/>
      <c r="R26" s="47"/>
      <c r="S26" s="48"/>
      <c r="T26" s="48"/>
      <c r="U26" s="48"/>
      <c r="W26" s="50">
        <v>41224</v>
      </c>
      <c r="X26" s="50">
        <v>41224</v>
      </c>
      <c r="Y26" s="50">
        <v>41224</v>
      </c>
      <c r="AD26" s="40"/>
      <c r="AE26" s="117" t="str">
        <f>IF($AF$7&gt;=2,"Payoff조건Multiple", "")</f>
        <v/>
      </c>
      <c r="AF26" s="117"/>
      <c r="AG26" s="116">
        <v>0</v>
      </c>
      <c r="AH26" s="116"/>
      <c r="AI26" s="95" t="str">
        <f>IF(AG23&gt;0,"예시) 10년-5년 스왑: 연 지급횟수=4, 만기1=10, 만기2=5 // 10년-5년 Zero: 연 지급횟수=0","")</f>
        <v/>
      </c>
      <c r="AJ26" s="95"/>
      <c r="AK26" s="95"/>
      <c r="AL26" s="95"/>
      <c r="AM26" s="95"/>
      <c r="AN26" s="96"/>
      <c r="AP26" s="47"/>
      <c r="AQ26" s="47"/>
      <c r="AR26" s="47"/>
      <c r="AS26" s="47"/>
      <c r="AT26" s="47"/>
      <c r="AU26" s="48"/>
      <c r="AV26" s="48"/>
      <c r="AW26" s="48"/>
      <c r="AY26" s="50">
        <v>41224</v>
      </c>
      <c r="AZ26" s="50">
        <v>41224</v>
      </c>
      <c r="BA26" s="50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/>
      <c r="O27" s="47"/>
      <c r="P27" s="47"/>
      <c r="Q27" s="47"/>
      <c r="R27" s="47"/>
      <c r="S27" s="48"/>
      <c r="T27" s="48"/>
      <c r="U27" s="48"/>
      <c r="W27" s="50">
        <v>41230</v>
      </c>
      <c r="X27" s="50">
        <v>41230</v>
      </c>
      <c r="Y27" s="50">
        <v>41230</v>
      </c>
      <c r="AP27" s="47"/>
      <c r="AQ27" s="47"/>
      <c r="AR27" s="47"/>
      <c r="AS27" s="47"/>
      <c r="AT27" s="47"/>
      <c r="AU27" s="48"/>
      <c r="AV27" s="48"/>
      <c r="AW27" s="48"/>
      <c r="AY27" s="50">
        <v>41230</v>
      </c>
      <c r="AZ27" s="50">
        <v>41230</v>
      </c>
      <c r="BA27" s="50">
        <v>41230</v>
      </c>
    </row>
    <row r="28" spans="1:53" ht="16.2" customHeight="1" thickBot="1" x14ac:dyDescent="0.45">
      <c r="A28" s="42">
        <f t="shared" si="1"/>
        <v>28</v>
      </c>
      <c r="B28" s="163" t="str">
        <f>IF($D$7&gt;=3,"기초금리3", "")</f>
        <v/>
      </c>
      <c r="C28" s="151" t="str">
        <f>IF($D$7&gt;=3,"커브번호", "")</f>
        <v/>
      </c>
      <c r="D28" s="151"/>
      <c r="E28" s="121">
        <v>3</v>
      </c>
      <c r="F28" s="121"/>
      <c r="G28" s="45"/>
      <c r="H28" s="45"/>
      <c r="I28" s="134" t="str">
        <f>IF(OR(E29 = 0, E29 = 2, E29 = 4), "RefType = "&amp;E29&amp;" 이므로 Ref Swap 금리정보 사용안함", "사용")</f>
        <v>RefType = 0 이므로 Ref Swap 금리정보 사용안함</v>
      </c>
      <c r="J28" s="134"/>
      <c r="K28" s="134"/>
      <c r="L28" s="135"/>
      <c r="N28" s="47"/>
      <c r="O28" s="47"/>
      <c r="P28" s="47"/>
      <c r="Q28" s="47"/>
      <c r="R28" s="47"/>
      <c r="S28" s="48"/>
      <c r="T28" s="48"/>
      <c r="U28" s="48"/>
      <c r="W28" s="50">
        <v>41231</v>
      </c>
      <c r="X28" s="50">
        <v>41231</v>
      </c>
      <c r="Y28" s="50">
        <v>41231</v>
      </c>
      <c r="AD28" s="124" t="str">
        <f>IF($AF$7&gt;=3,"기초금리3", "")</f>
        <v/>
      </c>
      <c r="AE28" s="120" t="str">
        <f>IF($AF$7&gt;=3,"커브번호", "")</f>
        <v/>
      </c>
      <c r="AF28" s="120"/>
      <c r="AG28" s="121">
        <v>3</v>
      </c>
      <c r="AH28" s="121"/>
      <c r="AI28" s="45"/>
      <c r="AJ28" s="45"/>
      <c r="AK28" s="118" t="str">
        <f>IF(OR(AG29 = 0, AG29 = 2, AG29 = 4), "RefType = "&amp;AG29&amp;" 이므로 Ref Swap 금리정보 사용안함", "사용")</f>
        <v>RefType = 0 이므로 Ref Swap 금리정보 사용안함</v>
      </c>
      <c r="AL28" s="118"/>
      <c r="AM28" s="118"/>
      <c r="AN28" s="119"/>
      <c r="AP28" s="47"/>
      <c r="AQ28" s="47"/>
      <c r="AR28" s="47"/>
      <c r="AS28" s="47"/>
      <c r="AT28" s="47"/>
      <c r="AU28" s="48"/>
      <c r="AV28" s="48"/>
      <c r="AW28" s="48"/>
      <c r="AY28" s="50">
        <v>41231</v>
      </c>
      <c r="AZ28" s="50">
        <v>41231</v>
      </c>
      <c r="BA28" s="50">
        <v>41231</v>
      </c>
    </row>
    <row r="29" spans="1:53" ht="16.2" customHeight="1" thickBot="1" x14ac:dyDescent="0.45">
      <c r="A29" s="42">
        <f t="shared" si="1"/>
        <v>29</v>
      </c>
      <c r="B29" s="149"/>
      <c r="C29" s="140" t="str">
        <f>IF($D$7&gt;=3,"Reference Rate Type", "")</f>
        <v/>
      </c>
      <c r="D29" s="141"/>
      <c r="E29" s="123">
        <v>0</v>
      </c>
      <c r="F29" s="123"/>
      <c r="G29" s="126" t="str">
        <f>IF(OR(E29 = 0, E29 = 2, E29 = 4), "", "Zero/Swap 레퍼런스금리정보")</f>
        <v/>
      </c>
      <c r="H29" s="126"/>
      <c r="I29" s="126" t="str">
        <f>IF(OR(E29 = 0, E29 = 2, E29 = 4), "", "연 지급횟수")</f>
        <v/>
      </c>
      <c r="J29" s="127"/>
      <c r="K29" s="111">
        <v>4</v>
      </c>
      <c r="L29" s="112"/>
      <c r="N29" s="47"/>
      <c r="O29" s="47"/>
      <c r="P29" s="51"/>
      <c r="Q29" s="51"/>
      <c r="R29" s="51"/>
      <c r="S29" s="51"/>
      <c r="T29" s="51"/>
      <c r="W29" s="50">
        <v>41237</v>
      </c>
      <c r="X29" s="50">
        <v>41237</v>
      </c>
      <c r="Y29" s="50">
        <v>41237</v>
      </c>
      <c r="AD29" s="125"/>
      <c r="AE29" s="107" t="str">
        <f>IF($AF$7&gt;=3,"Reference Rate Type", "")</f>
        <v/>
      </c>
      <c r="AF29" s="122"/>
      <c r="AG29" s="123">
        <v>0</v>
      </c>
      <c r="AH29" s="123"/>
      <c r="AI29" s="109" t="str">
        <f>IF(OR(AG29 = 0, AG29 = 2, AG29 = 4), "", "Zero/Swap 레퍼런스금리정보")</f>
        <v/>
      </c>
      <c r="AJ29" s="109"/>
      <c r="AK29" s="109" t="str">
        <f>IF(OR(AG29 = 0, AG29 = 2, AG29 = 4), "", "연 지급횟수")</f>
        <v/>
      </c>
      <c r="AL29" s="110"/>
      <c r="AM29" s="111">
        <v>4</v>
      </c>
      <c r="AN29" s="112"/>
      <c r="AP29" s="47"/>
      <c r="AQ29" s="47"/>
      <c r="AR29" s="47"/>
      <c r="AS29" s="47"/>
      <c r="AT29" s="47"/>
      <c r="AU29" s="48"/>
      <c r="AV29" s="48"/>
      <c r="AY29" s="50">
        <v>41237</v>
      </c>
      <c r="AZ29" s="50">
        <v>41237</v>
      </c>
      <c r="BA29" s="50">
        <v>41237</v>
      </c>
    </row>
    <row r="30" spans="1:53" ht="16.2" customHeight="1" x14ac:dyDescent="0.4">
      <c r="A30" s="42">
        <f t="shared" si="1"/>
        <v>30</v>
      </c>
      <c r="B30" s="149"/>
      <c r="C30" s="140" t="str">
        <f>IF($D$7&gt;=3,"DayCount", "")</f>
        <v/>
      </c>
      <c r="D30" s="140"/>
      <c r="E30" s="98">
        <v>0</v>
      </c>
      <c r="F30" s="98"/>
      <c r="G30" s="126"/>
      <c r="H30" s="126"/>
      <c r="I30" s="126" t="str">
        <f>IF(OR(E29 = 0, E29 = 2, E29 = 4,E32=1), "", "만기")</f>
        <v/>
      </c>
      <c r="J30" s="127"/>
      <c r="K30" s="128">
        <v>5</v>
      </c>
      <c r="L30" s="129"/>
      <c r="N30" s="47"/>
      <c r="O30" s="47"/>
      <c r="P30" s="51"/>
      <c r="Q30" s="51"/>
      <c r="R30" s="51"/>
      <c r="S30" s="51"/>
      <c r="T30" s="51"/>
      <c r="W30" s="50">
        <v>41238</v>
      </c>
      <c r="X30" s="50">
        <v>41238</v>
      </c>
      <c r="Y30" s="50">
        <v>41238</v>
      </c>
      <c r="AD30" s="125"/>
      <c r="AE30" s="107" t="str">
        <f>IF($AF$7&gt;=3,"DayCount", "")</f>
        <v/>
      </c>
      <c r="AF30" s="107"/>
      <c r="AG30" s="98">
        <v>0</v>
      </c>
      <c r="AH30" s="98"/>
      <c r="AI30" s="109"/>
      <c r="AJ30" s="109"/>
      <c r="AK30" s="126" t="str">
        <f>IF(OR(AG29 = 0, AG29 = 2, AG29 = 4,AG32=1), "", "만기")</f>
        <v/>
      </c>
      <c r="AL30" s="127"/>
      <c r="AM30" s="128">
        <v>5</v>
      </c>
      <c r="AN30" s="129"/>
      <c r="AP30" s="47"/>
      <c r="AQ30" s="47"/>
      <c r="AR30" s="47"/>
      <c r="AS30" s="47"/>
      <c r="AT30" s="47"/>
      <c r="AU30" s="48"/>
      <c r="AV30" s="48"/>
      <c r="AY30" s="50">
        <v>41238</v>
      </c>
      <c r="AZ30" s="50">
        <v>41238</v>
      </c>
      <c r="BA30" s="50">
        <v>41238</v>
      </c>
    </row>
    <row r="31" spans="1:53" ht="16.2" customHeight="1" x14ac:dyDescent="0.4">
      <c r="A31" s="42">
        <f t="shared" si="1"/>
        <v>31</v>
      </c>
      <c r="B31" s="149"/>
      <c r="C31" s="140" t="str">
        <f>IF($D$7&gt;=3,"금리결정조건Multiple", "")</f>
        <v/>
      </c>
      <c r="D31" s="141"/>
      <c r="E31" s="97">
        <v>1</v>
      </c>
      <c r="F31" s="97"/>
      <c r="G31" s="93" t="str">
        <f>IF(OR(E29 = 0, E29 = 2, E29 = 4), "", "ex) Zero Rate 5년 -&gt; 연 지급횟수= 0, 만기= 5 // CD91일 -&gt; 연 지급횟수= 4, 만기= 0.25")</f>
        <v/>
      </c>
      <c r="H31" s="93"/>
      <c r="I31" s="93"/>
      <c r="J31" s="93"/>
      <c r="K31" s="93"/>
      <c r="L31" s="94"/>
      <c r="N31" s="47"/>
      <c r="O31" s="47"/>
      <c r="P31" s="51"/>
      <c r="Q31" s="51"/>
      <c r="R31" s="51"/>
      <c r="S31" s="51"/>
      <c r="T31" s="51"/>
      <c r="W31" s="50">
        <v>41244</v>
      </c>
      <c r="X31" s="50">
        <v>41244</v>
      </c>
      <c r="Y31" s="50">
        <v>41244</v>
      </c>
      <c r="AD31" s="125"/>
      <c r="AE31" s="107" t="str">
        <f>IF($AF$7&gt;=3,"금리결정조건Multiple", "")</f>
        <v/>
      </c>
      <c r="AF31" s="122"/>
      <c r="AG31" s="97">
        <v>1</v>
      </c>
      <c r="AH31" s="97"/>
      <c r="AI31" s="93" t="str">
        <f>IF(OR(AG29 = 0, AG29 = 2, AG29 = 4), "", "ex) Zero Rate 5년 -&gt; 연 지급횟수= 0, 만기= 5 // CD91일 -&gt; 연 지급횟수= 4, 만기= 0.25")</f>
        <v/>
      </c>
      <c r="AJ31" s="93"/>
      <c r="AK31" s="93"/>
      <c r="AL31" s="93"/>
      <c r="AM31" s="93"/>
      <c r="AN31" s="94"/>
      <c r="AP31" s="47"/>
      <c r="AQ31" s="47"/>
      <c r="AR31" s="47"/>
      <c r="AS31" s="47"/>
      <c r="AT31" s="47"/>
      <c r="AU31" s="48"/>
      <c r="AV31" s="48"/>
      <c r="AY31" s="50">
        <v>41244</v>
      </c>
      <c r="AZ31" s="50">
        <v>41244</v>
      </c>
      <c r="BA31" s="50">
        <v>41244</v>
      </c>
    </row>
    <row r="32" spans="1:53" ht="16.2" customHeight="1" x14ac:dyDescent="0.4">
      <c r="A32" s="42">
        <f t="shared" si="1"/>
        <v>32</v>
      </c>
      <c r="B32" s="149"/>
      <c r="C32" s="139" t="str">
        <f>IF($D$7&gt;=3,"Power Spread Flag", "")</f>
        <v/>
      </c>
      <c r="D32" s="139"/>
      <c r="E32" s="98">
        <v>0</v>
      </c>
      <c r="F32" s="98"/>
      <c r="G32" s="146" t="str">
        <f>IF(E32&gt;0,"PowerSpreadFlag 1일때 입력","입력필요X")</f>
        <v>입력필요X</v>
      </c>
      <c r="H32" s="146"/>
      <c r="I32" s="146" t="str">
        <f>IF(E32&gt;0,"만기1","")</f>
        <v/>
      </c>
      <c r="J32" s="146"/>
      <c r="K32" s="100">
        <v>10</v>
      </c>
      <c r="L32" s="101"/>
      <c r="N32" s="47"/>
      <c r="O32" s="47"/>
      <c r="P32" s="51"/>
      <c r="Q32" s="51"/>
      <c r="R32" s="51"/>
      <c r="S32" s="51"/>
      <c r="T32" s="51"/>
      <c r="W32" s="50">
        <v>41245</v>
      </c>
      <c r="X32" s="50">
        <v>41245</v>
      </c>
      <c r="Y32" s="50">
        <v>41245</v>
      </c>
      <c r="AD32" s="125"/>
      <c r="AE32" s="106" t="str">
        <f>IF($AF$7&gt;=3,"Power Spread Flag", "")</f>
        <v/>
      </c>
      <c r="AF32" s="106"/>
      <c r="AG32" s="98">
        <v>0</v>
      </c>
      <c r="AH32" s="98"/>
      <c r="AI32" s="99" t="str">
        <f>IF(AG32&gt;0,"PowerSpreadFlag 1일때 입력","입력필요X")</f>
        <v>입력필요X</v>
      </c>
      <c r="AJ32" s="99"/>
      <c r="AK32" s="99" t="str">
        <f>IF(AG32&gt;0,"만기1","")</f>
        <v/>
      </c>
      <c r="AL32" s="99"/>
      <c r="AM32" s="100">
        <v>10</v>
      </c>
      <c r="AN32" s="101"/>
      <c r="AP32" s="47"/>
      <c r="AQ32" s="47"/>
      <c r="AR32" s="47"/>
      <c r="AS32" s="47"/>
      <c r="AT32" s="47"/>
      <c r="AU32" s="48"/>
      <c r="AV32" s="48"/>
      <c r="AY32" s="50">
        <v>41245</v>
      </c>
      <c r="AZ32" s="50">
        <v>41245</v>
      </c>
      <c r="BA32" s="50">
        <v>41245</v>
      </c>
    </row>
    <row r="33" spans="1:53" ht="16.2" customHeight="1" x14ac:dyDescent="0.4">
      <c r="A33" s="42">
        <f t="shared" si="1"/>
        <v>33</v>
      </c>
      <c r="B33" s="149" t="str">
        <f>IF($D$7&gt;2, "사용", "커브개수"&amp;"="&amp;$D$7&amp;"이므로 사용안함")</f>
        <v>커브개수=2이므로 사용안함</v>
      </c>
      <c r="C33" s="139" t="str">
        <f>IF($D$7&gt;=3,"Range상한", "")</f>
        <v/>
      </c>
      <c r="D33" s="139"/>
      <c r="E33" s="130">
        <v>0.5</v>
      </c>
      <c r="F33" s="130"/>
      <c r="G33" s="146"/>
      <c r="H33" s="146"/>
      <c r="I33" s="146" t="str">
        <f>IF(E32&gt;0,"만기2","")</f>
        <v/>
      </c>
      <c r="J33" s="146"/>
      <c r="K33" s="100">
        <v>5</v>
      </c>
      <c r="L33" s="101"/>
      <c r="N33" s="47"/>
      <c r="O33" s="47"/>
      <c r="P33" s="51"/>
      <c r="Q33" s="51"/>
      <c r="R33" s="51"/>
      <c r="S33" s="51"/>
      <c r="T33" s="51"/>
      <c r="W33" s="50">
        <v>41251</v>
      </c>
      <c r="X33" s="50">
        <v>41251</v>
      </c>
      <c r="Y33" s="50">
        <v>41251</v>
      </c>
      <c r="AD33" s="125" t="str">
        <f>IF($AF$7&gt;2, "사용", "커브개수"&amp;"="&amp;$AF$7&amp;"이므로 사용안함")</f>
        <v>커브개수=1이므로 사용안함</v>
      </c>
      <c r="AE33" s="106" t="str">
        <f>IF($AF$7&gt;=3,"Range상한", "")</f>
        <v/>
      </c>
      <c r="AF33" s="106"/>
      <c r="AG33" s="130">
        <v>0.5</v>
      </c>
      <c r="AH33" s="130"/>
      <c r="AI33" s="99"/>
      <c r="AJ33" s="99"/>
      <c r="AK33" s="99" t="str">
        <f>IF(AG32&gt;0,"만기2","")</f>
        <v/>
      </c>
      <c r="AL33" s="99"/>
      <c r="AM33" s="100">
        <v>5</v>
      </c>
      <c r="AN33" s="101"/>
      <c r="AP33" s="47"/>
      <c r="AQ33" s="47"/>
      <c r="AR33" s="47"/>
      <c r="AS33" s="47"/>
      <c r="AT33" s="47"/>
      <c r="AU33" s="48"/>
      <c r="AV33" s="48"/>
      <c r="AY33" s="50">
        <v>41251</v>
      </c>
      <c r="AZ33" s="50">
        <v>41251</v>
      </c>
      <c r="BA33" s="50">
        <v>41251</v>
      </c>
    </row>
    <row r="34" spans="1:53" ht="16.2" customHeight="1" x14ac:dyDescent="0.4">
      <c r="A34" s="42">
        <f t="shared" si="1"/>
        <v>34</v>
      </c>
      <c r="B34" s="149"/>
      <c r="C34" s="139" t="str">
        <f>IF($D$7&gt;=3,"Range하한", "")</f>
        <v/>
      </c>
      <c r="D34" s="140"/>
      <c r="E34" s="108">
        <v>-0.1</v>
      </c>
      <c r="F34" s="108"/>
      <c r="G34" s="150"/>
      <c r="H34" s="150"/>
      <c r="I34" s="147" t="str">
        <f>IF(E32&gt;0,"Spread1","")</f>
        <v/>
      </c>
      <c r="J34" s="147"/>
      <c r="K34" s="137" t="str">
        <f>IF(E32&gt;0, I32&amp;"-"&amp;I33, "")</f>
        <v/>
      </c>
      <c r="L34" s="138"/>
      <c r="N34" s="47"/>
      <c r="O34" s="47"/>
      <c r="P34" s="51"/>
      <c r="Q34" s="51"/>
      <c r="R34" s="51"/>
      <c r="S34" s="51"/>
      <c r="T34" s="51"/>
      <c r="W34" s="50">
        <v>41252</v>
      </c>
      <c r="X34" s="50">
        <v>41252</v>
      </c>
      <c r="Y34" s="50">
        <v>41252</v>
      </c>
      <c r="AD34" s="125"/>
      <c r="AE34" s="106" t="str">
        <f>IF($AF$7&gt;=3,"Range하한", "")</f>
        <v/>
      </c>
      <c r="AF34" s="107"/>
      <c r="AG34" s="108">
        <v>-0.1</v>
      </c>
      <c r="AH34" s="108"/>
      <c r="AI34" s="105"/>
      <c r="AJ34" s="105"/>
      <c r="AK34" s="102" t="str">
        <f>IF(AG32&gt;0,"Spread1","")</f>
        <v/>
      </c>
      <c r="AL34" s="102"/>
      <c r="AM34" s="103" t="str">
        <f>IF(AG32&gt;0, AK32&amp;"-"&amp;AK33, "")</f>
        <v/>
      </c>
      <c r="AN34" s="104"/>
      <c r="AP34" s="47"/>
      <c r="AQ34" s="47"/>
      <c r="AR34" s="47"/>
      <c r="AS34" s="47"/>
      <c r="AT34" s="47"/>
      <c r="AU34" s="48"/>
      <c r="AV34" s="48"/>
      <c r="AY34" s="50">
        <v>41252</v>
      </c>
      <c r="AZ34" s="50">
        <v>41252</v>
      </c>
      <c r="BA34" s="50">
        <v>41252</v>
      </c>
    </row>
    <row r="35" spans="1:53" ht="16.2" customHeight="1" x14ac:dyDescent="0.4">
      <c r="A35" s="42">
        <f t="shared" si="1"/>
        <v>35</v>
      </c>
      <c r="B35" s="41"/>
      <c r="C35" s="131" t="str">
        <f>IF($D$7&gt;=3,"Payoff조건Multiple", "")</f>
        <v/>
      </c>
      <c r="D35" s="131"/>
      <c r="E35" s="116">
        <v>0</v>
      </c>
      <c r="F35" s="116"/>
      <c r="G35" s="95" t="str">
        <f>IF(E32&gt;0,"예시) 10년-5년 스왑: 연 지급횟수=4, 만기1=10, 만기2=5 // 10년-5년 Zero: 연 지급횟수=0","")</f>
        <v/>
      </c>
      <c r="H35" s="95"/>
      <c r="I35" s="95"/>
      <c r="J35" s="95"/>
      <c r="K35" s="95"/>
      <c r="L35" s="96"/>
      <c r="N35" s="47"/>
      <c r="O35" s="47"/>
      <c r="P35" s="51"/>
      <c r="Q35" s="51"/>
      <c r="R35" s="51"/>
      <c r="S35" s="51"/>
      <c r="T35" s="51"/>
      <c r="W35" s="50">
        <v>41258</v>
      </c>
      <c r="X35" s="50">
        <v>41258</v>
      </c>
      <c r="Y35" s="50">
        <v>41258</v>
      </c>
      <c r="AD35" s="40"/>
      <c r="AE35" s="117" t="str">
        <f>IF($AF$7&gt;=3,"Payoff조건Multiple", "")</f>
        <v/>
      </c>
      <c r="AF35" s="117"/>
      <c r="AG35" s="116">
        <v>0</v>
      </c>
      <c r="AH35" s="116"/>
      <c r="AI35" s="95" t="str">
        <f>IF(AG32&gt;0,"예시) 10년-5년 스왑: 연 지급횟수=4, 만기1=10, 만기2=5 // 10년-5년 Zero: 연 지급횟수=0","")</f>
        <v/>
      </c>
      <c r="AJ35" s="95"/>
      <c r="AK35" s="95"/>
      <c r="AL35" s="95"/>
      <c r="AM35" s="95"/>
      <c r="AN35" s="96"/>
      <c r="AP35" s="47"/>
      <c r="AQ35" s="47"/>
      <c r="AR35" s="47"/>
      <c r="AS35" s="47"/>
      <c r="AT35" s="47"/>
      <c r="AU35" s="48"/>
      <c r="AV35" s="48"/>
      <c r="AY35" s="50">
        <v>41258</v>
      </c>
      <c r="AZ35" s="50">
        <v>41258</v>
      </c>
      <c r="BA35" s="50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/>
      <c r="O36" s="47"/>
      <c r="P36" s="51"/>
      <c r="Q36" s="51"/>
      <c r="R36" s="51"/>
      <c r="S36" s="51"/>
      <c r="T36" s="51"/>
      <c r="W36" s="50">
        <v>41259</v>
      </c>
      <c r="X36" s="50">
        <v>41259</v>
      </c>
      <c r="Y36" s="50">
        <v>41259</v>
      </c>
      <c r="AP36" s="47"/>
      <c r="AQ36" s="47"/>
      <c r="AR36" s="47"/>
      <c r="AS36" s="47"/>
      <c r="AT36" s="47"/>
      <c r="AU36" s="48"/>
      <c r="AV36" s="48"/>
      <c r="AY36" s="50">
        <v>41259</v>
      </c>
      <c r="AZ36" s="50">
        <v>41259</v>
      </c>
      <c r="BA36" s="50">
        <v>41259</v>
      </c>
    </row>
    <row r="37" spans="1:53" ht="16.2" customHeight="1" x14ac:dyDescent="0.4">
      <c r="A37" s="42">
        <f t="shared" si="1"/>
        <v>37</v>
      </c>
      <c r="B37" s="142" t="s">
        <v>47</v>
      </c>
      <c r="C37" s="120" t="s">
        <v>33</v>
      </c>
      <c r="D37" s="120"/>
      <c r="E37" s="166">
        <v>1</v>
      </c>
      <c r="F37" s="167"/>
      <c r="G37" s="43"/>
      <c r="H37" s="124" t="s">
        <v>50</v>
      </c>
      <c r="I37" s="142"/>
      <c r="J37" s="132">
        <v>0</v>
      </c>
      <c r="K37" s="132"/>
      <c r="L37" s="133"/>
      <c r="N37" s="47"/>
      <c r="O37" s="47"/>
      <c r="P37" s="51"/>
      <c r="Q37" s="51"/>
      <c r="R37" s="51"/>
      <c r="S37" s="51"/>
      <c r="T37" s="51"/>
      <c r="W37" s="50">
        <v>41262</v>
      </c>
      <c r="X37" s="50">
        <v>41262</v>
      </c>
      <c r="Y37" s="50">
        <v>41262</v>
      </c>
      <c r="AD37" s="142" t="s">
        <v>47</v>
      </c>
      <c r="AE37" s="120" t="s">
        <v>33</v>
      </c>
      <c r="AF37" s="120"/>
      <c r="AG37" s="166">
        <v>1</v>
      </c>
      <c r="AH37" s="167"/>
      <c r="AJ37" s="124" t="s">
        <v>50</v>
      </c>
      <c r="AK37" s="142"/>
      <c r="AL37" s="132">
        <v>0</v>
      </c>
      <c r="AM37" s="132"/>
      <c r="AN37" s="133"/>
      <c r="AP37" s="47"/>
      <c r="AQ37" s="47"/>
      <c r="AR37" s="47"/>
      <c r="AS37" s="47"/>
      <c r="AT37" s="47"/>
      <c r="AU37" s="48"/>
      <c r="AV37" s="48"/>
      <c r="AY37" s="50">
        <v>41262</v>
      </c>
      <c r="AZ37" s="50">
        <v>41262</v>
      </c>
      <c r="BA37" s="50">
        <v>41262</v>
      </c>
    </row>
    <row r="38" spans="1:53" ht="16.2" customHeight="1" x14ac:dyDescent="0.4">
      <c r="A38" s="42">
        <f t="shared" si="1"/>
        <v>38</v>
      </c>
      <c r="B38" s="164"/>
      <c r="C38" s="117"/>
      <c r="D38" s="117"/>
      <c r="E38" s="168"/>
      <c r="F38" s="169"/>
      <c r="G38" s="43"/>
      <c r="H38" s="143" t="s">
        <v>51</v>
      </c>
      <c r="I38" s="144"/>
      <c r="J38" s="144"/>
      <c r="K38" s="144"/>
      <c r="L38" s="145"/>
      <c r="N38" s="47"/>
      <c r="O38" s="47"/>
      <c r="P38" s="51"/>
      <c r="Q38" s="51"/>
      <c r="R38" s="51"/>
      <c r="S38" s="51"/>
      <c r="T38" s="51"/>
      <c r="W38" s="50">
        <v>41265</v>
      </c>
      <c r="X38" s="50">
        <v>41265</v>
      </c>
      <c r="Y38" s="50">
        <v>41265</v>
      </c>
      <c r="AD38" s="164"/>
      <c r="AE38" s="117"/>
      <c r="AF38" s="117"/>
      <c r="AG38" s="168"/>
      <c r="AH38" s="169"/>
      <c r="AJ38" s="143" t="s">
        <v>51</v>
      </c>
      <c r="AK38" s="144"/>
      <c r="AL38" s="144"/>
      <c r="AM38" s="144"/>
      <c r="AN38" s="145"/>
      <c r="AP38" s="47"/>
      <c r="AQ38" s="47"/>
      <c r="AR38" s="47"/>
      <c r="AS38" s="47"/>
      <c r="AT38" s="47"/>
      <c r="AU38" s="48"/>
      <c r="AV38" s="48"/>
      <c r="AY38" s="50">
        <v>41265</v>
      </c>
      <c r="AZ38" s="50">
        <v>41265</v>
      </c>
      <c r="BA38" s="50">
        <v>41265</v>
      </c>
    </row>
    <row r="39" spans="1:53" ht="16.2" customHeight="1" x14ac:dyDescent="0.4">
      <c r="A39" s="42">
        <f t="shared" si="1"/>
        <v>39</v>
      </c>
      <c r="B39" s="164"/>
      <c r="C39" s="165"/>
      <c r="D39" s="165"/>
      <c r="E39" s="165"/>
      <c r="F39" s="165"/>
      <c r="G39" s="43"/>
      <c r="H39" s="173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(0&lt;Ref1&lt;0.02) AND (-0.01&lt;Ref2&lt;0.03)</v>
      </c>
      <c r="I39" s="174"/>
      <c r="J39" s="174"/>
      <c r="K39" s="174"/>
      <c r="L39" s="175"/>
      <c r="N39" s="47"/>
      <c r="O39" s="47"/>
      <c r="P39" s="51"/>
      <c r="Q39" s="51"/>
      <c r="R39" s="51"/>
      <c r="S39" s="51"/>
      <c r="T39" s="51"/>
      <c r="W39" s="50">
        <v>41266</v>
      </c>
      <c r="X39" s="50">
        <v>41266</v>
      </c>
      <c r="Y39" s="50">
        <v>41266</v>
      </c>
      <c r="AD39" s="164"/>
      <c r="AE39" s="165"/>
      <c r="AF39" s="165"/>
      <c r="AG39" s="165"/>
      <c r="AH39" s="165"/>
      <c r="AJ39" s="170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(-0.1&lt;Ref1&lt;0.5)</v>
      </c>
      <c r="AK39" s="171"/>
      <c r="AL39" s="171"/>
      <c r="AM39" s="171"/>
      <c r="AN39" s="172"/>
      <c r="AP39" s="47"/>
      <c r="AQ39" s="47"/>
      <c r="AR39" s="47"/>
      <c r="AS39" s="47"/>
      <c r="AT39" s="47"/>
      <c r="AU39" s="48"/>
      <c r="AV39" s="48"/>
      <c r="AY39" s="50">
        <v>41266</v>
      </c>
      <c r="AZ39" s="50">
        <v>41266</v>
      </c>
      <c r="BA39" s="50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143" t="s">
        <v>52</v>
      </c>
      <c r="I40" s="144"/>
      <c r="J40" s="144"/>
      <c r="K40" s="144"/>
      <c r="L40" s="145"/>
      <c r="N40" s="47"/>
      <c r="O40" s="47"/>
      <c r="P40" s="51"/>
      <c r="Q40" s="51"/>
      <c r="R40" s="51"/>
      <c r="S40" s="51"/>
      <c r="T40" s="51"/>
      <c r="W40" s="50">
        <v>41268</v>
      </c>
      <c r="X40" s="50">
        <v>41268</v>
      </c>
      <c r="Y40" s="50">
        <v>41268</v>
      </c>
      <c r="AJ40" s="143" t="s">
        <v>52</v>
      </c>
      <c r="AK40" s="144"/>
      <c r="AL40" s="144"/>
      <c r="AM40" s="144"/>
      <c r="AN40" s="145"/>
      <c r="AP40" s="47"/>
      <c r="AQ40" s="47"/>
      <c r="AR40" s="47"/>
      <c r="AS40" s="47"/>
      <c r="AT40" s="47"/>
      <c r="AU40" s="48"/>
      <c r="AV40" s="48"/>
      <c r="AY40" s="50">
        <v>41268</v>
      </c>
      <c r="AZ40" s="50">
        <v>41268</v>
      </c>
      <c r="BA40" s="50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/>
      <c r="O41" s="47"/>
      <c r="P41" s="51"/>
      <c r="Q41" s="51"/>
      <c r="R41" s="51"/>
      <c r="S41" s="51"/>
      <c r="T41" s="51"/>
      <c r="W41" s="50">
        <v>41272</v>
      </c>
      <c r="X41" s="50">
        <v>41272</v>
      </c>
      <c r="Y41" s="50">
        <v>41272</v>
      </c>
      <c r="AP41" s="47"/>
      <c r="AQ41" s="47"/>
      <c r="AR41" s="47"/>
      <c r="AS41" s="47"/>
      <c r="AT41" s="47"/>
      <c r="AU41" s="48"/>
      <c r="AV41" s="48"/>
      <c r="AY41" s="50">
        <v>41272</v>
      </c>
      <c r="AZ41" s="50">
        <v>41272</v>
      </c>
      <c r="BA41" s="50">
        <v>41272</v>
      </c>
    </row>
    <row r="42" spans="1:53" ht="16.2" customHeight="1" x14ac:dyDescent="0.4">
      <c r="A42" s="42">
        <f t="shared" si="1"/>
        <v>42</v>
      </c>
      <c r="B42" s="92" t="s">
        <v>95</v>
      </c>
      <c r="C42" s="92"/>
      <c r="D42" s="92"/>
      <c r="E42" s="92"/>
      <c r="F42" s="92"/>
      <c r="G42" s="92"/>
      <c r="H42" s="92"/>
      <c r="I42" s="92"/>
      <c r="J42" s="92"/>
      <c r="K42" s="92"/>
      <c r="L42" s="92"/>
      <c r="N42" s="47"/>
      <c r="O42" s="47"/>
      <c r="P42" s="51"/>
      <c r="Q42" s="51"/>
      <c r="R42" s="51"/>
      <c r="S42" s="51"/>
      <c r="T42" s="51"/>
      <c r="W42" s="50">
        <v>41273</v>
      </c>
      <c r="X42" s="50">
        <v>41273</v>
      </c>
      <c r="Y42" s="50">
        <v>41273</v>
      </c>
      <c r="AP42" s="47"/>
      <c r="AQ42" s="47"/>
      <c r="AR42" s="47"/>
      <c r="AS42" s="47"/>
      <c r="AT42" s="47"/>
      <c r="AU42" s="48"/>
      <c r="AV42" s="48"/>
      <c r="AY42" s="50">
        <v>41273</v>
      </c>
      <c r="AZ42" s="50">
        <v>41273</v>
      </c>
      <c r="BA42" s="50">
        <v>41273</v>
      </c>
    </row>
    <row r="43" spans="1:53" ht="16.2" customHeight="1" x14ac:dyDescent="0.4">
      <c r="A43" s="42">
        <f t="shared" si="1"/>
        <v>43</v>
      </c>
      <c r="B43" s="70" t="s">
        <v>84</v>
      </c>
      <c r="C43" s="70" t="s">
        <v>96</v>
      </c>
      <c r="D43" s="70" t="s">
        <v>85</v>
      </c>
      <c r="E43" s="70" t="s">
        <v>86</v>
      </c>
      <c r="F43" s="70" t="s">
        <v>87</v>
      </c>
      <c r="G43" s="70" t="s">
        <v>88</v>
      </c>
      <c r="H43" s="70" t="s">
        <v>89</v>
      </c>
      <c r="I43" s="70" t="s">
        <v>93</v>
      </c>
      <c r="J43" s="70" t="s">
        <v>90</v>
      </c>
      <c r="K43" s="70" t="s">
        <v>91</v>
      </c>
      <c r="L43" s="70" t="s">
        <v>92</v>
      </c>
      <c r="N43" s="47"/>
      <c r="O43" s="47"/>
      <c r="P43" s="51"/>
      <c r="Q43" s="51"/>
      <c r="R43" s="51"/>
      <c r="S43" s="51"/>
      <c r="T43" s="51"/>
      <c r="W43" s="50">
        <v>41275</v>
      </c>
      <c r="X43" s="50">
        <v>41275</v>
      </c>
      <c r="Y43" s="50">
        <v>41275</v>
      </c>
      <c r="AP43" s="47"/>
      <c r="AQ43" s="47"/>
      <c r="AR43" s="47"/>
      <c r="AS43" s="47"/>
      <c r="AT43" s="47"/>
      <c r="AU43" s="48"/>
      <c r="AV43" s="48"/>
      <c r="AY43" s="50">
        <v>41275</v>
      </c>
      <c r="AZ43" s="50">
        <v>41275</v>
      </c>
      <c r="BA43" s="50">
        <v>41275</v>
      </c>
    </row>
    <row r="44" spans="1:53" ht="16.2" customHeight="1" x14ac:dyDescent="0.4">
      <c r="A44" s="42">
        <f t="shared" si="1"/>
        <v>44</v>
      </c>
      <c r="B44" s="47">
        <f>N13+20</f>
        <v>44529</v>
      </c>
      <c r="C44" s="71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72">
        <v>0</v>
      </c>
      <c r="K44" s="51">
        <v>0</v>
      </c>
      <c r="L44" s="51">
        <v>2</v>
      </c>
      <c r="N44" s="47"/>
      <c r="O44" s="47"/>
      <c r="P44" s="51"/>
      <c r="Q44" s="51"/>
      <c r="R44" s="51"/>
      <c r="S44" s="51"/>
      <c r="T44" s="51"/>
      <c r="W44" s="50">
        <v>41279</v>
      </c>
      <c r="X44" s="50">
        <v>41279</v>
      </c>
      <c r="Y44" s="50">
        <v>41279</v>
      </c>
      <c r="AD44" s="73"/>
      <c r="AE44" s="73"/>
      <c r="AF44" s="73"/>
      <c r="AG44" s="73"/>
      <c r="AH44" s="73"/>
      <c r="AI44" s="73"/>
      <c r="AJ44" s="73"/>
      <c r="AK44" s="73"/>
      <c r="AL44" s="73"/>
      <c r="AN44" s="43">
        <f>COUNT(AD44:AD1048576)</f>
        <v>0</v>
      </c>
      <c r="AP44" s="47"/>
      <c r="AQ44" s="47"/>
      <c r="AR44" s="47"/>
      <c r="AS44" s="47"/>
      <c r="AT44" s="47"/>
      <c r="AU44" s="48"/>
      <c r="AV44" s="48"/>
      <c r="AY44" s="50">
        <v>41279</v>
      </c>
      <c r="AZ44" s="50">
        <v>41279</v>
      </c>
      <c r="BA44" s="50">
        <v>41279</v>
      </c>
    </row>
    <row r="45" spans="1:53" ht="16.2" customHeight="1" x14ac:dyDescent="0.4">
      <c r="A45" s="42">
        <f t="shared" si="1"/>
        <v>45</v>
      </c>
      <c r="B45" s="47">
        <v>44796</v>
      </c>
      <c r="C45" s="71">
        <v>1</v>
      </c>
      <c r="D45" s="75">
        <v>1</v>
      </c>
      <c r="E45" s="75">
        <v>-0.1</v>
      </c>
      <c r="F45" s="75">
        <v>1</v>
      </c>
      <c r="G45" s="75">
        <v>-0.1</v>
      </c>
      <c r="H45" s="75">
        <v>1</v>
      </c>
      <c r="I45" s="75">
        <v>-0.1</v>
      </c>
      <c r="N45" s="47"/>
      <c r="O45" s="47"/>
      <c r="P45" s="51"/>
      <c r="Q45" s="51"/>
      <c r="R45" s="51"/>
      <c r="S45" s="51"/>
      <c r="T45" s="51"/>
      <c r="W45" s="50">
        <v>41280</v>
      </c>
      <c r="X45" s="50">
        <v>41280</v>
      </c>
      <c r="Y45" s="50">
        <v>41280</v>
      </c>
      <c r="AP45" s="47"/>
      <c r="AQ45" s="47"/>
      <c r="AR45" s="47"/>
      <c r="AS45" s="47"/>
      <c r="AT45" s="47"/>
      <c r="AU45" s="48"/>
      <c r="AV45" s="48"/>
      <c r="AY45" s="50">
        <v>41280</v>
      </c>
      <c r="AZ45" s="50">
        <v>41280</v>
      </c>
      <c r="BA45" s="50">
        <v>41280</v>
      </c>
    </row>
    <row r="46" spans="1:53" ht="16.2" customHeight="1" x14ac:dyDescent="0.4">
      <c r="A46" s="42">
        <f t="shared" si="1"/>
        <v>46</v>
      </c>
      <c r="W46" s="50">
        <v>41286</v>
      </c>
      <c r="X46" s="50">
        <v>41286</v>
      </c>
      <c r="Y46" s="50">
        <v>41286</v>
      </c>
      <c r="AY46" s="50">
        <v>41286</v>
      </c>
      <c r="AZ46" s="50">
        <v>41286</v>
      </c>
      <c r="BA46" s="50">
        <v>41286</v>
      </c>
    </row>
    <row r="47" spans="1:53" ht="16.2" customHeight="1" x14ac:dyDescent="0.4">
      <c r="A47" s="42">
        <f t="shared" si="1"/>
        <v>47</v>
      </c>
      <c r="W47" s="50">
        <v>41287</v>
      </c>
      <c r="X47" s="50">
        <v>41287</v>
      </c>
      <c r="Y47" s="50">
        <v>41287</v>
      </c>
      <c r="AY47" s="50">
        <v>41287</v>
      </c>
      <c r="AZ47" s="50">
        <v>41287</v>
      </c>
      <c r="BA47" s="50">
        <v>41287</v>
      </c>
    </row>
    <row r="48" spans="1:53" ht="16.2" customHeight="1" x14ac:dyDescent="0.4">
      <c r="A48" s="42">
        <f t="shared" si="1"/>
        <v>48</v>
      </c>
      <c r="W48" s="50">
        <v>41293</v>
      </c>
      <c r="X48" s="50">
        <v>41293</v>
      </c>
      <c r="Y48" s="50">
        <v>41293</v>
      </c>
      <c r="AY48" s="50">
        <v>41293</v>
      </c>
      <c r="AZ48" s="50">
        <v>41293</v>
      </c>
      <c r="BA48" s="50">
        <v>41293</v>
      </c>
    </row>
    <row r="49" spans="1:53" ht="16.2" customHeight="1" x14ac:dyDescent="0.4">
      <c r="A49" s="42">
        <f t="shared" si="1"/>
        <v>49</v>
      </c>
      <c r="W49" s="50">
        <v>41294</v>
      </c>
      <c r="X49" s="50">
        <v>41294</v>
      </c>
      <c r="Y49" s="50">
        <v>41294</v>
      </c>
      <c r="AY49" s="50">
        <v>41294</v>
      </c>
      <c r="AZ49" s="50">
        <v>41294</v>
      </c>
      <c r="BA49" s="50">
        <v>41294</v>
      </c>
    </row>
    <row r="50" spans="1:53" ht="16.2" customHeight="1" x14ac:dyDescent="0.4">
      <c r="A50" s="42">
        <f t="shared" si="1"/>
        <v>50</v>
      </c>
      <c r="W50" s="50">
        <v>41300</v>
      </c>
      <c r="X50" s="50">
        <v>41300</v>
      </c>
      <c r="Y50" s="50">
        <v>41300</v>
      </c>
      <c r="AY50" s="50">
        <v>41300</v>
      </c>
      <c r="AZ50" s="50">
        <v>41300</v>
      </c>
      <c r="BA50" s="50">
        <v>41300</v>
      </c>
    </row>
    <row r="51" spans="1:53" ht="16.2" customHeight="1" x14ac:dyDescent="0.4">
      <c r="A51" s="42">
        <f t="shared" si="1"/>
        <v>51</v>
      </c>
      <c r="W51" s="50">
        <v>41301</v>
      </c>
      <c r="X51" s="50">
        <v>41301</v>
      </c>
      <c r="Y51" s="50">
        <v>41301</v>
      </c>
      <c r="AY51" s="50">
        <v>41301</v>
      </c>
      <c r="AZ51" s="50">
        <v>41301</v>
      </c>
      <c r="BA51" s="50">
        <v>41301</v>
      </c>
    </row>
    <row r="52" spans="1:53" ht="16.2" customHeight="1" x14ac:dyDescent="0.4">
      <c r="A52" s="42">
        <f t="shared" si="1"/>
        <v>52</v>
      </c>
      <c r="W52" s="50">
        <v>41307</v>
      </c>
      <c r="X52" s="50">
        <v>41307</v>
      </c>
      <c r="Y52" s="50">
        <v>41307</v>
      </c>
      <c r="AY52" s="50">
        <v>41307</v>
      </c>
      <c r="AZ52" s="50">
        <v>41307</v>
      </c>
      <c r="BA52" s="50">
        <v>41307</v>
      </c>
    </row>
    <row r="53" spans="1:53" ht="16.2" customHeight="1" x14ac:dyDescent="0.4">
      <c r="A53" s="42">
        <f t="shared" si="1"/>
        <v>53</v>
      </c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2" customHeight="1" x14ac:dyDescent="0.4">
      <c r="A54" s="42">
        <f t="shared" si="1"/>
        <v>54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2" customHeight="1" x14ac:dyDescent="0.4">
      <c r="A55" s="42">
        <f t="shared" si="1"/>
        <v>55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2" customHeight="1" x14ac:dyDescent="0.4">
      <c r="A56" s="42">
        <f t="shared" si="1"/>
        <v>56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2" customHeight="1" x14ac:dyDescent="0.4">
      <c r="A57" s="42">
        <f t="shared" si="1"/>
        <v>57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2" customHeight="1" x14ac:dyDescent="0.4">
      <c r="A58" s="42">
        <f t="shared" si="1"/>
        <v>58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2" customHeight="1" x14ac:dyDescent="0.4">
      <c r="A59" s="42">
        <f t="shared" si="1"/>
        <v>59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2" customHeight="1" x14ac:dyDescent="0.4">
      <c r="A60" s="42">
        <f t="shared" si="1"/>
        <v>60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2" customHeight="1" x14ac:dyDescent="0.4">
      <c r="A61" s="42">
        <f t="shared" si="1"/>
        <v>61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2" customHeight="1" x14ac:dyDescent="0.4"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2" customHeight="1" x14ac:dyDescent="0.4"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2" customHeight="1" x14ac:dyDescent="0.4"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3:53" ht="16.2" customHeight="1" x14ac:dyDescent="0.4"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3:53" ht="16.2" customHeight="1" x14ac:dyDescent="0.4"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3:53" ht="16.2" customHeight="1" x14ac:dyDescent="0.4"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3:53" ht="16.2" customHeight="1" x14ac:dyDescent="0.4"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3:53" ht="16.2" customHeight="1" x14ac:dyDescent="0.4"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3:53" ht="16.2" customHeight="1" x14ac:dyDescent="0.4"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3:53" ht="16.2" customHeight="1" x14ac:dyDescent="0.4"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3:53" ht="16.2" customHeight="1" x14ac:dyDescent="0.4"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3:53" ht="16.2" customHeight="1" x14ac:dyDescent="0.4"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3:53" ht="16.2" customHeight="1" x14ac:dyDescent="0.4"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3:53" ht="16.2" customHeight="1" x14ac:dyDescent="0.4"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3:53" ht="16.2" customHeight="1" x14ac:dyDescent="0.4"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3:53" ht="16.2" customHeight="1" x14ac:dyDescent="0.4"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3:53" ht="16.2" customHeight="1" x14ac:dyDescent="0.4"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3:53" ht="16.2" customHeight="1" x14ac:dyDescent="0.4"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3:53" ht="16.2" customHeight="1" x14ac:dyDescent="0.4"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3:53" ht="16.2" customHeight="1" x14ac:dyDescent="0.4"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3:53" ht="16.2" customHeight="1" x14ac:dyDescent="0.4"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3:53" ht="16.2" customHeight="1" x14ac:dyDescent="0.4"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3:53" ht="16.2" customHeight="1" x14ac:dyDescent="0.4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3:53" ht="16.2" customHeight="1" x14ac:dyDescent="0.4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3:53" ht="16.2" customHeight="1" x14ac:dyDescent="0.4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3:53" ht="16.2" customHeight="1" x14ac:dyDescent="0.4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3:53" ht="16.2" customHeight="1" x14ac:dyDescent="0.4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3:53" ht="16.2" customHeight="1" x14ac:dyDescent="0.4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3:53" ht="16.2" customHeight="1" x14ac:dyDescent="0.4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3:53" ht="16.2" customHeight="1" x14ac:dyDescent="0.4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3:53" ht="16.2" customHeight="1" x14ac:dyDescent="0.4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3:53" ht="16.2" customHeight="1" x14ac:dyDescent="0.4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3:53" ht="16.2" customHeight="1" x14ac:dyDescent="0.4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3:53" ht="16.2" customHeight="1" x14ac:dyDescent="0.4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3:53" ht="16.2" customHeight="1" x14ac:dyDescent="0.4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2" customHeight="1" x14ac:dyDescent="0.4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2" customHeight="1" x14ac:dyDescent="0.4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2" customHeight="1" x14ac:dyDescent="0.4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2" customHeight="1" x14ac:dyDescent="0.4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2" customHeight="1" x14ac:dyDescent="0.4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2" customHeight="1" x14ac:dyDescent="0.4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2" customHeight="1" x14ac:dyDescent="0.4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2" customHeight="1" x14ac:dyDescent="0.4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2" customHeight="1" x14ac:dyDescent="0.4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2" customHeight="1" x14ac:dyDescent="0.4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2" customHeight="1" x14ac:dyDescent="0.4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2" customHeight="1" x14ac:dyDescent="0.4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2" customHeight="1" x14ac:dyDescent="0.4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2" customHeight="1" x14ac:dyDescent="0.4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2" customHeight="1" x14ac:dyDescent="0.4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2" customHeight="1" x14ac:dyDescent="0.4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2" customHeight="1" x14ac:dyDescent="0.4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2" customHeight="1" x14ac:dyDescent="0.4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2" customHeight="1" x14ac:dyDescent="0.4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2" customHeight="1" x14ac:dyDescent="0.4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2" customHeight="1" x14ac:dyDescent="0.4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2" customHeight="1" x14ac:dyDescent="0.4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2" customHeight="1" x14ac:dyDescent="0.4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2" customHeight="1" x14ac:dyDescent="0.4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2" customHeight="1" x14ac:dyDescent="0.4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2" customHeight="1" x14ac:dyDescent="0.4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2" customHeight="1" x14ac:dyDescent="0.4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2" customHeight="1" x14ac:dyDescent="0.4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2" customHeight="1" x14ac:dyDescent="0.4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2" customHeight="1" x14ac:dyDescent="0.4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2" customHeight="1" x14ac:dyDescent="0.4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2" customHeight="1" x14ac:dyDescent="0.4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2" customHeight="1" x14ac:dyDescent="0.4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2" customHeight="1" x14ac:dyDescent="0.4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2" customHeight="1" x14ac:dyDescent="0.4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2" customHeight="1" x14ac:dyDescent="0.4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2" customHeight="1" x14ac:dyDescent="0.4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2" customHeight="1" x14ac:dyDescent="0.4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2" customHeight="1" x14ac:dyDescent="0.4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2" customHeight="1" x14ac:dyDescent="0.4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2" customHeight="1" x14ac:dyDescent="0.4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2" customHeight="1" x14ac:dyDescent="0.4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2" customHeight="1" x14ac:dyDescent="0.4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2" customHeight="1" x14ac:dyDescent="0.4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2" customHeight="1" x14ac:dyDescent="0.4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2" customHeight="1" x14ac:dyDescent="0.4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2" customHeight="1" x14ac:dyDescent="0.4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2" customHeight="1" x14ac:dyDescent="0.4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2" customHeight="1" x14ac:dyDescent="0.4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2" customHeight="1" x14ac:dyDescent="0.4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2" customHeight="1" x14ac:dyDescent="0.4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2" customHeight="1" x14ac:dyDescent="0.4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2" customHeight="1" x14ac:dyDescent="0.4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2" customHeight="1" x14ac:dyDescent="0.4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2" customHeight="1" x14ac:dyDescent="0.4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2" customHeight="1" x14ac:dyDescent="0.4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2" customHeight="1" x14ac:dyDescent="0.4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2" customHeight="1" x14ac:dyDescent="0.4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2" customHeight="1" x14ac:dyDescent="0.4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2" customHeight="1" x14ac:dyDescent="0.4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2" customHeight="1" x14ac:dyDescent="0.4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2" customHeight="1" x14ac:dyDescent="0.4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2" customHeight="1" x14ac:dyDescent="0.4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2" customHeight="1" x14ac:dyDescent="0.4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2" customHeight="1" x14ac:dyDescent="0.4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2" customHeight="1" x14ac:dyDescent="0.4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2" customHeight="1" x14ac:dyDescent="0.4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2" customHeight="1" x14ac:dyDescent="0.4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2" customHeight="1" x14ac:dyDescent="0.4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2" customHeight="1" x14ac:dyDescent="0.4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2" customHeight="1" x14ac:dyDescent="0.4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2" customHeight="1" x14ac:dyDescent="0.4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2" customHeight="1" x14ac:dyDescent="0.4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2" customHeight="1" x14ac:dyDescent="0.4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2" customHeight="1" x14ac:dyDescent="0.4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2" customHeight="1" x14ac:dyDescent="0.4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2" customHeight="1" x14ac:dyDescent="0.4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2" customHeight="1" x14ac:dyDescent="0.4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2" customHeight="1" x14ac:dyDescent="0.4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2" customHeight="1" x14ac:dyDescent="0.4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2" customHeight="1" x14ac:dyDescent="0.4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2" customHeight="1" x14ac:dyDescent="0.4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2" customHeight="1" x14ac:dyDescent="0.4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2" customHeight="1" x14ac:dyDescent="0.4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2" customHeight="1" x14ac:dyDescent="0.4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2" customHeight="1" x14ac:dyDescent="0.4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2" customHeight="1" x14ac:dyDescent="0.4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2" customHeight="1" x14ac:dyDescent="0.4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2" customHeight="1" x14ac:dyDescent="0.4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2" customHeight="1" x14ac:dyDescent="0.4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2" customHeight="1" x14ac:dyDescent="0.4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2" customHeight="1" x14ac:dyDescent="0.4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2" customHeight="1" x14ac:dyDescent="0.4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2" customHeight="1" x14ac:dyDescent="0.4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2" customHeight="1" x14ac:dyDescent="0.4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2" customHeight="1" x14ac:dyDescent="0.4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2" customHeight="1" x14ac:dyDescent="0.4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2" customHeight="1" x14ac:dyDescent="0.4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2" customHeight="1" x14ac:dyDescent="0.4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2" customHeight="1" x14ac:dyDescent="0.4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2" customHeight="1" x14ac:dyDescent="0.4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2" customHeight="1" x14ac:dyDescent="0.4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2" customHeight="1" x14ac:dyDescent="0.4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2" customHeight="1" x14ac:dyDescent="0.4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2" customHeight="1" x14ac:dyDescent="0.4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2" customHeight="1" x14ac:dyDescent="0.4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2" customHeight="1" x14ac:dyDescent="0.4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2" customHeight="1" x14ac:dyDescent="0.4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2" customHeight="1" x14ac:dyDescent="0.4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2" customHeight="1" x14ac:dyDescent="0.4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2" customHeight="1" x14ac:dyDescent="0.4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2" customHeight="1" x14ac:dyDescent="0.4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2" customHeight="1" x14ac:dyDescent="0.4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2" customHeight="1" x14ac:dyDescent="0.4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2" customHeight="1" x14ac:dyDescent="0.4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2" customHeight="1" x14ac:dyDescent="0.4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2" customHeight="1" x14ac:dyDescent="0.4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2" customHeight="1" x14ac:dyDescent="0.4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2" customHeight="1" x14ac:dyDescent="0.4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2" customHeight="1" x14ac:dyDescent="0.4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2" customHeight="1" x14ac:dyDescent="0.4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2" customHeight="1" x14ac:dyDescent="0.4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2" customHeight="1" x14ac:dyDescent="0.4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2" customHeight="1" x14ac:dyDescent="0.4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2" customHeight="1" x14ac:dyDescent="0.4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2" customHeight="1" x14ac:dyDescent="0.4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2" customHeight="1" x14ac:dyDescent="0.4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2" customHeight="1" x14ac:dyDescent="0.4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2" customHeight="1" x14ac:dyDescent="0.4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2" customHeight="1" x14ac:dyDescent="0.4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2" customHeight="1" x14ac:dyDescent="0.4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2" customHeight="1" x14ac:dyDescent="0.4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2" customHeight="1" x14ac:dyDescent="0.4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2" customHeight="1" x14ac:dyDescent="0.4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2" customHeight="1" x14ac:dyDescent="0.4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2" customHeight="1" x14ac:dyDescent="0.4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2" customHeight="1" x14ac:dyDescent="0.4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2" customHeight="1" x14ac:dyDescent="0.4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2" customHeight="1" x14ac:dyDescent="0.4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2" customHeight="1" x14ac:dyDescent="0.4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2" customHeight="1" x14ac:dyDescent="0.4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2" customHeight="1" x14ac:dyDescent="0.4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2" customHeight="1" x14ac:dyDescent="0.4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2" customHeight="1" x14ac:dyDescent="0.4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2" customHeight="1" x14ac:dyDescent="0.4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2" customHeight="1" x14ac:dyDescent="0.4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2" customHeight="1" x14ac:dyDescent="0.4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2" customHeight="1" x14ac:dyDescent="0.4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2" customHeight="1" x14ac:dyDescent="0.4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2" customHeight="1" x14ac:dyDescent="0.4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2" customHeight="1" x14ac:dyDescent="0.4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2" customHeight="1" x14ac:dyDescent="0.4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2" customHeight="1" x14ac:dyDescent="0.4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2" customHeight="1" x14ac:dyDescent="0.4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2" customHeight="1" x14ac:dyDescent="0.4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2" customHeight="1" x14ac:dyDescent="0.4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2" customHeight="1" x14ac:dyDescent="0.4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2" customHeight="1" x14ac:dyDescent="0.4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2" customHeight="1" x14ac:dyDescent="0.4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2" customHeight="1" x14ac:dyDescent="0.4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2" customHeight="1" x14ac:dyDescent="0.4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2" customHeight="1" x14ac:dyDescent="0.4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2" customHeight="1" x14ac:dyDescent="0.4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2" customHeight="1" x14ac:dyDescent="0.4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2" customHeight="1" x14ac:dyDescent="0.4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2" customHeight="1" x14ac:dyDescent="0.4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2" customHeight="1" x14ac:dyDescent="0.4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2" customHeight="1" x14ac:dyDescent="0.4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2" customHeight="1" x14ac:dyDescent="0.4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2" customHeight="1" x14ac:dyDescent="0.4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2" customHeight="1" x14ac:dyDescent="0.4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2" customHeight="1" x14ac:dyDescent="0.4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2" customHeight="1" x14ac:dyDescent="0.4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2" customHeight="1" x14ac:dyDescent="0.4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2" customHeight="1" x14ac:dyDescent="0.4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2" customHeight="1" x14ac:dyDescent="0.4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2" customHeight="1" x14ac:dyDescent="0.4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2" customHeight="1" x14ac:dyDescent="0.4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2" customHeight="1" x14ac:dyDescent="0.4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2" customHeight="1" x14ac:dyDescent="0.4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2" customHeight="1" x14ac:dyDescent="0.4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2" customHeight="1" x14ac:dyDescent="0.4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2" customHeight="1" x14ac:dyDescent="0.4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2" customHeight="1" x14ac:dyDescent="0.4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2" customHeight="1" x14ac:dyDescent="0.4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2" customHeight="1" x14ac:dyDescent="0.4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2" customHeight="1" x14ac:dyDescent="0.4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2" customHeight="1" x14ac:dyDescent="0.4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2" customHeight="1" x14ac:dyDescent="0.4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2" customHeight="1" x14ac:dyDescent="0.4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2" customHeight="1" x14ac:dyDescent="0.4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2" customHeight="1" x14ac:dyDescent="0.4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2" customHeight="1" x14ac:dyDescent="0.4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2" customHeight="1" x14ac:dyDescent="0.4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2" customHeight="1" x14ac:dyDescent="0.4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2" customHeight="1" x14ac:dyDescent="0.4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2" customHeight="1" x14ac:dyDescent="0.4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2" customHeight="1" x14ac:dyDescent="0.4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2" customHeight="1" x14ac:dyDescent="0.4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2" customHeight="1" x14ac:dyDescent="0.4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2" customHeight="1" x14ac:dyDescent="0.4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2" customHeight="1" x14ac:dyDescent="0.4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2" customHeight="1" x14ac:dyDescent="0.4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2" customHeight="1" x14ac:dyDescent="0.4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2" customHeight="1" x14ac:dyDescent="0.4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2" customHeight="1" x14ac:dyDescent="0.4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2" customHeight="1" x14ac:dyDescent="0.4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2" customHeight="1" x14ac:dyDescent="0.4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2" customHeight="1" x14ac:dyDescent="0.4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2" customHeight="1" x14ac:dyDescent="0.4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2" customHeight="1" x14ac:dyDescent="0.4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2" customHeight="1" x14ac:dyDescent="0.4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2" customHeight="1" x14ac:dyDescent="0.4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2" customHeight="1" x14ac:dyDescent="0.4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2" customHeight="1" x14ac:dyDescent="0.4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2" customHeight="1" x14ac:dyDescent="0.4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2" customHeight="1" x14ac:dyDescent="0.4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2" customHeight="1" x14ac:dyDescent="0.4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2" customHeight="1" x14ac:dyDescent="0.4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2" customHeight="1" x14ac:dyDescent="0.4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2" customHeight="1" x14ac:dyDescent="0.4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2" customHeight="1" x14ac:dyDescent="0.4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2" customHeight="1" x14ac:dyDescent="0.4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2" customHeight="1" x14ac:dyDescent="0.4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2" customHeight="1" x14ac:dyDescent="0.4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2" customHeight="1" x14ac:dyDescent="0.4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2" customHeight="1" x14ac:dyDescent="0.4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2" customHeight="1" x14ac:dyDescent="0.4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2" customHeight="1" x14ac:dyDescent="0.4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2" customHeight="1" x14ac:dyDescent="0.4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2" customHeight="1" x14ac:dyDescent="0.4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2" customHeight="1" x14ac:dyDescent="0.4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2" customHeight="1" x14ac:dyDescent="0.4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2" customHeight="1" x14ac:dyDescent="0.4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2" customHeight="1" x14ac:dyDescent="0.4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2" customHeight="1" x14ac:dyDescent="0.4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2" customHeight="1" x14ac:dyDescent="0.4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2" customHeight="1" x14ac:dyDescent="0.4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2" customHeight="1" x14ac:dyDescent="0.4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2" customHeight="1" x14ac:dyDescent="0.4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2" customHeight="1" x14ac:dyDescent="0.4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2" customHeight="1" x14ac:dyDescent="0.4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2" customHeight="1" x14ac:dyDescent="0.4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2" customHeight="1" x14ac:dyDescent="0.4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2" customHeight="1" x14ac:dyDescent="0.4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2" customHeight="1" x14ac:dyDescent="0.4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2" customHeight="1" x14ac:dyDescent="0.4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2" customHeight="1" x14ac:dyDescent="0.4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2" customHeight="1" x14ac:dyDescent="0.4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2" customHeight="1" x14ac:dyDescent="0.4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2" customHeight="1" x14ac:dyDescent="0.4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2" customHeight="1" x14ac:dyDescent="0.4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2" customHeight="1" x14ac:dyDescent="0.4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2" customHeight="1" x14ac:dyDescent="0.4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2" customHeight="1" x14ac:dyDescent="0.4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2" customHeight="1" x14ac:dyDescent="0.4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2" customHeight="1" x14ac:dyDescent="0.4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2" customHeight="1" x14ac:dyDescent="0.4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2" customHeight="1" x14ac:dyDescent="0.4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2" customHeight="1" x14ac:dyDescent="0.4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2" customHeight="1" x14ac:dyDescent="0.4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2" customHeight="1" x14ac:dyDescent="0.4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2" customHeight="1" x14ac:dyDescent="0.4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2" customHeight="1" x14ac:dyDescent="0.4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2" customHeight="1" x14ac:dyDescent="0.4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2" customHeight="1" x14ac:dyDescent="0.4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2" customHeight="1" x14ac:dyDescent="0.4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2" customHeight="1" x14ac:dyDescent="0.4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2" customHeight="1" x14ac:dyDescent="0.4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2" customHeight="1" x14ac:dyDescent="0.4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2" customHeight="1" x14ac:dyDescent="0.4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2" customHeight="1" x14ac:dyDescent="0.4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2" customHeight="1" x14ac:dyDescent="0.4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2" customHeight="1" x14ac:dyDescent="0.4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2" customHeight="1" x14ac:dyDescent="0.4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2" customHeight="1" x14ac:dyDescent="0.4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2" customHeight="1" x14ac:dyDescent="0.4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2" customHeight="1" x14ac:dyDescent="0.4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2" customHeight="1" x14ac:dyDescent="0.4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2" customHeight="1" x14ac:dyDescent="0.4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2" customHeight="1" x14ac:dyDescent="0.4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2" customHeight="1" x14ac:dyDescent="0.4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2" customHeight="1" x14ac:dyDescent="0.4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2" customHeight="1" x14ac:dyDescent="0.4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2" customHeight="1" x14ac:dyDescent="0.4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2" customHeight="1" x14ac:dyDescent="0.4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2" customHeight="1" x14ac:dyDescent="0.4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2" customHeight="1" x14ac:dyDescent="0.4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2" customHeight="1" x14ac:dyDescent="0.4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2" customHeight="1" x14ac:dyDescent="0.4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2" customHeight="1" x14ac:dyDescent="0.4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2" customHeight="1" x14ac:dyDescent="0.4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2" customHeight="1" x14ac:dyDescent="0.4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2" customHeight="1" x14ac:dyDescent="0.4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2" customHeight="1" x14ac:dyDescent="0.4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2" customHeight="1" x14ac:dyDescent="0.4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2" customHeight="1" x14ac:dyDescent="0.4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2" customHeight="1" x14ac:dyDescent="0.4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2" customHeight="1" x14ac:dyDescent="0.4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2" customHeight="1" x14ac:dyDescent="0.4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2" customHeight="1" x14ac:dyDescent="0.4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2" customHeight="1" x14ac:dyDescent="0.4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2" customHeight="1" x14ac:dyDescent="0.4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2" customHeight="1" x14ac:dyDescent="0.4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2" customHeight="1" x14ac:dyDescent="0.4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2" customHeight="1" x14ac:dyDescent="0.4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2" customHeight="1" x14ac:dyDescent="0.4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2" customHeight="1" x14ac:dyDescent="0.4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2" customHeight="1" x14ac:dyDescent="0.4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2" customHeight="1" x14ac:dyDescent="0.4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2" customHeight="1" x14ac:dyDescent="0.4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2" customHeight="1" x14ac:dyDescent="0.4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2" customHeight="1" x14ac:dyDescent="0.4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2" customHeight="1" x14ac:dyDescent="0.4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2" customHeight="1" x14ac:dyDescent="0.4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2" customHeight="1" x14ac:dyDescent="0.4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2" customHeight="1" x14ac:dyDescent="0.4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2" customHeight="1" x14ac:dyDescent="0.4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2" customHeight="1" x14ac:dyDescent="0.4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2" customHeight="1" x14ac:dyDescent="0.4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2" customHeight="1" x14ac:dyDescent="0.4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2" customHeight="1" x14ac:dyDescent="0.4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2" customHeight="1" x14ac:dyDescent="0.4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2" customHeight="1" x14ac:dyDescent="0.4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2" customHeight="1" x14ac:dyDescent="0.4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2" customHeight="1" x14ac:dyDescent="0.4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2" customHeight="1" x14ac:dyDescent="0.4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2" customHeight="1" x14ac:dyDescent="0.4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2" customHeight="1" x14ac:dyDescent="0.4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2" customHeight="1" x14ac:dyDescent="0.4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2" customHeight="1" x14ac:dyDescent="0.4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2" customHeight="1" x14ac:dyDescent="0.4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2" customHeight="1" x14ac:dyDescent="0.4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2" customHeight="1" x14ac:dyDescent="0.4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2" customHeight="1" x14ac:dyDescent="0.4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2" customHeight="1" x14ac:dyDescent="0.4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2" customHeight="1" x14ac:dyDescent="0.4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2" customHeight="1" x14ac:dyDescent="0.4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2" customHeight="1" x14ac:dyDescent="0.4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2" customHeight="1" x14ac:dyDescent="0.4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2" customHeight="1" x14ac:dyDescent="0.4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2" customHeight="1" x14ac:dyDescent="0.4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2" customHeight="1" x14ac:dyDescent="0.4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2" customHeight="1" x14ac:dyDescent="0.4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2" customHeight="1" x14ac:dyDescent="0.4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2" customHeight="1" x14ac:dyDescent="0.4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2" customHeight="1" x14ac:dyDescent="0.4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2" customHeight="1" x14ac:dyDescent="0.4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2" customHeight="1" x14ac:dyDescent="0.4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2" customHeight="1" x14ac:dyDescent="0.4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2" customHeight="1" x14ac:dyDescent="0.4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2" customHeight="1" x14ac:dyDescent="0.4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2" customHeight="1" x14ac:dyDescent="0.4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2" customHeight="1" x14ac:dyDescent="0.4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2" customHeight="1" x14ac:dyDescent="0.4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2" customHeight="1" x14ac:dyDescent="0.4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2" customHeight="1" x14ac:dyDescent="0.4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2" customHeight="1" x14ac:dyDescent="0.4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2" customHeight="1" x14ac:dyDescent="0.4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2" customHeight="1" x14ac:dyDescent="0.4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2" customHeight="1" x14ac:dyDescent="0.4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2" customHeight="1" x14ac:dyDescent="0.4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2" customHeight="1" x14ac:dyDescent="0.4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2" customHeight="1" x14ac:dyDescent="0.4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2" customHeight="1" x14ac:dyDescent="0.4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2" customHeight="1" x14ac:dyDescent="0.4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2" customHeight="1" x14ac:dyDescent="0.4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2" customHeight="1" x14ac:dyDescent="0.4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2" customHeight="1" x14ac:dyDescent="0.4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2" customHeight="1" x14ac:dyDescent="0.4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2" customHeight="1" x14ac:dyDescent="0.4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2" customHeight="1" x14ac:dyDescent="0.4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2" customHeight="1" x14ac:dyDescent="0.4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2" customHeight="1" x14ac:dyDescent="0.4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2" customHeight="1" x14ac:dyDescent="0.4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2" customHeight="1" x14ac:dyDescent="0.4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2" customHeight="1" x14ac:dyDescent="0.4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2" customHeight="1" x14ac:dyDescent="0.4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2" customHeight="1" x14ac:dyDescent="0.4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2" customHeight="1" x14ac:dyDescent="0.4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2" customHeight="1" x14ac:dyDescent="0.4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2" customHeight="1" x14ac:dyDescent="0.4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2" customHeight="1" x14ac:dyDescent="0.4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2" customHeight="1" x14ac:dyDescent="0.4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2" customHeight="1" x14ac:dyDescent="0.4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2" customHeight="1" x14ac:dyDescent="0.4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2" customHeight="1" x14ac:dyDescent="0.4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2" customHeight="1" x14ac:dyDescent="0.4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2" customHeight="1" x14ac:dyDescent="0.4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2" customHeight="1" x14ac:dyDescent="0.4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2" customHeight="1" x14ac:dyDescent="0.4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2" customHeight="1" x14ac:dyDescent="0.4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2" customHeight="1" x14ac:dyDescent="0.4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2" customHeight="1" x14ac:dyDescent="0.4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2" customHeight="1" x14ac:dyDescent="0.4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2" customHeight="1" x14ac:dyDescent="0.4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2" customHeight="1" x14ac:dyDescent="0.4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2" customHeight="1" x14ac:dyDescent="0.4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2" customHeight="1" x14ac:dyDescent="0.4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2" customHeight="1" x14ac:dyDescent="0.4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2" customHeight="1" x14ac:dyDescent="0.4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2" customHeight="1" x14ac:dyDescent="0.4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2" customHeight="1" x14ac:dyDescent="0.4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2" customHeight="1" x14ac:dyDescent="0.4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2" customHeight="1" x14ac:dyDescent="0.4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2" customHeight="1" x14ac:dyDescent="0.4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2" customHeight="1" x14ac:dyDescent="0.4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2" customHeight="1" x14ac:dyDescent="0.4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2" customHeight="1" x14ac:dyDescent="0.4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2" customHeight="1" x14ac:dyDescent="0.4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2" customHeight="1" x14ac:dyDescent="0.4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2" customHeight="1" x14ac:dyDescent="0.4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2" customHeight="1" x14ac:dyDescent="0.4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2" customHeight="1" x14ac:dyDescent="0.4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2" customHeight="1" x14ac:dyDescent="0.4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2" customHeight="1" x14ac:dyDescent="0.4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2" customHeight="1" x14ac:dyDescent="0.4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2" customHeight="1" x14ac:dyDescent="0.4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2" customHeight="1" x14ac:dyDescent="0.4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2" customHeight="1" x14ac:dyDescent="0.4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2" customHeight="1" x14ac:dyDescent="0.4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2" customHeight="1" x14ac:dyDescent="0.4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2" customHeight="1" x14ac:dyDescent="0.4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2" customHeight="1" x14ac:dyDescent="0.4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2" customHeight="1" x14ac:dyDescent="0.4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2" customHeight="1" x14ac:dyDescent="0.4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2" customHeight="1" x14ac:dyDescent="0.4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2" customHeight="1" x14ac:dyDescent="0.4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2" customHeight="1" x14ac:dyDescent="0.4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2" customHeight="1" x14ac:dyDescent="0.4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2" customHeight="1" x14ac:dyDescent="0.4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2" customHeight="1" x14ac:dyDescent="0.4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2" customHeight="1" x14ac:dyDescent="0.4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2" customHeight="1" x14ac:dyDescent="0.4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2" customHeight="1" x14ac:dyDescent="0.4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2" customHeight="1" x14ac:dyDescent="0.4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2" customHeight="1" x14ac:dyDescent="0.4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2" customHeight="1" x14ac:dyDescent="0.4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2" customHeight="1" x14ac:dyDescent="0.4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2" customHeight="1" x14ac:dyDescent="0.4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2" customHeight="1" x14ac:dyDescent="0.4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2" customHeight="1" x14ac:dyDescent="0.4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2" customHeight="1" x14ac:dyDescent="0.4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2" customHeight="1" x14ac:dyDescent="0.4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2" customHeight="1" x14ac:dyDescent="0.4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2" customHeight="1" x14ac:dyDescent="0.4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2" customHeight="1" x14ac:dyDescent="0.4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2" customHeight="1" x14ac:dyDescent="0.4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2" customHeight="1" x14ac:dyDescent="0.4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2" customHeight="1" x14ac:dyDescent="0.4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2" customHeight="1" x14ac:dyDescent="0.4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2" customHeight="1" x14ac:dyDescent="0.4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2" customHeight="1" x14ac:dyDescent="0.4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2" customHeight="1" x14ac:dyDescent="0.4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2" customHeight="1" x14ac:dyDescent="0.4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2" customHeight="1" x14ac:dyDescent="0.4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2" customHeight="1" x14ac:dyDescent="0.4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2" customHeight="1" x14ac:dyDescent="0.4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2" customHeight="1" x14ac:dyDescent="0.4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2" customHeight="1" x14ac:dyDescent="0.4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2" customHeight="1" x14ac:dyDescent="0.4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2" customHeight="1" x14ac:dyDescent="0.4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2" customHeight="1" x14ac:dyDescent="0.4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2" customHeight="1" x14ac:dyDescent="0.4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2" customHeight="1" x14ac:dyDescent="0.4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2" customHeight="1" x14ac:dyDescent="0.4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2" customHeight="1" x14ac:dyDescent="0.4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2" customHeight="1" x14ac:dyDescent="0.4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2" customHeight="1" x14ac:dyDescent="0.4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2" customHeight="1" x14ac:dyDescent="0.4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2" customHeight="1" x14ac:dyDescent="0.4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2" customHeight="1" x14ac:dyDescent="0.4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2" customHeight="1" x14ac:dyDescent="0.4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2" customHeight="1" x14ac:dyDescent="0.4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2" customHeight="1" x14ac:dyDescent="0.4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2" customHeight="1" x14ac:dyDescent="0.4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2" customHeight="1" x14ac:dyDescent="0.4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2" customHeight="1" x14ac:dyDescent="0.4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2" customHeight="1" x14ac:dyDescent="0.4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2" customHeight="1" x14ac:dyDescent="0.4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2" customHeight="1" x14ac:dyDescent="0.4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2" customHeight="1" x14ac:dyDescent="0.4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2" customHeight="1" x14ac:dyDescent="0.4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2" customHeight="1" x14ac:dyDescent="0.4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2" customHeight="1" x14ac:dyDescent="0.4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2" customHeight="1" x14ac:dyDescent="0.4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2" customHeight="1" x14ac:dyDescent="0.4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2" customHeight="1" x14ac:dyDescent="0.4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2" customHeight="1" x14ac:dyDescent="0.4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2" customHeight="1" x14ac:dyDescent="0.4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2" customHeight="1" x14ac:dyDescent="0.4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2" customHeight="1" x14ac:dyDescent="0.4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2" customHeight="1" x14ac:dyDescent="0.4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2" customHeight="1" x14ac:dyDescent="0.4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2" customHeight="1" x14ac:dyDescent="0.4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2" customHeight="1" x14ac:dyDescent="0.4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2" customHeight="1" x14ac:dyDescent="0.4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2" customHeight="1" x14ac:dyDescent="0.4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2" customHeight="1" x14ac:dyDescent="0.4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2" customHeight="1" x14ac:dyDescent="0.4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2" customHeight="1" x14ac:dyDescent="0.4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2" customHeight="1" x14ac:dyDescent="0.4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2" customHeight="1" x14ac:dyDescent="0.4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2" customHeight="1" x14ac:dyDescent="0.4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2" customHeight="1" x14ac:dyDescent="0.4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2" customHeight="1" x14ac:dyDescent="0.4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2" customHeight="1" x14ac:dyDescent="0.4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2" customHeight="1" x14ac:dyDescent="0.4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2" customHeight="1" x14ac:dyDescent="0.4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2" customHeight="1" x14ac:dyDescent="0.4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2" customHeight="1" x14ac:dyDescent="0.4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2" customHeight="1" x14ac:dyDescent="0.4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2" customHeight="1" x14ac:dyDescent="0.4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2" customHeight="1" x14ac:dyDescent="0.4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2" customHeight="1" x14ac:dyDescent="0.4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2" customHeight="1" x14ac:dyDescent="0.4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2" customHeight="1" x14ac:dyDescent="0.4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2" customHeight="1" x14ac:dyDescent="0.4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2" customHeight="1" x14ac:dyDescent="0.4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2" customHeight="1" x14ac:dyDescent="0.4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2" customHeight="1" x14ac:dyDescent="0.4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2" customHeight="1" x14ac:dyDescent="0.4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2" customHeight="1" x14ac:dyDescent="0.4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2" customHeight="1" x14ac:dyDescent="0.4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2" customHeight="1" x14ac:dyDescent="0.4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2" customHeight="1" x14ac:dyDescent="0.4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2" customHeight="1" x14ac:dyDescent="0.4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2" customHeight="1" x14ac:dyDescent="0.4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2" customHeight="1" x14ac:dyDescent="0.4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2" customHeight="1" x14ac:dyDescent="0.4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2" customHeight="1" x14ac:dyDescent="0.4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2" customHeight="1" x14ac:dyDescent="0.4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2" customHeight="1" x14ac:dyDescent="0.4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2" customHeight="1" x14ac:dyDescent="0.4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2" customHeight="1" x14ac:dyDescent="0.4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2" customHeight="1" x14ac:dyDescent="0.4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2" customHeight="1" x14ac:dyDescent="0.4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2" customHeight="1" x14ac:dyDescent="0.4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2" customHeight="1" x14ac:dyDescent="0.4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2" customHeight="1" x14ac:dyDescent="0.4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2" customHeight="1" x14ac:dyDescent="0.4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2" customHeight="1" x14ac:dyDescent="0.4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2" customHeight="1" x14ac:dyDescent="0.4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2" customHeight="1" x14ac:dyDescent="0.4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2" customHeight="1" x14ac:dyDescent="0.4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2" customHeight="1" x14ac:dyDescent="0.4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2" customHeight="1" x14ac:dyDescent="0.4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2" customHeight="1" x14ac:dyDescent="0.4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2" customHeight="1" x14ac:dyDescent="0.4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2" customHeight="1" x14ac:dyDescent="0.4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2" customHeight="1" x14ac:dyDescent="0.4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2" customHeight="1" x14ac:dyDescent="0.4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2" customHeight="1" x14ac:dyDescent="0.4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2" customHeight="1" x14ac:dyDescent="0.4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2" customHeight="1" x14ac:dyDescent="0.4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2" customHeight="1" x14ac:dyDescent="0.4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2" customHeight="1" x14ac:dyDescent="0.4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2" customHeight="1" x14ac:dyDescent="0.4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2" customHeight="1" x14ac:dyDescent="0.4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2" customHeight="1" x14ac:dyDescent="0.4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2" customHeight="1" x14ac:dyDescent="0.4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2" customHeight="1" x14ac:dyDescent="0.4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2" customHeight="1" x14ac:dyDescent="0.4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2" customHeight="1" x14ac:dyDescent="0.4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2" customHeight="1" x14ac:dyDescent="0.4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2" customHeight="1" x14ac:dyDescent="0.4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2" customHeight="1" x14ac:dyDescent="0.4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2" customHeight="1" x14ac:dyDescent="0.4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2" customHeight="1" x14ac:dyDescent="0.4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2" customHeight="1" x14ac:dyDescent="0.4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2" customHeight="1" x14ac:dyDescent="0.4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2" customHeight="1" x14ac:dyDescent="0.4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2" customHeight="1" x14ac:dyDescent="0.4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2" customHeight="1" x14ac:dyDescent="0.4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2" customHeight="1" x14ac:dyDescent="0.4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2" customHeight="1" x14ac:dyDescent="0.4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2" customHeight="1" x14ac:dyDescent="0.4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2" customHeight="1" x14ac:dyDescent="0.4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2" customHeight="1" x14ac:dyDescent="0.4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2" customHeight="1" x14ac:dyDescent="0.4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2" customHeight="1" x14ac:dyDescent="0.4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2" customHeight="1" x14ac:dyDescent="0.4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2" customHeight="1" x14ac:dyDescent="0.4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2" customHeight="1" x14ac:dyDescent="0.4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2" customHeight="1" x14ac:dyDescent="0.4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2" customHeight="1" x14ac:dyDescent="0.4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2" customHeight="1" x14ac:dyDescent="0.4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2" customHeight="1" x14ac:dyDescent="0.4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2" customHeight="1" x14ac:dyDescent="0.4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2" customHeight="1" x14ac:dyDescent="0.4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2" customHeight="1" x14ac:dyDescent="0.4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2" customHeight="1" x14ac:dyDescent="0.4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2" customHeight="1" x14ac:dyDescent="0.4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2" customHeight="1" x14ac:dyDescent="0.4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2" customHeight="1" x14ac:dyDescent="0.4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2" customHeight="1" x14ac:dyDescent="0.4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2" customHeight="1" x14ac:dyDescent="0.4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2" customHeight="1" x14ac:dyDescent="0.4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2" customHeight="1" x14ac:dyDescent="0.4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2" customHeight="1" x14ac:dyDescent="0.4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2" customHeight="1" x14ac:dyDescent="0.4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2" customHeight="1" x14ac:dyDescent="0.4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2" customHeight="1" x14ac:dyDescent="0.4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2" customHeight="1" x14ac:dyDescent="0.4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2" customHeight="1" x14ac:dyDescent="0.4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2" customHeight="1" x14ac:dyDescent="0.4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2" customHeight="1" x14ac:dyDescent="0.4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2" customHeight="1" x14ac:dyDescent="0.4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2" customHeight="1" x14ac:dyDescent="0.4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2" customHeight="1" x14ac:dyDescent="0.4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2" customHeight="1" x14ac:dyDescent="0.4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2" customHeight="1" x14ac:dyDescent="0.4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2" customHeight="1" x14ac:dyDescent="0.4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2" customHeight="1" x14ac:dyDescent="0.4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2" customHeight="1" x14ac:dyDescent="0.4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2" customHeight="1" x14ac:dyDescent="0.4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2" customHeight="1" x14ac:dyDescent="0.4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2" customHeight="1" x14ac:dyDescent="0.4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2" customHeight="1" x14ac:dyDescent="0.4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2" customHeight="1" x14ac:dyDescent="0.4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2" customHeight="1" x14ac:dyDescent="0.4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2" customHeight="1" x14ac:dyDescent="0.4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2" customHeight="1" x14ac:dyDescent="0.4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2" customHeight="1" x14ac:dyDescent="0.4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2" customHeight="1" x14ac:dyDescent="0.4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2" customHeight="1" x14ac:dyDescent="0.4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2" customHeight="1" x14ac:dyDescent="0.4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2" customHeight="1" x14ac:dyDescent="0.4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2" customHeight="1" x14ac:dyDescent="0.4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2" customHeight="1" x14ac:dyDescent="0.4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2" customHeight="1" x14ac:dyDescent="0.4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2" customHeight="1" x14ac:dyDescent="0.4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2" customHeight="1" x14ac:dyDescent="0.4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2" customHeight="1" x14ac:dyDescent="0.4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2" customHeight="1" x14ac:dyDescent="0.4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2" customHeight="1" x14ac:dyDescent="0.4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2" customHeight="1" x14ac:dyDescent="0.4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2" customHeight="1" x14ac:dyDescent="0.4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2" customHeight="1" x14ac:dyDescent="0.4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2" customHeight="1" x14ac:dyDescent="0.4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2" customHeight="1" x14ac:dyDescent="0.4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2" customHeight="1" x14ac:dyDescent="0.4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2" customHeight="1" x14ac:dyDescent="0.4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2" customHeight="1" x14ac:dyDescent="0.4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2" customHeight="1" x14ac:dyDescent="0.4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2" customHeight="1" x14ac:dyDescent="0.4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2" customHeight="1" x14ac:dyDescent="0.4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2" customHeight="1" x14ac:dyDescent="0.4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2" customHeight="1" x14ac:dyDescent="0.4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2" customHeight="1" x14ac:dyDescent="0.4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2" customHeight="1" x14ac:dyDescent="0.4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2" customHeight="1" x14ac:dyDescent="0.4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2" customHeight="1" x14ac:dyDescent="0.4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2" customHeight="1" x14ac:dyDescent="0.4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2" customHeight="1" x14ac:dyDescent="0.4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2" customHeight="1" x14ac:dyDescent="0.4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2" customHeight="1" x14ac:dyDescent="0.4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2" customHeight="1" x14ac:dyDescent="0.4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2" customHeight="1" x14ac:dyDescent="0.4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2" customHeight="1" x14ac:dyDescent="0.4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2" customHeight="1" x14ac:dyDescent="0.4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2" customHeight="1" x14ac:dyDescent="0.4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2" customHeight="1" x14ac:dyDescent="0.4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2" customHeight="1" x14ac:dyDescent="0.4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2" customHeight="1" x14ac:dyDescent="0.4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2" customHeight="1" x14ac:dyDescent="0.4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2" customHeight="1" x14ac:dyDescent="0.4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2" customHeight="1" x14ac:dyDescent="0.4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2" customHeight="1" x14ac:dyDescent="0.4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2" customHeight="1" x14ac:dyDescent="0.4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2" customHeight="1" x14ac:dyDescent="0.4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2" customHeight="1" x14ac:dyDescent="0.4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2" customHeight="1" x14ac:dyDescent="0.4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2" customHeight="1" x14ac:dyDescent="0.4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2" customHeight="1" x14ac:dyDescent="0.4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2" customHeight="1" x14ac:dyDescent="0.4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2" customHeight="1" x14ac:dyDescent="0.4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2" customHeight="1" x14ac:dyDescent="0.4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2" customHeight="1" x14ac:dyDescent="0.4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2" customHeight="1" x14ac:dyDescent="0.4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2" customHeight="1" x14ac:dyDescent="0.4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2" customHeight="1" x14ac:dyDescent="0.4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2" customHeight="1" x14ac:dyDescent="0.4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2" customHeight="1" x14ac:dyDescent="0.4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2" customHeight="1" x14ac:dyDescent="0.4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2" customHeight="1" x14ac:dyDescent="0.4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2" customHeight="1" x14ac:dyDescent="0.4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2" customHeight="1" x14ac:dyDescent="0.4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2" customHeight="1" x14ac:dyDescent="0.4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2" customHeight="1" x14ac:dyDescent="0.4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2" customHeight="1" x14ac:dyDescent="0.4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2" customHeight="1" x14ac:dyDescent="0.4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2" customHeight="1" x14ac:dyDescent="0.4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2" customHeight="1" x14ac:dyDescent="0.4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2" customHeight="1" x14ac:dyDescent="0.4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2" customHeight="1" x14ac:dyDescent="0.4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2" customHeight="1" x14ac:dyDescent="0.4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2" customHeight="1" x14ac:dyDescent="0.4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2" customHeight="1" x14ac:dyDescent="0.4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2" customHeight="1" x14ac:dyDescent="0.4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2" customHeight="1" x14ac:dyDescent="0.4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2" customHeight="1" x14ac:dyDescent="0.4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2" customHeight="1" x14ac:dyDescent="0.4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2" customHeight="1" x14ac:dyDescent="0.4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2" customHeight="1" x14ac:dyDescent="0.4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2" customHeight="1" x14ac:dyDescent="0.4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2" customHeight="1" x14ac:dyDescent="0.4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2" customHeight="1" x14ac:dyDescent="0.4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2" customHeight="1" x14ac:dyDescent="0.4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2" customHeight="1" x14ac:dyDescent="0.4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2" customHeight="1" x14ac:dyDescent="0.4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2" customHeight="1" x14ac:dyDescent="0.4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2" customHeight="1" x14ac:dyDescent="0.4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2" customHeight="1" x14ac:dyDescent="0.4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2" customHeight="1" x14ac:dyDescent="0.4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2" customHeight="1" x14ac:dyDescent="0.4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2" customHeight="1" x14ac:dyDescent="0.4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2" customHeight="1" x14ac:dyDescent="0.4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2" customHeight="1" x14ac:dyDescent="0.4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2" customHeight="1" x14ac:dyDescent="0.4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2" customHeight="1" x14ac:dyDescent="0.4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2" customHeight="1" x14ac:dyDescent="0.4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2" customHeight="1" x14ac:dyDescent="0.4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2" customHeight="1" x14ac:dyDescent="0.4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2" customHeight="1" x14ac:dyDescent="0.4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2" customHeight="1" x14ac:dyDescent="0.4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2" customHeight="1" x14ac:dyDescent="0.4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2" customHeight="1" x14ac:dyDescent="0.4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2" customHeight="1" x14ac:dyDescent="0.4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2" customHeight="1" x14ac:dyDescent="0.4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2" customHeight="1" x14ac:dyDescent="0.4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2" customHeight="1" x14ac:dyDescent="0.4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2" customHeight="1" x14ac:dyDescent="0.4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2" customHeight="1" x14ac:dyDescent="0.4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2" customHeight="1" x14ac:dyDescent="0.4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2" customHeight="1" x14ac:dyDescent="0.4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2" customHeight="1" x14ac:dyDescent="0.4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2" customHeight="1" x14ac:dyDescent="0.4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2" customHeight="1" x14ac:dyDescent="0.4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2" customHeight="1" x14ac:dyDescent="0.4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2" customHeight="1" x14ac:dyDescent="0.4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2" customHeight="1" x14ac:dyDescent="0.4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2" customHeight="1" x14ac:dyDescent="0.4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2" customHeight="1" x14ac:dyDescent="0.4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2" customHeight="1" x14ac:dyDescent="0.4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2" customHeight="1" x14ac:dyDescent="0.4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2" customHeight="1" x14ac:dyDescent="0.4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2" customHeight="1" x14ac:dyDescent="0.4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2" customHeight="1" x14ac:dyDescent="0.4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2" customHeight="1" x14ac:dyDescent="0.4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2" customHeight="1" x14ac:dyDescent="0.4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2" customHeight="1" x14ac:dyDescent="0.4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2" customHeight="1" x14ac:dyDescent="0.4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2" customHeight="1" x14ac:dyDescent="0.4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2" customHeight="1" x14ac:dyDescent="0.4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2" customHeight="1" x14ac:dyDescent="0.4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2" customHeight="1" x14ac:dyDescent="0.4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2" customHeight="1" x14ac:dyDescent="0.4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2" customHeight="1" x14ac:dyDescent="0.4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2" customHeight="1" x14ac:dyDescent="0.4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2" customHeight="1" x14ac:dyDescent="0.4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2" customHeight="1" x14ac:dyDescent="0.4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2" customHeight="1" x14ac:dyDescent="0.4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2" customHeight="1" x14ac:dyDescent="0.4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2" customHeight="1" x14ac:dyDescent="0.4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2" customHeight="1" x14ac:dyDescent="0.4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2" customHeight="1" x14ac:dyDescent="0.4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2" customHeight="1" x14ac:dyDescent="0.4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2" customHeight="1" x14ac:dyDescent="0.4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2" customHeight="1" x14ac:dyDescent="0.4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2" customHeight="1" x14ac:dyDescent="0.4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2" customHeight="1" x14ac:dyDescent="0.4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2" customHeight="1" x14ac:dyDescent="0.4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2" customHeight="1" x14ac:dyDescent="0.4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2" customHeight="1" x14ac:dyDescent="0.4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2" customHeight="1" x14ac:dyDescent="0.4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2" customHeight="1" x14ac:dyDescent="0.4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2" customHeight="1" x14ac:dyDescent="0.4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2" customHeight="1" x14ac:dyDescent="0.4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2" customHeight="1" x14ac:dyDescent="0.4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2" customHeight="1" x14ac:dyDescent="0.4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2" customHeight="1" x14ac:dyDescent="0.4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2" customHeight="1" x14ac:dyDescent="0.4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2" customHeight="1" x14ac:dyDescent="0.4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2" customHeight="1" x14ac:dyDescent="0.4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2" customHeight="1" x14ac:dyDescent="0.4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2" customHeight="1" x14ac:dyDescent="0.4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2" customHeight="1" x14ac:dyDescent="0.4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2" customHeight="1" x14ac:dyDescent="0.4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2" customHeight="1" x14ac:dyDescent="0.4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2" customHeight="1" x14ac:dyDescent="0.4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2" customHeight="1" x14ac:dyDescent="0.4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2" customHeight="1" x14ac:dyDescent="0.4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2" customHeight="1" x14ac:dyDescent="0.4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2" customHeight="1" x14ac:dyDescent="0.4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2" customHeight="1" x14ac:dyDescent="0.4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2" customHeight="1" x14ac:dyDescent="0.4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2" customHeight="1" x14ac:dyDescent="0.4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2" customHeight="1" x14ac:dyDescent="0.4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2" customHeight="1" x14ac:dyDescent="0.4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2" customHeight="1" x14ac:dyDescent="0.4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2" customHeight="1" x14ac:dyDescent="0.4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2" customHeight="1" x14ac:dyDescent="0.4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2" customHeight="1" x14ac:dyDescent="0.4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2" customHeight="1" x14ac:dyDescent="0.4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2" customHeight="1" x14ac:dyDescent="0.4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2" customHeight="1" x14ac:dyDescent="0.4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2" customHeight="1" x14ac:dyDescent="0.4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2" customHeight="1" x14ac:dyDescent="0.4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2" customHeight="1" x14ac:dyDescent="0.4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2" customHeight="1" x14ac:dyDescent="0.4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2" customHeight="1" x14ac:dyDescent="0.4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2" customHeight="1" x14ac:dyDescent="0.4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2" customHeight="1" x14ac:dyDescent="0.4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2" customHeight="1" x14ac:dyDescent="0.4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2" customHeight="1" x14ac:dyDescent="0.4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2" customHeight="1" x14ac:dyDescent="0.4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2" customHeight="1" x14ac:dyDescent="0.4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2" customHeight="1" x14ac:dyDescent="0.4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2" customHeight="1" x14ac:dyDescent="0.4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2" customHeight="1" x14ac:dyDescent="0.4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2" customHeight="1" x14ac:dyDescent="0.4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2" customHeight="1" x14ac:dyDescent="0.4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2" customHeight="1" x14ac:dyDescent="0.4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2" customHeight="1" x14ac:dyDescent="0.4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2" customHeight="1" x14ac:dyDescent="0.4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2" customHeight="1" x14ac:dyDescent="0.4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2" customHeight="1" x14ac:dyDescent="0.4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2" customHeight="1" x14ac:dyDescent="0.4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2" customHeight="1" x14ac:dyDescent="0.4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2" customHeight="1" x14ac:dyDescent="0.4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2" customHeight="1" x14ac:dyDescent="0.4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2" customHeight="1" x14ac:dyDescent="0.4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2" customHeight="1" x14ac:dyDescent="0.4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2" customHeight="1" x14ac:dyDescent="0.4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2" customHeight="1" x14ac:dyDescent="0.4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2" customHeight="1" x14ac:dyDescent="0.4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2" customHeight="1" x14ac:dyDescent="0.4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2" customHeight="1" x14ac:dyDescent="0.4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2" customHeight="1" x14ac:dyDescent="0.4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2" customHeight="1" x14ac:dyDescent="0.4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2" customHeight="1" x14ac:dyDescent="0.4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2" customHeight="1" x14ac:dyDescent="0.4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2" customHeight="1" x14ac:dyDescent="0.4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2" customHeight="1" x14ac:dyDescent="0.4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2" customHeight="1" x14ac:dyDescent="0.4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2" customHeight="1" x14ac:dyDescent="0.4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2" customHeight="1" x14ac:dyDescent="0.4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2" customHeight="1" x14ac:dyDescent="0.4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2" customHeight="1" x14ac:dyDescent="0.4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2" customHeight="1" x14ac:dyDescent="0.4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2" customHeight="1" x14ac:dyDescent="0.4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2" customHeight="1" x14ac:dyDescent="0.4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2" customHeight="1" x14ac:dyDescent="0.4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2" customHeight="1" x14ac:dyDescent="0.4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2" customHeight="1" x14ac:dyDescent="0.4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2" customHeight="1" x14ac:dyDescent="0.4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2" customHeight="1" x14ac:dyDescent="0.4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2" customHeight="1" x14ac:dyDescent="0.4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2" customHeight="1" x14ac:dyDescent="0.4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2" customHeight="1" x14ac:dyDescent="0.4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2" customHeight="1" x14ac:dyDescent="0.4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2" customHeight="1" x14ac:dyDescent="0.4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2" customHeight="1" x14ac:dyDescent="0.4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2" customHeight="1" x14ac:dyDescent="0.4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2" customHeight="1" x14ac:dyDescent="0.4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2" customHeight="1" x14ac:dyDescent="0.4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2" customHeight="1" x14ac:dyDescent="0.4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2" customHeight="1" x14ac:dyDescent="0.4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2" customHeight="1" x14ac:dyDescent="0.4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2" customHeight="1" x14ac:dyDescent="0.4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2" customHeight="1" x14ac:dyDescent="0.4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2" customHeight="1" x14ac:dyDescent="0.4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2" customHeight="1" x14ac:dyDescent="0.4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2" customHeight="1" x14ac:dyDescent="0.4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2" customHeight="1" x14ac:dyDescent="0.4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2" customHeight="1" x14ac:dyDescent="0.4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2" customHeight="1" x14ac:dyDescent="0.4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2" customHeight="1" x14ac:dyDescent="0.4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2" customHeight="1" x14ac:dyDescent="0.4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2" customHeight="1" x14ac:dyDescent="0.4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2" customHeight="1" x14ac:dyDescent="0.4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2" customHeight="1" x14ac:dyDescent="0.4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2" customHeight="1" x14ac:dyDescent="0.4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2" customHeight="1" x14ac:dyDescent="0.4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2" customHeight="1" x14ac:dyDescent="0.4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2" customHeight="1" x14ac:dyDescent="0.4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2" customHeight="1" x14ac:dyDescent="0.4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2" customHeight="1" x14ac:dyDescent="0.4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2" customHeight="1" x14ac:dyDescent="0.4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2" customHeight="1" x14ac:dyDescent="0.4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2" customHeight="1" x14ac:dyDescent="0.4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2" customHeight="1" x14ac:dyDescent="0.4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2" customHeight="1" x14ac:dyDescent="0.4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2" customHeight="1" x14ac:dyDescent="0.4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2" customHeight="1" x14ac:dyDescent="0.4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2" customHeight="1" x14ac:dyDescent="0.4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2" customHeight="1" x14ac:dyDescent="0.4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2" customHeight="1" x14ac:dyDescent="0.4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2" customHeight="1" x14ac:dyDescent="0.4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2" customHeight="1" x14ac:dyDescent="0.4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2" customHeight="1" x14ac:dyDescent="0.4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2" customHeight="1" x14ac:dyDescent="0.4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2" customHeight="1" x14ac:dyDescent="0.4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2" customHeight="1" x14ac:dyDescent="0.4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2" customHeight="1" x14ac:dyDescent="0.4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2" customHeight="1" x14ac:dyDescent="0.4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2" customHeight="1" x14ac:dyDescent="0.4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2" customHeight="1" x14ac:dyDescent="0.4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2" customHeight="1" x14ac:dyDescent="0.4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2" customHeight="1" x14ac:dyDescent="0.4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2" customHeight="1" x14ac:dyDescent="0.4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2" customHeight="1" x14ac:dyDescent="0.4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2" customHeight="1" x14ac:dyDescent="0.4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2" customHeight="1" x14ac:dyDescent="0.4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2" customHeight="1" x14ac:dyDescent="0.4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2" customHeight="1" x14ac:dyDescent="0.4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2" customHeight="1" x14ac:dyDescent="0.4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2" customHeight="1" x14ac:dyDescent="0.4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2" customHeight="1" x14ac:dyDescent="0.4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2" customHeight="1" x14ac:dyDescent="0.4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2" customHeight="1" x14ac:dyDescent="0.4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2" customHeight="1" x14ac:dyDescent="0.4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2" customHeight="1" x14ac:dyDescent="0.4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2" customHeight="1" x14ac:dyDescent="0.4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2" customHeight="1" x14ac:dyDescent="0.4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2" customHeight="1" x14ac:dyDescent="0.4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2" customHeight="1" x14ac:dyDescent="0.4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2" customHeight="1" x14ac:dyDescent="0.4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2" customHeight="1" x14ac:dyDescent="0.4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2" customHeight="1" x14ac:dyDescent="0.4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2" customHeight="1" x14ac:dyDescent="0.4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2" customHeight="1" x14ac:dyDescent="0.4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2" customHeight="1" x14ac:dyDescent="0.4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2" customHeight="1" x14ac:dyDescent="0.4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2" customHeight="1" x14ac:dyDescent="0.4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2" customHeight="1" x14ac:dyDescent="0.4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2" customHeight="1" x14ac:dyDescent="0.4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2" customHeight="1" x14ac:dyDescent="0.4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2" customHeight="1" x14ac:dyDescent="0.4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2" customHeight="1" x14ac:dyDescent="0.4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2" customHeight="1" x14ac:dyDescent="0.4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2" customHeight="1" x14ac:dyDescent="0.4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2" customHeight="1" x14ac:dyDescent="0.4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2" customHeight="1" x14ac:dyDescent="0.4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2" customHeight="1" x14ac:dyDescent="0.4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2" customHeight="1" x14ac:dyDescent="0.4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2" customHeight="1" x14ac:dyDescent="0.4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2" customHeight="1" x14ac:dyDescent="0.4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2" customHeight="1" x14ac:dyDescent="0.4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2" customHeight="1" x14ac:dyDescent="0.4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2" customHeight="1" x14ac:dyDescent="0.4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2" customHeight="1" x14ac:dyDescent="0.4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2" customHeight="1" x14ac:dyDescent="0.4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2" customHeight="1" x14ac:dyDescent="0.4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2" customHeight="1" x14ac:dyDescent="0.4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2" customHeight="1" x14ac:dyDescent="0.4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2" customHeight="1" x14ac:dyDescent="0.4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2" customHeight="1" x14ac:dyDescent="0.4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2" customHeight="1" x14ac:dyDescent="0.4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2" customHeight="1" x14ac:dyDescent="0.4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2" customHeight="1" x14ac:dyDescent="0.4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2" customHeight="1" x14ac:dyDescent="0.4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2" customHeight="1" x14ac:dyDescent="0.4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2" customHeight="1" x14ac:dyDescent="0.4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2" customHeight="1" x14ac:dyDescent="0.4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2" customHeight="1" x14ac:dyDescent="0.4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2" customHeight="1" x14ac:dyDescent="0.4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2" customHeight="1" x14ac:dyDescent="0.4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2" customHeight="1" x14ac:dyDescent="0.4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2" customHeight="1" x14ac:dyDescent="0.4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2" customHeight="1" x14ac:dyDescent="0.4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2" customHeight="1" x14ac:dyDescent="0.4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2" customHeight="1" x14ac:dyDescent="0.4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2" customHeight="1" x14ac:dyDescent="0.4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2" customHeight="1" x14ac:dyDescent="0.4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2" customHeight="1" x14ac:dyDescent="0.4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2" customHeight="1" x14ac:dyDescent="0.4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2" customHeight="1" x14ac:dyDescent="0.4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2" customHeight="1" x14ac:dyDescent="0.4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2" customHeight="1" x14ac:dyDescent="0.4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2" customHeight="1" x14ac:dyDescent="0.4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2" customHeight="1" x14ac:dyDescent="0.4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2" customHeight="1" x14ac:dyDescent="0.4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2" customHeight="1" x14ac:dyDescent="0.4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2" customHeight="1" x14ac:dyDescent="0.4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2" customHeight="1" x14ac:dyDescent="0.4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2" customHeight="1" x14ac:dyDescent="0.4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2" customHeight="1" x14ac:dyDescent="0.4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2" customHeight="1" x14ac:dyDescent="0.4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2" customHeight="1" x14ac:dyDescent="0.4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2" customHeight="1" x14ac:dyDescent="0.4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2" customHeight="1" x14ac:dyDescent="0.4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2" customHeight="1" x14ac:dyDescent="0.4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2" customHeight="1" x14ac:dyDescent="0.4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2" customHeight="1" x14ac:dyDescent="0.4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2" customHeight="1" x14ac:dyDescent="0.4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2" customHeight="1" x14ac:dyDescent="0.4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2" customHeight="1" x14ac:dyDescent="0.4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2" customHeight="1" x14ac:dyDescent="0.4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2" customHeight="1" x14ac:dyDescent="0.4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2" customHeight="1" x14ac:dyDescent="0.4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2" customHeight="1" x14ac:dyDescent="0.4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2" customHeight="1" x14ac:dyDescent="0.4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2" customHeight="1" x14ac:dyDescent="0.4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2" customHeight="1" x14ac:dyDescent="0.4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2" customHeight="1" x14ac:dyDescent="0.4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2" customHeight="1" x14ac:dyDescent="0.4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2" customHeight="1" x14ac:dyDescent="0.4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2" customHeight="1" x14ac:dyDescent="0.4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2" customHeight="1" x14ac:dyDescent="0.4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2" customHeight="1" x14ac:dyDescent="0.4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2" customHeight="1" x14ac:dyDescent="0.4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2" customHeight="1" x14ac:dyDescent="0.4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2" customHeight="1" x14ac:dyDescent="0.4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2" customHeight="1" x14ac:dyDescent="0.4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2" customHeight="1" x14ac:dyDescent="0.4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2" customHeight="1" x14ac:dyDescent="0.4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2" customHeight="1" x14ac:dyDescent="0.4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2" customHeight="1" x14ac:dyDescent="0.4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2" customHeight="1" x14ac:dyDescent="0.4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2" customHeight="1" x14ac:dyDescent="0.4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2" customHeight="1" x14ac:dyDescent="0.4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2" customHeight="1" x14ac:dyDescent="0.4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2" customHeight="1" x14ac:dyDescent="0.4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2" customHeight="1" x14ac:dyDescent="0.4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2" customHeight="1" x14ac:dyDescent="0.4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2" customHeight="1" x14ac:dyDescent="0.4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2" customHeight="1" x14ac:dyDescent="0.4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2" customHeight="1" x14ac:dyDescent="0.4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2" customHeight="1" x14ac:dyDescent="0.4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2" customHeight="1" x14ac:dyDescent="0.4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2" customHeight="1" x14ac:dyDescent="0.4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2" customHeight="1" x14ac:dyDescent="0.4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2" customHeight="1" x14ac:dyDescent="0.4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2" customHeight="1" x14ac:dyDescent="0.4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2" customHeight="1" x14ac:dyDescent="0.4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2" customHeight="1" x14ac:dyDescent="0.4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2" customHeight="1" x14ac:dyDescent="0.4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2" customHeight="1" x14ac:dyDescent="0.4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2" customHeight="1" x14ac:dyDescent="0.4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2" customHeight="1" x14ac:dyDescent="0.4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2" customHeight="1" x14ac:dyDescent="0.4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2" customHeight="1" x14ac:dyDescent="0.4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2" customHeight="1" x14ac:dyDescent="0.4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2" customHeight="1" x14ac:dyDescent="0.4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2" customHeight="1" x14ac:dyDescent="0.4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2" customHeight="1" x14ac:dyDescent="0.4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2" customHeight="1" x14ac:dyDescent="0.4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2" customHeight="1" x14ac:dyDescent="0.4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2" customHeight="1" x14ac:dyDescent="0.4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2" customHeight="1" x14ac:dyDescent="0.4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2" customHeight="1" x14ac:dyDescent="0.4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2" customHeight="1" x14ac:dyDescent="0.4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2" customHeight="1" x14ac:dyDescent="0.4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2" customHeight="1" x14ac:dyDescent="0.4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2" customHeight="1" x14ac:dyDescent="0.4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2" customHeight="1" x14ac:dyDescent="0.4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2" customHeight="1" x14ac:dyDescent="0.4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2" customHeight="1" x14ac:dyDescent="0.4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2" customHeight="1" x14ac:dyDescent="0.4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2" customHeight="1" x14ac:dyDescent="0.4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2" customHeight="1" x14ac:dyDescent="0.4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2" customHeight="1" x14ac:dyDescent="0.4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2" customHeight="1" x14ac:dyDescent="0.4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2" customHeight="1" x14ac:dyDescent="0.4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2" customHeight="1" x14ac:dyDescent="0.4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2" customHeight="1" x14ac:dyDescent="0.4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2" customHeight="1" x14ac:dyDescent="0.4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2" customHeight="1" x14ac:dyDescent="0.4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2" customHeight="1" x14ac:dyDescent="0.4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2" customHeight="1" x14ac:dyDescent="0.4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2" customHeight="1" x14ac:dyDescent="0.4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2" customHeight="1" x14ac:dyDescent="0.4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2" customHeight="1" x14ac:dyDescent="0.4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2" customHeight="1" x14ac:dyDescent="0.4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2" customHeight="1" x14ac:dyDescent="0.4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2" customHeight="1" x14ac:dyDescent="0.4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2" customHeight="1" x14ac:dyDescent="0.4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2" customHeight="1" x14ac:dyDescent="0.4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2" customHeight="1" x14ac:dyDescent="0.4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2" customHeight="1" x14ac:dyDescent="0.4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2" customHeight="1" x14ac:dyDescent="0.4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2" customHeight="1" x14ac:dyDescent="0.4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2" customHeight="1" x14ac:dyDescent="0.4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2" customHeight="1" x14ac:dyDescent="0.4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2" customHeight="1" x14ac:dyDescent="0.4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2" customHeight="1" x14ac:dyDescent="0.4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2" customHeight="1" x14ac:dyDescent="0.4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2" customHeight="1" x14ac:dyDescent="0.4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2" customHeight="1" x14ac:dyDescent="0.4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2" customHeight="1" x14ac:dyDescent="0.4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2" customHeight="1" x14ac:dyDescent="0.4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2" customHeight="1" x14ac:dyDescent="0.4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2" customHeight="1" x14ac:dyDescent="0.4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2" customHeight="1" x14ac:dyDescent="0.4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2" customHeight="1" x14ac:dyDescent="0.4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2" customHeight="1" x14ac:dyDescent="0.4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2" customHeight="1" x14ac:dyDescent="0.4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2" customHeight="1" x14ac:dyDescent="0.4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2" customHeight="1" x14ac:dyDescent="0.4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2" customHeight="1" x14ac:dyDescent="0.4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2" customHeight="1" x14ac:dyDescent="0.4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2" customHeight="1" x14ac:dyDescent="0.4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2" customHeight="1" x14ac:dyDescent="0.4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2" customHeight="1" x14ac:dyDescent="0.4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2" customHeight="1" x14ac:dyDescent="0.4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2" customHeight="1" x14ac:dyDescent="0.4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2" customHeight="1" x14ac:dyDescent="0.4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2" customHeight="1" x14ac:dyDescent="0.4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2" customHeight="1" x14ac:dyDescent="0.4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2" customHeight="1" x14ac:dyDescent="0.4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2" customHeight="1" x14ac:dyDescent="0.4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2" customHeight="1" x14ac:dyDescent="0.4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2" customHeight="1" x14ac:dyDescent="0.4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2" customHeight="1" x14ac:dyDescent="0.4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2" customHeight="1" x14ac:dyDescent="0.4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2" customHeight="1" x14ac:dyDescent="0.4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2" customHeight="1" x14ac:dyDescent="0.4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2" customHeight="1" x14ac:dyDescent="0.4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2" customHeight="1" x14ac:dyDescent="0.4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2" customHeight="1" x14ac:dyDescent="0.4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2" customHeight="1" x14ac:dyDescent="0.4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2" customHeight="1" x14ac:dyDescent="0.4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2" customHeight="1" x14ac:dyDescent="0.4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2" customHeight="1" x14ac:dyDescent="0.4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2" customHeight="1" x14ac:dyDescent="0.4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2" customHeight="1" x14ac:dyDescent="0.4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2" customHeight="1" x14ac:dyDescent="0.4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2" customHeight="1" x14ac:dyDescent="0.4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2" customHeight="1" x14ac:dyDescent="0.4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2" customHeight="1" x14ac:dyDescent="0.4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2" customHeight="1" x14ac:dyDescent="0.4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2" customHeight="1" x14ac:dyDescent="0.4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2" customHeight="1" x14ac:dyDescent="0.4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2" customHeight="1" x14ac:dyDescent="0.4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2" customHeight="1" x14ac:dyDescent="0.4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2" customHeight="1" x14ac:dyDescent="0.4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2" customHeight="1" x14ac:dyDescent="0.4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2" customHeight="1" x14ac:dyDescent="0.4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2" customHeight="1" x14ac:dyDescent="0.4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2" customHeight="1" x14ac:dyDescent="0.4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2" customHeight="1" x14ac:dyDescent="0.4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2" customHeight="1" x14ac:dyDescent="0.4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2" customHeight="1" x14ac:dyDescent="0.4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2" customHeight="1" x14ac:dyDescent="0.4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2" customHeight="1" x14ac:dyDescent="0.4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2" customHeight="1" x14ac:dyDescent="0.4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2" customHeight="1" x14ac:dyDescent="0.4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2" customHeight="1" x14ac:dyDescent="0.4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2" customHeight="1" x14ac:dyDescent="0.4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2" customHeight="1" x14ac:dyDescent="0.4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2" customHeight="1" x14ac:dyDescent="0.4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2" customHeight="1" x14ac:dyDescent="0.4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2" customHeight="1" x14ac:dyDescent="0.4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2" customHeight="1" x14ac:dyDescent="0.4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2" customHeight="1" x14ac:dyDescent="0.4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2" customHeight="1" x14ac:dyDescent="0.4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2" customHeight="1" x14ac:dyDescent="0.4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2" customHeight="1" x14ac:dyDescent="0.4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2" customHeight="1" x14ac:dyDescent="0.4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2" customHeight="1" x14ac:dyDescent="0.4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2" customHeight="1" x14ac:dyDescent="0.4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2" customHeight="1" x14ac:dyDescent="0.4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2" customHeight="1" x14ac:dyDescent="0.4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2" customHeight="1" x14ac:dyDescent="0.4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2" customHeight="1" x14ac:dyDescent="0.4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2" customHeight="1" x14ac:dyDescent="0.4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2" customHeight="1" x14ac:dyDescent="0.4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2" customHeight="1" x14ac:dyDescent="0.4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2" customHeight="1" x14ac:dyDescent="0.4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2" customHeight="1" x14ac:dyDescent="0.4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2" customHeight="1" x14ac:dyDescent="0.4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2" customHeight="1" x14ac:dyDescent="0.4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2" customHeight="1" x14ac:dyDescent="0.4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2" customHeight="1" x14ac:dyDescent="0.4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2" customHeight="1" x14ac:dyDescent="0.4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2" customHeight="1" x14ac:dyDescent="0.4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2" customHeight="1" x14ac:dyDescent="0.4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2" customHeight="1" x14ac:dyDescent="0.4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2" customHeight="1" x14ac:dyDescent="0.4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2" customHeight="1" x14ac:dyDescent="0.4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2" customHeight="1" x14ac:dyDescent="0.4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2" customHeight="1" x14ac:dyDescent="0.4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2" customHeight="1" x14ac:dyDescent="0.4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2" customHeight="1" x14ac:dyDescent="0.4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2" customHeight="1" x14ac:dyDescent="0.4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2" customHeight="1" x14ac:dyDescent="0.4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2" customHeight="1" x14ac:dyDescent="0.4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2" customHeight="1" x14ac:dyDescent="0.4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2" customHeight="1" x14ac:dyDescent="0.4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2" customHeight="1" x14ac:dyDescent="0.4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2" customHeight="1" x14ac:dyDescent="0.4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2" customHeight="1" x14ac:dyDescent="0.4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2" customHeight="1" x14ac:dyDescent="0.4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2" customHeight="1" x14ac:dyDescent="0.4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2" customHeight="1" x14ac:dyDescent="0.4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2" customHeight="1" x14ac:dyDescent="0.4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2" customHeight="1" x14ac:dyDescent="0.4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2" customHeight="1" x14ac:dyDescent="0.4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2" customHeight="1" x14ac:dyDescent="0.4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2" customHeight="1" x14ac:dyDescent="0.4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2" customHeight="1" x14ac:dyDescent="0.4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2" customHeight="1" x14ac:dyDescent="0.4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2" customHeight="1" x14ac:dyDescent="0.4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2" customHeight="1" x14ac:dyDescent="0.4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2" customHeight="1" x14ac:dyDescent="0.4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2" customHeight="1" x14ac:dyDescent="0.4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2" customHeight="1" x14ac:dyDescent="0.4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2" customHeight="1" x14ac:dyDescent="0.4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2" customHeight="1" x14ac:dyDescent="0.4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2" customHeight="1" x14ac:dyDescent="0.4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2" customHeight="1" x14ac:dyDescent="0.4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2" customHeight="1" x14ac:dyDescent="0.4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2" customHeight="1" x14ac:dyDescent="0.4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2" customHeight="1" x14ac:dyDescent="0.4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2" customHeight="1" x14ac:dyDescent="0.4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2" customHeight="1" x14ac:dyDescent="0.4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2" customHeight="1" x14ac:dyDescent="0.4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2" customHeight="1" x14ac:dyDescent="0.4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2" customHeight="1" x14ac:dyDescent="0.4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2" customHeight="1" x14ac:dyDescent="0.4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2" customHeight="1" x14ac:dyDescent="0.4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2" customHeight="1" x14ac:dyDescent="0.4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2" customHeight="1" x14ac:dyDescent="0.4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2" customHeight="1" x14ac:dyDescent="0.4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2" customHeight="1" x14ac:dyDescent="0.4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2" customHeight="1" x14ac:dyDescent="0.4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2" customHeight="1" x14ac:dyDescent="0.4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2" customHeight="1" x14ac:dyDescent="0.4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2" customHeight="1" x14ac:dyDescent="0.4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2" customHeight="1" x14ac:dyDescent="0.4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2" customHeight="1" x14ac:dyDescent="0.4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2" customHeight="1" x14ac:dyDescent="0.4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2" customHeight="1" x14ac:dyDescent="0.4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2" customHeight="1" x14ac:dyDescent="0.4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2" customHeight="1" x14ac:dyDescent="0.4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2" customHeight="1" x14ac:dyDescent="0.4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2" customHeight="1" x14ac:dyDescent="0.4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2" customHeight="1" x14ac:dyDescent="0.4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2" customHeight="1" x14ac:dyDescent="0.4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2" customHeight="1" x14ac:dyDescent="0.4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2" customHeight="1" x14ac:dyDescent="0.4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2" customHeight="1" x14ac:dyDescent="0.4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2" customHeight="1" x14ac:dyDescent="0.4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2" customHeight="1" x14ac:dyDescent="0.4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2" customHeight="1" x14ac:dyDescent="0.4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2" customHeight="1" x14ac:dyDescent="0.4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2" customHeight="1" x14ac:dyDescent="0.4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2" customHeight="1" x14ac:dyDescent="0.4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2" customHeight="1" x14ac:dyDescent="0.4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2" customHeight="1" x14ac:dyDescent="0.4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2" customHeight="1" x14ac:dyDescent="0.4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2" customHeight="1" x14ac:dyDescent="0.4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2" customHeight="1" x14ac:dyDescent="0.4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2" customHeight="1" x14ac:dyDescent="0.4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2" customHeight="1" x14ac:dyDescent="0.4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2" customHeight="1" x14ac:dyDescent="0.4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2" customHeight="1" x14ac:dyDescent="0.4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2" customHeight="1" x14ac:dyDescent="0.4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2" customHeight="1" x14ac:dyDescent="0.4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2" customHeight="1" x14ac:dyDescent="0.4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2" customHeight="1" x14ac:dyDescent="0.4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2" customHeight="1" x14ac:dyDescent="0.4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2" customHeight="1" x14ac:dyDescent="0.4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2" customHeight="1" x14ac:dyDescent="0.4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2" customHeight="1" x14ac:dyDescent="0.4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2" customHeight="1" x14ac:dyDescent="0.4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2" customHeight="1" x14ac:dyDescent="0.4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2" customHeight="1" x14ac:dyDescent="0.4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2" customHeight="1" x14ac:dyDescent="0.4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2" customHeight="1" x14ac:dyDescent="0.4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2" customHeight="1" x14ac:dyDescent="0.4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2" customHeight="1" x14ac:dyDescent="0.4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2" customHeight="1" x14ac:dyDescent="0.4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2" customHeight="1" x14ac:dyDescent="0.4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2" customHeight="1" x14ac:dyDescent="0.4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2" customHeight="1" x14ac:dyDescent="0.4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2" customHeight="1" x14ac:dyDescent="0.4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2" customHeight="1" x14ac:dyDescent="0.4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2" customHeight="1" x14ac:dyDescent="0.4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2" customHeight="1" x14ac:dyDescent="0.4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2" customHeight="1" x14ac:dyDescent="0.4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2" customHeight="1" x14ac:dyDescent="0.4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2" customHeight="1" x14ac:dyDescent="0.4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2" customHeight="1" x14ac:dyDescent="0.4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2" customHeight="1" x14ac:dyDescent="0.4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2" customHeight="1" x14ac:dyDescent="0.4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2" customHeight="1" x14ac:dyDescent="0.4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2" customHeight="1" x14ac:dyDescent="0.4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2" customHeight="1" x14ac:dyDescent="0.4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2" customHeight="1" x14ac:dyDescent="0.4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2" customHeight="1" x14ac:dyDescent="0.4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2" customHeight="1" x14ac:dyDescent="0.4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2" customHeight="1" x14ac:dyDescent="0.4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2" customHeight="1" x14ac:dyDescent="0.4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2" customHeight="1" x14ac:dyDescent="0.4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2" customHeight="1" x14ac:dyDescent="0.4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2" customHeight="1" x14ac:dyDescent="0.4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2" customHeight="1" x14ac:dyDescent="0.4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2" customHeight="1" x14ac:dyDescent="0.4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2" customHeight="1" x14ac:dyDescent="0.4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2" customHeight="1" x14ac:dyDescent="0.4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2" customHeight="1" x14ac:dyDescent="0.4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2" customHeight="1" x14ac:dyDescent="0.4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2" customHeight="1" x14ac:dyDescent="0.4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2" customHeight="1" x14ac:dyDescent="0.4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2" customHeight="1" x14ac:dyDescent="0.4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2" customHeight="1" x14ac:dyDescent="0.4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2" customHeight="1" x14ac:dyDescent="0.4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2" customHeight="1" x14ac:dyDescent="0.4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2" customHeight="1" x14ac:dyDescent="0.4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2" customHeight="1" x14ac:dyDescent="0.4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2" customHeight="1" x14ac:dyDescent="0.4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2" customHeight="1" x14ac:dyDescent="0.4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2" customHeight="1" x14ac:dyDescent="0.4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2" customHeight="1" x14ac:dyDescent="0.4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2" customHeight="1" x14ac:dyDescent="0.4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2" customHeight="1" x14ac:dyDescent="0.4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2" customHeight="1" x14ac:dyDescent="0.4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2" customHeight="1" x14ac:dyDescent="0.4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2" customHeight="1" x14ac:dyDescent="0.4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2" customHeight="1" x14ac:dyDescent="0.4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2" customHeight="1" x14ac:dyDescent="0.4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2" customHeight="1" x14ac:dyDescent="0.4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2" customHeight="1" x14ac:dyDescent="0.4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2" customHeight="1" x14ac:dyDescent="0.4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2" customHeight="1" x14ac:dyDescent="0.4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2" customHeight="1" x14ac:dyDescent="0.4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2" customHeight="1" x14ac:dyDescent="0.4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2" customHeight="1" x14ac:dyDescent="0.4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2" customHeight="1" x14ac:dyDescent="0.4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2" customHeight="1" x14ac:dyDescent="0.4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2" customHeight="1" x14ac:dyDescent="0.4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2" customHeight="1" x14ac:dyDescent="0.4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2" customHeight="1" x14ac:dyDescent="0.4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2" customHeight="1" x14ac:dyDescent="0.4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2" customHeight="1" x14ac:dyDescent="0.4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2" customHeight="1" x14ac:dyDescent="0.4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2" customHeight="1" x14ac:dyDescent="0.4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2" customHeight="1" x14ac:dyDescent="0.4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2" customHeight="1" x14ac:dyDescent="0.4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2" customHeight="1" x14ac:dyDescent="0.4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2" customHeight="1" x14ac:dyDescent="0.4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2" customHeight="1" x14ac:dyDescent="0.4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2" customHeight="1" x14ac:dyDescent="0.4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2" customHeight="1" x14ac:dyDescent="0.4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2" customHeight="1" x14ac:dyDescent="0.4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2" customHeight="1" x14ac:dyDescent="0.4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2" customHeight="1" x14ac:dyDescent="0.4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2" customHeight="1" x14ac:dyDescent="0.4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2" customHeight="1" x14ac:dyDescent="0.4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2" customHeight="1" x14ac:dyDescent="0.4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2" customHeight="1" x14ac:dyDescent="0.4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2" customHeight="1" x14ac:dyDescent="0.4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2" customHeight="1" x14ac:dyDescent="0.4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2" customHeight="1" x14ac:dyDescent="0.4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2" customHeight="1" x14ac:dyDescent="0.4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2" customHeight="1" x14ac:dyDescent="0.4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2" customHeight="1" x14ac:dyDescent="0.4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2" customHeight="1" x14ac:dyDescent="0.4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2" customHeight="1" x14ac:dyDescent="0.4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2" customHeight="1" x14ac:dyDescent="0.4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2" customHeight="1" x14ac:dyDescent="0.4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2" customHeight="1" x14ac:dyDescent="0.4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2" customHeight="1" x14ac:dyDescent="0.4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2" customHeight="1" x14ac:dyDescent="0.4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2" customHeight="1" x14ac:dyDescent="0.4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2" customHeight="1" x14ac:dyDescent="0.4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2" customHeight="1" x14ac:dyDescent="0.4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2" customHeight="1" x14ac:dyDescent="0.4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2" customHeight="1" x14ac:dyDescent="0.4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2" customHeight="1" x14ac:dyDescent="0.4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2" customHeight="1" x14ac:dyDescent="0.4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2" customHeight="1" x14ac:dyDescent="0.4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2" customHeight="1" x14ac:dyDescent="0.4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2" customHeight="1" x14ac:dyDescent="0.4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2" customHeight="1" x14ac:dyDescent="0.4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2" customHeight="1" x14ac:dyDescent="0.4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2" customHeight="1" x14ac:dyDescent="0.4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2" customHeight="1" x14ac:dyDescent="0.4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2" customHeight="1" x14ac:dyDescent="0.4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2" customHeight="1" x14ac:dyDescent="0.4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2" customHeight="1" x14ac:dyDescent="0.4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2" customHeight="1" x14ac:dyDescent="0.4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2" customHeight="1" x14ac:dyDescent="0.4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2" customHeight="1" x14ac:dyDescent="0.4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2" customHeight="1" x14ac:dyDescent="0.4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2" customHeight="1" x14ac:dyDescent="0.4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2" customHeight="1" x14ac:dyDescent="0.4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2" customHeight="1" x14ac:dyDescent="0.4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2" customHeight="1" x14ac:dyDescent="0.4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2" customHeight="1" x14ac:dyDescent="0.4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2" customHeight="1" x14ac:dyDescent="0.4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2" customHeight="1" x14ac:dyDescent="0.4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2" customHeight="1" x14ac:dyDescent="0.4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2" customHeight="1" x14ac:dyDescent="0.4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2" customHeight="1" x14ac:dyDescent="0.4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2" customHeight="1" x14ac:dyDescent="0.4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2" customHeight="1" x14ac:dyDescent="0.4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2" customHeight="1" x14ac:dyDescent="0.4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2" customHeight="1" x14ac:dyDescent="0.4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2" customHeight="1" x14ac:dyDescent="0.4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2" customHeight="1" x14ac:dyDescent="0.4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2" customHeight="1" x14ac:dyDescent="0.4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2" customHeight="1" x14ac:dyDescent="0.4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2" customHeight="1" x14ac:dyDescent="0.4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2" customHeight="1" x14ac:dyDescent="0.4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2" customHeight="1" x14ac:dyDescent="0.4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2" customHeight="1" x14ac:dyDescent="0.4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2" customHeight="1" x14ac:dyDescent="0.4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2" customHeight="1" x14ac:dyDescent="0.4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2" customHeight="1" x14ac:dyDescent="0.4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2" customHeight="1" x14ac:dyDescent="0.4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2" customHeight="1" x14ac:dyDescent="0.4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2" customHeight="1" x14ac:dyDescent="0.4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2" customHeight="1" x14ac:dyDescent="0.4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2" customHeight="1" x14ac:dyDescent="0.4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2" customHeight="1" x14ac:dyDescent="0.4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2" customHeight="1" x14ac:dyDescent="0.4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2" customHeight="1" x14ac:dyDescent="0.4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2" customHeight="1" x14ac:dyDescent="0.4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2" customHeight="1" x14ac:dyDescent="0.4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2" customHeight="1" x14ac:dyDescent="0.4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2" customHeight="1" x14ac:dyDescent="0.4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2" customHeight="1" x14ac:dyDescent="0.4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2" customHeight="1" x14ac:dyDescent="0.4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2" customHeight="1" x14ac:dyDescent="0.4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2" customHeight="1" x14ac:dyDescent="0.4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2" customHeight="1" x14ac:dyDescent="0.4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2" customHeight="1" x14ac:dyDescent="0.4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2" customHeight="1" x14ac:dyDescent="0.4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2" customHeight="1" x14ac:dyDescent="0.4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2" customHeight="1" x14ac:dyDescent="0.4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2" customHeight="1" x14ac:dyDescent="0.4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2" customHeight="1" x14ac:dyDescent="0.4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2" customHeight="1" x14ac:dyDescent="0.4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2" customHeight="1" x14ac:dyDescent="0.4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2" customHeight="1" x14ac:dyDescent="0.4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2" customHeight="1" x14ac:dyDescent="0.4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2" customHeight="1" x14ac:dyDescent="0.4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2" customHeight="1" x14ac:dyDescent="0.4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2" customHeight="1" x14ac:dyDescent="0.4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2" customHeight="1" x14ac:dyDescent="0.4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2" customHeight="1" x14ac:dyDescent="0.4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2" customHeight="1" x14ac:dyDescent="0.4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2" customHeight="1" x14ac:dyDescent="0.4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2" customHeight="1" x14ac:dyDescent="0.4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2" customHeight="1" x14ac:dyDescent="0.4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2" customHeight="1" x14ac:dyDescent="0.4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2" customHeight="1" x14ac:dyDescent="0.4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2" customHeight="1" x14ac:dyDescent="0.4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2" customHeight="1" x14ac:dyDescent="0.4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2" customHeight="1" x14ac:dyDescent="0.4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2" customHeight="1" x14ac:dyDescent="0.4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2" customHeight="1" x14ac:dyDescent="0.4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2" customHeight="1" x14ac:dyDescent="0.4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2" customHeight="1" x14ac:dyDescent="0.4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2" customHeight="1" x14ac:dyDescent="0.4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2" customHeight="1" x14ac:dyDescent="0.4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2" customHeight="1" x14ac:dyDescent="0.4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2" customHeight="1" x14ac:dyDescent="0.4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2" customHeight="1" x14ac:dyDescent="0.4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2" customHeight="1" x14ac:dyDescent="0.4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2" customHeight="1" x14ac:dyDescent="0.4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2" customHeight="1" x14ac:dyDescent="0.4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2" customHeight="1" x14ac:dyDescent="0.4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2" customHeight="1" x14ac:dyDescent="0.4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2" customHeight="1" x14ac:dyDescent="0.4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2" customHeight="1" x14ac:dyDescent="0.4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2" customHeight="1" x14ac:dyDescent="0.4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2" customHeight="1" x14ac:dyDescent="0.4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2" customHeight="1" x14ac:dyDescent="0.4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2" customHeight="1" x14ac:dyDescent="0.4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2" customHeight="1" x14ac:dyDescent="0.4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2" customHeight="1" x14ac:dyDescent="0.4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2" customHeight="1" x14ac:dyDescent="0.4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2" customHeight="1" x14ac:dyDescent="0.4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2" customHeight="1" x14ac:dyDescent="0.4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2" customHeight="1" x14ac:dyDescent="0.4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2" customHeight="1" x14ac:dyDescent="0.4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2" customHeight="1" x14ac:dyDescent="0.4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2" customHeight="1" x14ac:dyDescent="0.4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2" customHeight="1" x14ac:dyDescent="0.4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2" customHeight="1" x14ac:dyDescent="0.4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2" customHeight="1" x14ac:dyDescent="0.4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2" customHeight="1" x14ac:dyDescent="0.4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2" customHeight="1" x14ac:dyDescent="0.4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2" customHeight="1" x14ac:dyDescent="0.4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2" customHeight="1" x14ac:dyDescent="0.4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2" customHeight="1" x14ac:dyDescent="0.4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2" customHeight="1" x14ac:dyDescent="0.4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2" customHeight="1" x14ac:dyDescent="0.4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2" customHeight="1" x14ac:dyDescent="0.4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2" customHeight="1" x14ac:dyDescent="0.4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2" customHeight="1" x14ac:dyDescent="0.4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2" customHeight="1" x14ac:dyDescent="0.4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2" customHeight="1" x14ac:dyDescent="0.4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2" customHeight="1" x14ac:dyDescent="0.4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2" customHeight="1" x14ac:dyDescent="0.4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2" customHeight="1" x14ac:dyDescent="0.4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2" customHeight="1" x14ac:dyDescent="0.4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2" customHeight="1" x14ac:dyDescent="0.4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2" customHeight="1" x14ac:dyDescent="0.4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2" customHeight="1" x14ac:dyDescent="0.4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2" customHeight="1" x14ac:dyDescent="0.4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2" customHeight="1" x14ac:dyDescent="0.4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2" customHeight="1" x14ac:dyDescent="0.4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2" customHeight="1" x14ac:dyDescent="0.4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2" customHeight="1" x14ac:dyDescent="0.4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2" customHeight="1" x14ac:dyDescent="0.4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2" customHeight="1" x14ac:dyDescent="0.4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2" customHeight="1" x14ac:dyDescent="0.4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2" customHeight="1" x14ac:dyDescent="0.4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2" customHeight="1" x14ac:dyDescent="0.4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2" customHeight="1" x14ac:dyDescent="0.4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2" customHeight="1" x14ac:dyDescent="0.4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2" customHeight="1" x14ac:dyDescent="0.4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2" customHeight="1" x14ac:dyDescent="0.4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2" customHeight="1" x14ac:dyDescent="0.4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2" customHeight="1" x14ac:dyDescent="0.4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2" customHeight="1" x14ac:dyDescent="0.4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2" customHeight="1" x14ac:dyDescent="0.4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2" customHeight="1" x14ac:dyDescent="0.4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2" customHeight="1" x14ac:dyDescent="0.4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2" customHeight="1" x14ac:dyDescent="0.4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2" customHeight="1" x14ac:dyDescent="0.4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2" customHeight="1" x14ac:dyDescent="0.4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2" customHeight="1" x14ac:dyDescent="0.4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2" customHeight="1" x14ac:dyDescent="0.4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2" customHeight="1" x14ac:dyDescent="0.4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2" customHeight="1" x14ac:dyDescent="0.4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2" customHeight="1" x14ac:dyDescent="0.4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2" customHeight="1" x14ac:dyDescent="0.4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2" customHeight="1" x14ac:dyDescent="0.4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2" customHeight="1" x14ac:dyDescent="0.4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2" customHeight="1" x14ac:dyDescent="0.4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2" customHeight="1" x14ac:dyDescent="0.4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2" customHeight="1" x14ac:dyDescent="0.4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2" customHeight="1" x14ac:dyDescent="0.4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2" customHeight="1" x14ac:dyDescent="0.4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2" customHeight="1" x14ac:dyDescent="0.4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2" customHeight="1" x14ac:dyDescent="0.4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2" customHeight="1" x14ac:dyDescent="0.4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2" customHeight="1" x14ac:dyDescent="0.4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2" customHeight="1" x14ac:dyDescent="0.4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2" customHeight="1" x14ac:dyDescent="0.4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2" customHeight="1" x14ac:dyDescent="0.4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2" customHeight="1" x14ac:dyDescent="0.4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2" customHeight="1" x14ac:dyDescent="0.4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2" customHeight="1" x14ac:dyDescent="0.4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2" customHeight="1" x14ac:dyDescent="0.4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2" customHeight="1" x14ac:dyDescent="0.4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2" customHeight="1" x14ac:dyDescent="0.4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2" customHeight="1" x14ac:dyDescent="0.4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2" customHeight="1" x14ac:dyDescent="0.4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2" customHeight="1" x14ac:dyDescent="0.4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2" customHeight="1" x14ac:dyDescent="0.4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2" customHeight="1" x14ac:dyDescent="0.4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2" customHeight="1" x14ac:dyDescent="0.4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2" customHeight="1" x14ac:dyDescent="0.4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2" customHeight="1" x14ac:dyDescent="0.4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2" customHeight="1" x14ac:dyDescent="0.4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2" customHeight="1" x14ac:dyDescent="0.4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2" customHeight="1" x14ac:dyDescent="0.4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2" customHeight="1" x14ac:dyDescent="0.4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2" customHeight="1" x14ac:dyDescent="0.4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2" customHeight="1" x14ac:dyDescent="0.4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2" customHeight="1" x14ac:dyDescent="0.4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2" customHeight="1" x14ac:dyDescent="0.4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2" customHeight="1" x14ac:dyDescent="0.4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2" customHeight="1" x14ac:dyDescent="0.4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2" customHeight="1" x14ac:dyDescent="0.4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2" customHeight="1" x14ac:dyDescent="0.4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2" customHeight="1" x14ac:dyDescent="0.4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2" customHeight="1" x14ac:dyDescent="0.4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2" customHeight="1" x14ac:dyDescent="0.4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2" customHeight="1" x14ac:dyDescent="0.4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2" customHeight="1" x14ac:dyDescent="0.4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2" customHeight="1" x14ac:dyDescent="0.4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2" customHeight="1" x14ac:dyDescent="0.4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2" customHeight="1" x14ac:dyDescent="0.4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2" customHeight="1" x14ac:dyDescent="0.4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2" customHeight="1" x14ac:dyDescent="0.4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2" customHeight="1" x14ac:dyDescent="0.4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2" customHeight="1" x14ac:dyDescent="0.4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2" customHeight="1" x14ac:dyDescent="0.4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2" customHeight="1" x14ac:dyDescent="0.4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2" customHeight="1" x14ac:dyDescent="0.4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2" customHeight="1" x14ac:dyDescent="0.4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2" customHeight="1" x14ac:dyDescent="0.4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2" customHeight="1" x14ac:dyDescent="0.4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2" customHeight="1" x14ac:dyDescent="0.4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2" customHeight="1" x14ac:dyDescent="0.4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2" customHeight="1" x14ac:dyDescent="0.4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2" customHeight="1" x14ac:dyDescent="0.4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2" customHeight="1" x14ac:dyDescent="0.4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2" customHeight="1" x14ac:dyDescent="0.4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2" customHeight="1" x14ac:dyDescent="0.4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2" customHeight="1" x14ac:dyDescent="0.4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2" customHeight="1" x14ac:dyDescent="0.4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2" customHeight="1" x14ac:dyDescent="0.4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2" customHeight="1" x14ac:dyDescent="0.4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2" customHeight="1" x14ac:dyDescent="0.4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2" customHeight="1" x14ac:dyDescent="0.4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2" customHeight="1" x14ac:dyDescent="0.4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2" customHeight="1" x14ac:dyDescent="0.4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2" customHeight="1" x14ac:dyDescent="0.4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2" customHeight="1" x14ac:dyDescent="0.4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2" customHeight="1" x14ac:dyDescent="0.4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2" customHeight="1" x14ac:dyDescent="0.4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2" customHeight="1" x14ac:dyDescent="0.4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2" customHeight="1" x14ac:dyDescent="0.4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2" customHeight="1" x14ac:dyDescent="0.4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2" customHeight="1" x14ac:dyDescent="0.4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2" customHeight="1" x14ac:dyDescent="0.4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2" customHeight="1" x14ac:dyDescent="0.4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2" customHeight="1" x14ac:dyDescent="0.4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2" customHeight="1" x14ac:dyDescent="0.4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2" customHeight="1" x14ac:dyDescent="0.4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2" customHeight="1" x14ac:dyDescent="0.4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2" customHeight="1" x14ac:dyDescent="0.4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2" customHeight="1" x14ac:dyDescent="0.4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2" customHeight="1" x14ac:dyDescent="0.4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2" customHeight="1" x14ac:dyDescent="0.4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2" customHeight="1" x14ac:dyDescent="0.4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2" customHeight="1" x14ac:dyDescent="0.4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2" customHeight="1" x14ac:dyDescent="0.4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2" customHeight="1" x14ac:dyDescent="0.4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2" customHeight="1" x14ac:dyDescent="0.4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2" customHeight="1" x14ac:dyDescent="0.4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2" customHeight="1" x14ac:dyDescent="0.4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2" customHeight="1" x14ac:dyDescent="0.4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2" customHeight="1" x14ac:dyDescent="0.4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2" customHeight="1" x14ac:dyDescent="0.4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2" customHeight="1" x14ac:dyDescent="0.4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2" customHeight="1" x14ac:dyDescent="0.4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2" customHeight="1" x14ac:dyDescent="0.4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2" customHeight="1" x14ac:dyDescent="0.4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2" customHeight="1" x14ac:dyDescent="0.4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2" customHeight="1" x14ac:dyDescent="0.4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2" customHeight="1" x14ac:dyDescent="0.4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2" customHeight="1" x14ac:dyDescent="0.4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2" customHeight="1" x14ac:dyDescent="0.4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2" customHeight="1" x14ac:dyDescent="0.4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2" customHeight="1" x14ac:dyDescent="0.4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2" customHeight="1" x14ac:dyDescent="0.4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2" customHeight="1" x14ac:dyDescent="0.4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2" customHeight="1" x14ac:dyDescent="0.4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2" customHeight="1" x14ac:dyDescent="0.4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2" customHeight="1" x14ac:dyDescent="0.4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2" customHeight="1" x14ac:dyDescent="0.4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2" customHeight="1" x14ac:dyDescent="0.4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2" customHeight="1" x14ac:dyDescent="0.4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2" customHeight="1" x14ac:dyDescent="0.4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2" customHeight="1" x14ac:dyDescent="0.4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2" customHeight="1" x14ac:dyDescent="0.4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2" customHeight="1" x14ac:dyDescent="0.4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2" customHeight="1" x14ac:dyDescent="0.4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2" customHeight="1" x14ac:dyDescent="0.4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2" customHeight="1" x14ac:dyDescent="0.4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2" customHeight="1" x14ac:dyDescent="0.4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2" customHeight="1" x14ac:dyDescent="0.4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2" customHeight="1" x14ac:dyDescent="0.4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2" customHeight="1" x14ac:dyDescent="0.4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2" customHeight="1" x14ac:dyDescent="0.4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2" customHeight="1" x14ac:dyDescent="0.4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2" customHeight="1" x14ac:dyDescent="0.4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2" customHeight="1" x14ac:dyDescent="0.4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2" customHeight="1" x14ac:dyDescent="0.4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2" customHeight="1" x14ac:dyDescent="0.4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2" customHeight="1" x14ac:dyDescent="0.4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2" customHeight="1" x14ac:dyDescent="0.4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2" customHeight="1" x14ac:dyDescent="0.4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2" customHeight="1" x14ac:dyDescent="0.4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2" customHeight="1" x14ac:dyDescent="0.4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2" customHeight="1" x14ac:dyDescent="0.4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2" customHeight="1" x14ac:dyDescent="0.4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2" customHeight="1" x14ac:dyDescent="0.4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2" customHeight="1" x14ac:dyDescent="0.4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2" customHeight="1" x14ac:dyDescent="0.4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2" customHeight="1" x14ac:dyDescent="0.4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2" customHeight="1" x14ac:dyDescent="0.4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2" customHeight="1" x14ac:dyDescent="0.4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2" customHeight="1" x14ac:dyDescent="0.4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2" customHeight="1" x14ac:dyDescent="0.4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2" customHeight="1" x14ac:dyDescent="0.4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2" customHeight="1" x14ac:dyDescent="0.4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2" customHeight="1" x14ac:dyDescent="0.4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2" customHeight="1" x14ac:dyDescent="0.4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2" customHeight="1" x14ac:dyDescent="0.4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2" customHeight="1" x14ac:dyDescent="0.4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2" customHeight="1" x14ac:dyDescent="0.4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2" customHeight="1" x14ac:dyDescent="0.4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2" customHeight="1" x14ac:dyDescent="0.4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2" customHeight="1" x14ac:dyDescent="0.4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2" customHeight="1" x14ac:dyDescent="0.4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2" customHeight="1" x14ac:dyDescent="0.4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2" customHeight="1" x14ac:dyDescent="0.4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2" customHeight="1" x14ac:dyDescent="0.4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2" customHeight="1" x14ac:dyDescent="0.4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2" customHeight="1" x14ac:dyDescent="0.4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2" customHeight="1" x14ac:dyDescent="0.4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2" customHeight="1" x14ac:dyDescent="0.4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2" customHeight="1" x14ac:dyDescent="0.4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2" customHeight="1" x14ac:dyDescent="0.4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2" customHeight="1" x14ac:dyDescent="0.4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2" customHeight="1" x14ac:dyDescent="0.4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2" customHeight="1" x14ac:dyDescent="0.4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2" customHeight="1" x14ac:dyDescent="0.4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2" customHeight="1" x14ac:dyDescent="0.4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2" customHeight="1" x14ac:dyDescent="0.4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2" customHeight="1" x14ac:dyDescent="0.4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2" customHeight="1" x14ac:dyDescent="0.4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2" customHeight="1" x14ac:dyDescent="0.4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2" customHeight="1" x14ac:dyDescent="0.4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2" customHeight="1" x14ac:dyDescent="0.4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2" customHeight="1" x14ac:dyDescent="0.4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2" customHeight="1" x14ac:dyDescent="0.4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2" customHeight="1" x14ac:dyDescent="0.4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2" customHeight="1" x14ac:dyDescent="0.4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2" customHeight="1" x14ac:dyDescent="0.4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2" customHeight="1" x14ac:dyDescent="0.4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2" customHeight="1" x14ac:dyDescent="0.4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2" customHeight="1" x14ac:dyDescent="0.4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2" customHeight="1" x14ac:dyDescent="0.4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2" customHeight="1" x14ac:dyDescent="0.4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2" customHeight="1" x14ac:dyDescent="0.4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2" customHeight="1" x14ac:dyDescent="0.4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2" customHeight="1" x14ac:dyDescent="0.4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2" customHeight="1" x14ac:dyDescent="0.4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2" customHeight="1" x14ac:dyDescent="0.4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2" customHeight="1" x14ac:dyDescent="0.4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2" customHeight="1" x14ac:dyDescent="0.4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2" customHeight="1" x14ac:dyDescent="0.4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2" customHeight="1" x14ac:dyDescent="0.4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2" customHeight="1" x14ac:dyDescent="0.4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2" customHeight="1" x14ac:dyDescent="0.4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2" customHeight="1" x14ac:dyDescent="0.4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2" customHeight="1" x14ac:dyDescent="0.4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2" customHeight="1" x14ac:dyDescent="0.4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2" customHeight="1" x14ac:dyDescent="0.4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2" customHeight="1" x14ac:dyDescent="0.4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2" customHeight="1" x14ac:dyDescent="0.4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2" customHeight="1" x14ac:dyDescent="0.4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2" customHeight="1" x14ac:dyDescent="0.4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2" customHeight="1" x14ac:dyDescent="0.4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2" customHeight="1" x14ac:dyDescent="0.4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2" customHeight="1" x14ac:dyDescent="0.4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2" customHeight="1" x14ac:dyDescent="0.4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2" customHeight="1" x14ac:dyDescent="0.4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2" customHeight="1" x14ac:dyDescent="0.4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2" customHeight="1" x14ac:dyDescent="0.4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2" customHeight="1" x14ac:dyDescent="0.4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2" customHeight="1" x14ac:dyDescent="0.4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2" customHeight="1" x14ac:dyDescent="0.4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2" customHeight="1" x14ac:dyDescent="0.4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2" customHeight="1" x14ac:dyDescent="0.4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2" customHeight="1" x14ac:dyDescent="0.4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2" customHeight="1" x14ac:dyDescent="0.4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2" customHeight="1" x14ac:dyDescent="0.4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2" customHeight="1" x14ac:dyDescent="0.4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2" customHeight="1" x14ac:dyDescent="0.4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2" customHeight="1" x14ac:dyDescent="0.4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2" customHeight="1" x14ac:dyDescent="0.4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2" customHeight="1" x14ac:dyDescent="0.4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2" customHeight="1" x14ac:dyDescent="0.4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2" customHeight="1" x14ac:dyDescent="0.4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2" customHeight="1" x14ac:dyDescent="0.4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2" customHeight="1" x14ac:dyDescent="0.4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2" customHeight="1" x14ac:dyDescent="0.4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2" customHeight="1" x14ac:dyDescent="0.4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2" customHeight="1" x14ac:dyDescent="0.4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2" customHeight="1" x14ac:dyDescent="0.4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2" customHeight="1" x14ac:dyDescent="0.4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2" customHeight="1" x14ac:dyDescent="0.4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2" customHeight="1" x14ac:dyDescent="0.4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2" customHeight="1" x14ac:dyDescent="0.4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2" customHeight="1" x14ac:dyDescent="0.4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2" customHeight="1" x14ac:dyDescent="0.4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2" customHeight="1" x14ac:dyDescent="0.4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2" customHeight="1" x14ac:dyDescent="0.4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2" customHeight="1" x14ac:dyDescent="0.4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2" customHeight="1" x14ac:dyDescent="0.4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2" customHeight="1" x14ac:dyDescent="0.4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2" customHeight="1" x14ac:dyDescent="0.4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2" customHeight="1" x14ac:dyDescent="0.4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2" customHeight="1" x14ac:dyDescent="0.4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2" customHeight="1" x14ac:dyDescent="0.4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2" customHeight="1" x14ac:dyDescent="0.4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2" customHeight="1" x14ac:dyDescent="0.4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2" customHeight="1" x14ac:dyDescent="0.4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2" customHeight="1" x14ac:dyDescent="0.4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2" customHeight="1" x14ac:dyDescent="0.4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2" customHeight="1" x14ac:dyDescent="0.4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2" customHeight="1" x14ac:dyDescent="0.4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2" customHeight="1" x14ac:dyDescent="0.4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2" customHeight="1" x14ac:dyDescent="0.4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2" customHeight="1" x14ac:dyDescent="0.4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2" customHeight="1" x14ac:dyDescent="0.4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2" customHeight="1" x14ac:dyDescent="0.4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2" customHeight="1" x14ac:dyDescent="0.4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2" customHeight="1" x14ac:dyDescent="0.4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2" customHeight="1" x14ac:dyDescent="0.4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2" customHeight="1" x14ac:dyDescent="0.4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2" customHeight="1" x14ac:dyDescent="0.4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2" customHeight="1" x14ac:dyDescent="0.4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2" customHeight="1" x14ac:dyDescent="0.4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2" customHeight="1" x14ac:dyDescent="0.4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2" customHeight="1" x14ac:dyDescent="0.4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2" customHeight="1" x14ac:dyDescent="0.4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2" customHeight="1" x14ac:dyDescent="0.4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2" customHeight="1" x14ac:dyDescent="0.4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2" customHeight="1" x14ac:dyDescent="0.4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2" customHeight="1" x14ac:dyDescent="0.4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2" customHeight="1" x14ac:dyDescent="0.4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2" customHeight="1" x14ac:dyDescent="0.4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2" customHeight="1" x14ac:dyDescent="0.4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2" customHeight="1" x14ac:dyDescent="0.4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2" customHeight="1" x14ac:dyDescent="0.4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2" customHeight="1" x14ac:dyDescent="0.4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2" customHeight="1" x14ac:dyDescent="0.4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2" customHeight="1" x14ac:dyDescent="0.4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2" customHeight="1" x14ac:dyDescent="0.4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2" customHeight="1" x14ac:dyDescent="0.4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2" customHeight="1" x14ac:dyDescent="0.4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2" customHeight="1" x14ac:dyDescent="0.4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2" customHeight="1" x14ac:dyDescent="0.4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2" customHeight="1" x14ac:dyDescent="0.4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2" customHeight="1" x14ac:dyDescent="0.4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2" customHeight="1" x14ac:dyDescent="0.4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2" customHeight="1" x14ac:dyDescent="0.4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2" customHeight="1" x14ac:dyDescent="0.4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2" customHeight="1" x14ac:dyDescent="0.4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2" customHeight="1" x14ac:dyDescent="0.4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2" customHeight="1" x14ac:dyDescent="0.4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2" customHeight="1" x14ac:dyDescent="0.4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2" customHeight="1" x14ac:dyDescent="0.4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2" customHeight="1" x14ac:dyDescent="0.4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2" customHeight="1" x14ac:dyDescent="0.4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2" customHeight="1" x14ac:dyDescent="0.4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2" customHeight="1" x14ac:dyDescent="0.4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2" customHeight="1" x14ac:dyDescent="0.4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2" customHeight="1" x14ac:dyDescent="0.4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2" customHeight="1" x14ac:dyDescent="0.4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2" customHeight="1" x14ac:dyDescent="0.4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2" customHeight="1" x14ac:dyDescent="0.4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2" customHeight="1" x14ac:dyDescent="0.4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2" customHeight="1" x14ac:dyDescent="0.4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2" customHeight="1" x14ac:dyDescent="0.4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2" customHeight="1" x14ac:dyDescent="0.4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2" customHeight="1" x14ac:dyDescent="0.4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2" customHeight="1" x14ac:dyDescent="0.4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2" customHeight="1" x14ac:dyDescent="0.4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2" customHeight="1" x14ac:dyDescent="0.4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2" customHeight="1" x14ac:dyDescent="0.4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2" customHeight="1" x14ac:dyDescent="0.4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2" customHeight="1" x14ac:dyDescent="0.4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2" customHeight="1" x14ac:dyDescent="0.4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2" customHeight="1" x14ac:dyDescent="0.4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2" customHeight="1" x14ac:dyDescent="0.4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2" customHeight="1" x14ac:dyDescent="0.4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2" customHeight="1" x14ac:dyDescent="0.4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2" customHeight="1" x14ac:dyDescent="0.4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2" customHeight="1" x14ac:dyDescent="0.4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2" customHeight="1" x14ac:dyDescent="0.4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2" customHeight="1" x14ac:dyDescent="0.4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2" customHeight="1" x14ac:dyDescent="0.4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2" customHeight="1" x14ac:dyDescent="0.4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2" customHeight="1" x14ac:dyDescent="0.4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2" customHeight="1" x14ac:dyDescent="0.4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2" customHeight="1" x14ac:dyDescent="0.4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2" customHeight="1" x14ac:dyDescent="0.4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2" customHeight="1" x14ac:dyDescent="0.4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2" customHeight="1" x14ac:dyDescent="0.4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2" customHeight="1" x14ac:dyDescent="0.4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2" customHeight="1" x14ac:dyDescent="0.4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2" customHeight="1" x14ac:dyDescent="0.4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2" customHeight="1" x14ac:dyDescent="0.4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2" customHeight="1" x14ac:dyDescent="0.4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2" customHeight="1" x14ac:dyDescent="0.4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2" customHeight="1" x14ac:dyDescent="0.4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2" customHeight="1" x14ac:dyDescent="0.4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2" customHeight="1" x14ac:dyDescent="0.4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2" customHeight="1" x14ac:dyDescent="0.4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2" customHeight="1" x14ac:dyDescent="0.4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2" customHeight="1" x14ac:dyDescent="0.4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2" customHeight="1" x14ac:dyDescent="0.4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2" customHeight="1" x14ac:dyDescent="0.4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2" customHeight="1" x14ac:dyDescent="0.4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2" customHeight="1" x14ac:dyDescent="0.4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2" customHeight="1" x14ac:dyDescent="0.4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2" customHeight="1" x14ac:dyDescent="0.4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2" customHeight="1" x14ac:dyDescent="0.4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2" customHeight="1" x14ac:dyDescent="0.4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2" customHeight="1" x14ac:dyDescent="0.4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2" customHeight="1" x14ac:dyDescent="0.4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2" customHeight="1" x14ac:dyDescent="0.4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2" customHeight="1" x14ac:dyDescent="0.4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2" customHeight="1" x14ac:dyDescent="0.4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2" customHeight="1" x14ac:dyDescent="0.4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2" customHeight="1" x14ac:dyDescent="0.4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2" customHeight="1" x14ac:dyDescent="0.4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2" customHeight="1" x14ac:dyDescent="0.4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2" customHeight="1" x14ac:dyDescent="0.4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2" customHeight="1" x14ac:dyDescent="0.4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2" customHeight="1" x14ac:dyDescent="0.4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2" customHeight="1" x14ac:dyDescent="0.4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2" customHeight="1" x14ac:dyDescent="0.4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2" customHeight="1" x14ac:dyDescent="0.4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2" customHeight="1" x14ac:dyDescent="0.4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2" customHeight="1" x14ac:dyDescent="0.4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2" customHeight="1" x14ac:dyDescent="0.4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2" customHeight="1" x14ac:dyDescent="0.4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2" customHeight="1" x14ac:dyDescent="0.4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2" customHeight="1" x14ac:dyDescent="0.4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2" customHeight="1" x14ac:dyDescent="0.4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2" customHeight="1" x14ac:dyDescent="0.4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2" customHeight="1" x14ac:dyDescent="0.4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2" customHeight="1" x14ac:dyDescent="0.4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2" customHeight="1" x14ac:dyDescent="0.4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2" customHeight="1" x14ac:dyDescent="0.4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2" customHeight="1" x14ac:dyDescent="0.4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2" customHeight="1" x14ac:dyDescent="0.4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2" customHeight="1" x14ac:dyDescent="0.4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2" customHeight="1" x14ac:dyDescent="0.4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2" customHeight="1" x14ac:dyDescent="0.4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2" customHeight="1" x14ac:dyDescent="0.4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2" customHeight="1" x14ac:dyDescent="0.4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2" customHeight="1" x14ac:dyDescent="0.4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2" customHeight="1" x14ac:dyDescent="0.4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2" customHeight="1" x14ac:dyDescent="0.4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2" customHeight="1" x14ac:dyDescent="0.4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2" customHeight="1" x14ac:dyDescent="0.4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2" customHeight="1" x14ac:dyDescent="0.4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2" customHeight="1" x14ac:dyDescent="0.4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2" customHeight="1" x14ac:dyDescent="0.4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2" customHeight="1" x14ac:dyDescent="0.4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2" customHeight="1" x14ac:dyDescent="0.4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2" customHeight="1" x14ac:dyDescent="0.4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2" customHeight="1" x14ac:dyDescent="0.4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2" customHeight="1" x14ac:dyDescent="0.4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2" customHeight="1" x14ac:dyDescent="0.4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2" customHeight="1" x14ac:dyDescent="0.4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2" customHeight="1" x14ac:dyDescent="0.4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2" customHeight="1" x14ac:dyDescent="0.4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2" customHeight="1" x14ac:dyDescent="0.4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2" customHeight="1" x14ac:dyDescent="0.4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2" customHeight="1" x14ac:dyDescent="0.4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2" customHeight="1" x14ac:dyDescent="0.4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2" customHeight="1" x14ac:dyDescent="0.4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2" customHeight="1" x14ac:dyDescent="0.4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2" customHeight="1" x14ac:dyDescent="0.4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2" customHeight="1" x14ac:dyDescent="0.4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2" customHeight="1" x14ac:dyDescent="0.4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2" customHeight="1" x14ac:dyDescent="0.4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2" customHeight="1" x14ac:dyDescent="0.4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2" customHeight="1" x14ac:dyDescent="0.4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2" customHeight="1" x14ac:dyDescent="0.4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2" customHeight="1" x14ac:dyDescent="0.4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2" customHeight="1" x14ac:dyDescent="0.4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2" customHeight="1" x14ac:dyDescent="0.4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2" customHeight="1" x14ac:dyDescent="0.4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2" customHeight="1" x14ac:dyDescent="0.4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2" customHeight="1" x14ac:dyDescent="0.4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2" customHeight="1" x14ac:dyDescent="0.4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2" customHeight="1" x14ac:dyDescent="0.4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2" customHeight="1" x14ac:dyDescent="0.4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2" customHeight="1" x14ac:dyDescent="0.4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2" customHeight="1" x14ac:dyDescent="0.4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2" customHeight="1" x14ac:dyDescent="0.4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2" customHeight="1" x14ac:dyDescent="0.4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2" customHeight="1" x14ac:dyDescent="0.4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2" customHeight="1" x14ac:dyDescent="0.4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2" customHeight="1" x14ac:dyDescent="0.4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2" customHeight="1" x14ac:dyDescent="0.4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2" customHeight="1" x14ac:dyDescent="0.4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2" customHeight="1" x14ac:dyDescent="0.4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2" customHeight="1" x14ac:dyDescent="0.4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2" customHeight="1" x14ac:dyDescent="0.4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2" customHeight="1" x14ac:dyDescent="0.4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2" customHeight="1" x14ac:dyDescent="0.4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2" customHeight="1" x14ac:dyDescent="0.4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2" customHeight="1" x14ac:dyDescent="0.4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2" customHeight="1" x14ac:dyDescent="0.4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2" customHeight="1" x14ac:dyDescent="0.4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2" customHeight="1" x14ac:dyDescent="0.4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2" customHeight="1" x14ac:dyDescent="0.4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2" customHeight="1" x14ac:dyDescent="0.4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2" customHeight="1" x14ac:dyDescent="0.4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2" customHeight="1" x14ac:dyDescent="0.4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2" customHeight="1" x14ac:dyDescent="0.4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2" customHeight="1" x14ac:dyDescent="0.4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2" customHeight="1" x14ac:dyDescent="0.4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2" customHeight="1" x14ac:dyDescent="0.4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2" customHeight="1" x14ac:dyDescent="0.4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2" customHeight="1" x14ac:dyDescent="0.4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2" customHeight="1" x14ac:dyDescent="0.4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2" customHeight="1" x14ac:dyDescent="0.4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2" customHeight="1" x14ac:dyDescent="0.4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2" customHeight="1" x14ac:dyDescent="0.4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2" customHeight="1" x14ac:dyDescent="0.4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2" customHeight="1" x14ac:dyDescent="0.4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2" customHeight="1" x14ac:dyDescent="0.4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2" customHeight="1" x14ac:dyDescent="0.4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2" customHeight="1" x14ac:dyDescent="0.4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2" customHeight="1" x14ac:dyDescent="0.4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2" customHeight="1" x14ac:dyDescent="0.4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2" customHeight="1" x14ac:dyDescent="0.4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2" customHeight="1" x14ac:dyDescent="0.4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2" customHeight="1" x14ac:dyDescent="0.4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2" customHeight="1" x14ac:dyDescent="0.4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2" customHeight="1" x14ac:dyDescent="0.4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2" customHeight="1" x14ac:dyDescent="0.4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2" customHeight="1" x14ac:dyDescent="0.4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2" customHeight="1" x14ac:dyDescent="0.4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2" customHeight="1" x14ac:dyDescent="0.4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2" customHeight="1" x14ac:dyDescent="0.4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2" customHeight="1" x14ac:dyDescent="0.4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2" customHeight="1" x14ac:dyDescent="0.4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2" customHeight="1" x14ac:dyDescent="0.4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2" customHeight="1" x14ac:dyDescent="0.4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2" customHeight="1" x14ac:dyDescent="0.4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2" customHeight="1" x14ac:dyDescent="0.4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2" customHeight="1" x14ac:dyDescent="0.4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2" customHeight="1" x14ac:dyDescent="0.4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2" customHeight="1" x14ac:dyDescent="0.4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2" customHeight="1" x14ac:dyDescent="0.4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2" customHeight="1" x14ac:dyDescent="0.4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2" customHeight="1" x14ac:dyDescent="0.4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2" customHeight="1" x14ac:dyDescent="0.4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2" customHeight="1" x14ac:dyDescent="0.4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2" customHeight="1" x14ac:dyDescent="0.4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2" customHeight="1" x14ac:dyDescent="0.4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2" customHeight="1" x14ac:dyDescent="0.4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2" customHeight="1" x14ac:dyDescent="0.4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2" customHeight="1" x14ac:dyDescent="0.4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2" customHeight="1" x14ac:dyDescent="0.4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2" customHeight="1" x14ac:dyDescent="0.4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2" customHeight="1" x14ac:dyDescent="0.4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2" customHeight="1" x14ac:dyDescent="0.4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2" customHeight="1" x14ac:dyDescent="0.4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2" customHeight="1" x14ac:dyDescent="0.4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2" customHeight="1" x14ac:dyDescent="0.4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2" customHeight="1" x14ac:dyDescent="0.4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2" customHeight="1" x14ac:dyDescent="0.4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2" customHeight="1" x14ac:dyDescent="0.4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2" customHeight="1" x14ac:dyDescent="0.4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2" customHeight="1" x14ac:dyDescent="0.4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2" customHeight="1" x14ac:dyDescent="0.4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2" customHeight="1" x14ac:dyDescent="0.4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2" customHeight="1" x14ac:dyDescent="0.4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2" customHeight="1" x14ac:dyDescent="0.4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2" customHeight="1" x14ac:dyDescent="0.4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2" customHeight="1" x14ac:dyDescent="0.4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2" customHeight="1" x14ac:dyDescent="0.4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2" customHeight="1" x14ac:dyDescent="0.4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2" customHeight="1" x14ac:dyDescent="0.4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2" customHeight="1" x14ac:dyDescent="0.4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2" customHeight="1" x14ac:dyDescent="0.4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2" customHeight="1" x14ac:dyDescent="0.4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2" customHeight="1" x14ac:dyDescent="0.4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2" customHeight="1" x14ac:dyDescent="0.4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2" customHeight="1" x14ac:dyDescent="0.4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2" customHeight="1" x14ac:dyDescent="0.4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2" customHeight="1" x14ac:dyDescent="0.4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2" customHeight="1" x14ac:dyDescent="0.4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2" customHeight="1" x14ac:dyDescent="0.4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2" customHeight="1" x14ac:dyDescent="0.4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2" customHeight="1" x14ac:dyDescent="0.4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2" customHeight="1" x14ac:dyDescent="0.4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2" customHeight="1" x14ac:dyDescent="0.4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2" customHeight="1" x14ac:dyDescent="0.4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2" customHeight="1" x14ac:dyDescent="0.4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2" customHeight="1" x14ac:dyDescent="0.4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2" customHeight="1" x14ac:dyDescent="0.4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2" customHeight="1" x14ac:dyDescent="0.4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2" customHeight="1" x14ac:dyDescent="0.4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2" customHeight="1" x14ac:dyDescent="0.4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2" customHeight="1" x14ac:dyDescent="0.4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2" customHeight="1" x14ac:dyDescent="0.4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2" customHeight="1" x14ac:dyDescent="0.4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2" customHeight="1" x14ac:dyDescent="0.4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2" customHeight="1" x14ac:dyDescent="0.4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2" customHeight="1" x14ac:dyDescent="0.4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2" customHeight="1" x14ac:dyDescent="0.4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2" customHeight="1" x14ac:dyDescent="0.4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2" customHeight="1" x14ac:dyDescent="0.4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2" customHeight="1" x14ac:dyDescent="0.4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2" customHeight="1" x14ac:dyDescent="0.4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2" customHeight="1" x14ac:dyDescent="0.4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2" customHeight="1" x14ac:dyDescent="0.4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2" customHeight="1" x14ac:dyDescent="0.4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2" customHeight="1" x14ac:dyDescent="0.4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2" customHeight="1" x14ac:dyDescent="0.4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2" customHeight="1" x14ac:dyDescent="0.4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2" customHeight="1" x14ac:dyDescent="0.4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2" customHeight="1" x14ac:dyDescent="0.4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2" customHeight="1" x14ac:dyDescent="0.4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2" customHeight="1" x14ac:dyDescent="0.4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2" customHeight="1" x14ac:dyDescent="0.4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2" customHeight="1" x14ac:dyDescent="0.4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2" customHeight="1" x14ac:dyDescent="0.4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2" customHeight="1" x14ac:dyDescent="0.4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2" customHeight="1" x14ac:dyDescent="0.4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2" customHeight="1" x14ac:dyDescent="0.4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2" customHeight="1" x14ac:dyDescent="0.4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2" customHeight="1" x14ac:dyDescent="0.4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2" customHeight="1" x14ac:dyDescent="0.4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2" customHeight="1" x14ac:dyDescent="0.4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2" customHeight="1" x14ac:dyDescent="0.4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2" customHeight="1" x14ac:dyDescent="0.4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2" customHeight="1" x14ac:dyDescent="0.4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2" customHeight="1" x14ac:dyDescent="0.4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2" customHeight="1" x14ac:dyDescent="0.4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2" customHeight="1" x14ac:dyDescent="0.4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2" customHeight="1" x14ac:dyDescent="0.4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2" customHeight="1" x14ac:dyDescent="0.4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2" customHeight="1" x14ac:dyDescent="0.4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2" customHeight="1" x14ac:dyDescent="0.4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2" customHeight="1" x14ac:dyDescent="0.4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2" customHeight="1" x14ac:dyDescent="0.4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2" customHeight="1" x14ac:dyDescent="0.4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2" customHeight="1" x14ac:dyDescent="0.4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2" customHeight="1" x14ac:dyDescent="0.4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2" customHeight="1" x14ac:dyDescent="0.4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2" customHeight="1" x14ac:dyDescent="0.4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2" customHeight="1" x14ac:dyDescent="0.4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2" customHeight="1" x14ac:dyDescent="0.4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2" customHeight="1" x14ac:dyDescent="0.4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2" customHeight="1" x14ac:dyDescent="0.4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2" customHeight="1" x14ac:dyDescent="0.4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2" customHeight="1" x14ac:dyDescent="0.4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2" customHeight="1" x14ac:dyDescent="0.4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2" customHeight="1" x14ac:dyDescent="0.4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2" customHeight="1" x14ac:dyDescent="0.4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2" customHeight="1" x14ac:dyDescent="0.4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2" customHeight="1" x14ac:dyDescent="0.4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2" customHeight="1" x14ac:dyDescent="0.4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2" customHeight="1" x14ac:dyDescent="0.4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2" customHeight="1" x14ac:dyDescent="0.4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2" customHeight="1" x14ac:dyDescent="0.4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2" customHeight="1" x14ac:dyDescent="0.4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2" customHeight="1" x14ac:dyDescent="0.4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2" customHeight="1" x14ac:dyDescent="0.4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2" customHeight="1" x14ac:dyDescent="0.4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2" customHeight="1" x14ac:dyDescent="0.4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2" customHeight="1" x14ac:dyDescent="0.4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2" customHeight="1" x14ac:dyDescent="0.4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2" customHeight="1" x14ac:dyDescent="0.4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2" customHeight="1" x14ac:dyDescent="0.4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2" customHeight="1" x14ac:dyDescent="0.4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2" customHeight="1" x14ac:dyDescent="0.4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2" customHeight="1" x14ac:dyDescent="0.4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2" customHeight="1" x14ac:dyDescent="0.4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2" customHeight="1" x14ac:dyDescent="0.4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2" customHeight="1" x14ac:dyDescent="0.4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2" customHeight="1" x14ac:dyDescent="0.4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2" customHeight="1" x14ac:dyDescent="0.4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2" customHeight="1" x14ac:dyDescent="0.4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2" customHeight="1" x14ac:dyDescent="0.4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2" customHeight="1" x14ac:dyDescent="0.4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2" customHeight="1" x14ac:dyDescent="0.4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2" customHeight="1" x14ac:dyDescent="0.4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2" customHeight="1" x14ac:dyDescent="0.4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2" customHeight="1" x14ac:dyDescent="0.4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2" customHeight="1" x14ac:dyDescent="0.4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2" customHeight="1" x14ac:dyDescent="0.4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2" customHeight="1" x14ac:dyDescent="0.4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2" customHeight="1" x14ac:dyDescent="0.4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2" customHeight="1" x14ac:dyDescent="0.4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2" customHeight="1" x14ac:dyDescent="0.4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2" customHeight="1" x14ac:dyDescent="0.4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2" customHeight="1" x14ac:dyDescent="0.4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2" customHeight="1" x14ac:dyDescent="0.4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2" customHeight="1" x14ac:dyDescent="0.4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2" customHeight="1" x14ac:dyDescent="0.4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2" customHeight="1" x14ac:dyDescent="0.4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2" customHeight="1" x14ac:dyDescent="0.4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2" customHeight="1" x14ac:dyDescent="0.4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2" customHeight="1" x14ac:dyDescent="0.4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2" customHeight="1" x14ac:dyDescent="0.4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2" customHeight="1" x14ac:dyDescent="0.4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2" customHeight="1" x14ac:dyDescent="0.4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2" customHeight="1" x14ac:dyDescent="0.4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2" customHeight="1" x14ac:dyDescent="0.4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2" customHeight="1" x14ac:dyDescent="0.4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2" customHeight="1" x14ac:dyDescent="0.4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2" customHeight="1" x14ac:dyDescent="0.4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2" customHeight="1" x14ac:dyDescent="0.4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2" customHeight="1" x14ac:dyDescent="0.4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2" customHeight="1" x14ac:dyDescent="0.4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2" customHeight="1" x14ac:dyDescent="0.4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2" customHeight="1" x14ac:dyDescent="0.4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2" customHeight="1" x14ac:dyDescent="0.4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2" customHeight="1" x14ac:dyDescent="0.4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2" customHeight="1" x14ac:dyDescent="0.4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2" customHeight="1" x14ac:dyDescent="0.4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2" customHeight="1" x14ac:dyDescent="0.4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2" customHeight="1" x14ac:dyDescent="0.4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2" customHeight="1" x14ac:dyDescent="0.4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2" customHeight="1" x14ac:dyDescent="0.4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2" customHeight="1" x14ac:dyDescent="0.4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2" customHeight="1" x14ac:dyDescent="0.4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2" customHeight="1" x14ac:dyDescent="0.4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2" customHeight="1" x14ac:dyDescent="0.4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2" customHeight="1" x14ac:dyDescent="0.4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2" customHeight="1" x14ac:dyDescent="0.4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2" customHeight="1" x14ac:dyDescent="0.4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2" customHeight="1" x14ac:dyDescent="0.4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2" customHeight="1" x14ac:dyDescent="0.4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2" customHeight="1" x14ac:dyDescent="0.4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2" customHeight="1" x14ac:dyDescent="0.4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2" customHeight="1" x14ac:dyDescent="0.4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2" customHeight="1" x14ac:dyDescent="0.4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2" customHeight="1" x14ac:dyDescent="0.4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2" customHeight="1" x14ac:dyDescent="0.4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2" customHeight="1" x14ac:dyDescent="0.4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2" customHeight="1" x14ac:dyDescent="0.4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2" customHeight="1" x14ac:dyDescent="0.4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2" customHeight="1" x14ac:dyDescent="0.4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2" customHeight="1" x14ac:dyDescent="0.4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2" customHeight="1" x14ac:dyDescent="0.4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2" customHeight="1" x14ac:dyDescent="0.4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2" customHeight="1" x14ac:dyDescent="0.4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2" customHeight="1" x14ac:dyDescent="0.4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2" customHeight="1" x14ac:dyDescent="0.4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2" customHeight="1" x14ac:dyDescent="0.4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2" customHeight="1" x14ac:dyDescent="0.4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2" customHeight="1" x14ac:dyDescent="0.4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2" customHeight="1" x14ac:dyDescent="0.4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2" customHeight="1" x14ac:dyDescent="0.4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2" customHeight="1" x14ac:dyDescent="0.4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2" customHeight="1" x14ac:dyDescent="0.4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2" customHeight="1" x14ac:dyDescent="0.4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2" customHeight="1" x14ac:dyDescent="0.4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2" customHeight="1" x14ac:dyDescent="0.4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2" customHeight="1" x14ac:dyDescent="0.4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2" customHeight="1" x14ac:dyDescent="0.4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2" customHeight="1" x14ac:dyDescent="0.4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2" customHeight="1" x14ac:dyDescent="0.4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2" customHeight="1" x14ac:dyDescent="0.4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2" customHeight="1" x14ac:dyDescent="0.4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2" customHeight="1" x14ac:dyDescent="0.4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2" customHeight="1" x14ac:dyDescent="0.4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2" customHeight="1" x14ac:dyDescent="0.4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2" customHeight="1" x14ac:dyDescent="0.4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2" customHeight="1" x14ac:dyDescent="0.4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2" customHeight="1" x14ac:dyDescent="0.4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2" customHeight="1" x14ac:dyDescent="0.4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2" customHeight="1" x14ac:dyDescent="0.4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2" customHeight="1" x14ac:dyDescent="0.4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2" customHeight="1" x14ac:dyDescent="0.4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2" customHeight="1" x14ac:dyDescent="0.4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2" customHeight="1" x14ac:dyDescent="0.4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2" customHeight="1" x14ac:dyDescent="0.4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2" customHeight="1" x14ac:dyDescent="0.4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2" customHeight="1" x14ac:dyDescent="0.4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2" customHeight="1" x14ac:dyDescent="0.4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2" customHeight="1" x14ac:dyDescent="0.4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2" customHeight="1" x14ac:dyDescent="0.4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2" customHeight="1" x14ac:dyDescent="0.4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2" customHeight="1" x14ac:dyDescent="0.4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2" customHeight="1" x14ac:dyDescent="0.4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2" customHeight="1" x14ac:dyDescent="0.4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2" customHeight="1" x14ac:dyDescent="0.4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2" customHeight="1" x14ac:dyDescent="0.4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2" customHeight="1" x14ac:dyDescent="0.4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2" customHeight="1" x14ac:dyDescent="0.4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2" customHeight="1" x14ac:dyDescent="0.4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2" customHeight="1" x14ac:dyDescent="0.4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2" customHeight="1" x14ac:dyDescent="0.4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2" customHeight="1" x14ac:dyDescent="0.4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2" customHeight="1" x14ac:dyDescent="0.4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2" customHeight="1" x14ac:dyDescent="0.4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2" customHeight="1" x14ac:dyDescent="0.4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2" customHeight="1" x14ac:dyDescent="0.4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2" customHeight="1" x14ac:dyDescent="0.4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2" customHeight="1" x14ac:dyDescent="0.4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2" customHeight="1" x14ac:dyDescent="0.4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2" customHeight="1" x14ac:dyDescent="0.4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2" customHeight="1" x14ac:dyDescent="0.4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2" customHeight="1" x14ac:dyDescent="0.4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2" customHeight="1" x14ac:dyDescent="0.4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2" customHeight="1" x14ac:dyDescent="0.4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2" customHeight="1" x14ac:dyDescent="0.4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2" customHeight="1" x14ac:dyDescent="0.4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2" customHeight="1" x14ac:dyDescent="0.4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2" customHeight="1" x14ac:dyDescent="0.4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2" customHeight="1" x14ac:dyDescent="0.4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2" customHeight="1" x14ac:dyDescent="0.4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2" customHeight="1" x14ac:dyDescent="0.4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2" customHeight="1" x14ac:dyDescent="0.4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2" customHeight="1" x14ac:dyDescent="0.4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2" customHeight="1" x14ac:dyDescent="0.4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2" customHeight="1" x14ac:dyDescent="0.4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2" customHeight="1" x14ac:dyDescent="0.4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2" customHeight="1" x14ac:dyDescent="0.4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2" customHeight="1" x14ac:dyDescent="0.4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2" customHeight="1" x14ac:dyDescent="0.4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2" customHeight="1" x14ac:dyDescent="0.4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2" customHeight="1" x14ac:dyDescent="0.4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2" customHeight="1" x14ac:dyDescent="0.4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2" customHeight="1" x14ac:dyDescent="0.4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2" customHeight="1" x14ac:dyDescent="0.4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2" customHeight="1" x14ac:dyDescent="0.4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2" customHeight="1" x14ac:dyDescent="0.4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2" customHeight="1" x14ac:dyDescent="0.4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2" customHeight="1" x14ac:dyDescent="0.4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2" customHeight="1" x14ac:dyDescent="0.4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2" customHeight="1" x14ac:dyDescent="0.4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2" customHeight="1" x14ac:dyDescent="0.4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2" customHeight="1" x14ac:dyDescent="0.4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2" customHeight="1" x14ac:dyDescent="0.4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2" customHeight="1" x14ac:dyDescent="0.4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2" customHeight="1" x14ac:dyDescent="0.4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2" customHeight="1" x14ac:dyDescent="0.4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2" customHeight="1" x14ac:dyDescent="0.4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2" customHeight="1" x14ac:dyDescent="0.4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2" customHeight="1" x14ac:dyDescent="0.4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2" customHeight="1" x14ac:dyDescent="0.4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2" customHeight="1" x14ac:dyDescent="0.4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2" customHeight="1" x14ac:dyDescent="0.4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2" customHeight="1" x14ac:dyDescent="0.4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2" customHeight="1" x14ac:dyDescent="0.4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2" customHeight="1" x14ac:dyDescent="0.4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2" customHeight="1" x14ac:dyDescent="0.4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2" customHeight="1" x14ac:dyDescent="0.4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2" customHeight="1" x14ac:dyDescent="0.4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2" customHeight="1" x14ac:dyDescent="0.4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2" customHeight="1" x14ac:dyDescent="0.4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2" customHeight="1" x14ac:dyDescent="0.4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2" customHeight="1" x14ac:dyDescent="0.4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2" customHeight="1" x14ac:dyDescent="0.4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2" customHeight="1" x14ac:dyDescent="0.4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2" customHeight="1" x14ac:dyDescent="0.4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2" customHeight="1" x14ac:dyDescent="0.4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2" customHeight="1" x14ac:dyDescent="0.4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2" customHeight="1" x14ac:dyDescent="0.4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2" customHeight="1" x14ac:dyDescent="0.4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2" customHeight="1" x14ac:dyDescent="0.4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2" customHeight="1" x14ac:dyDescent="0.4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2" customHeight="1" x14ac:dyDescent="0.4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2" customHeight="1" x14ac:dyDescent="0.4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2" customHeight="1" x14ac:dyDescent="0.4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2" customHeight="1" x14ac:dyDescent="0.4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2" customHeight="1" x14ac:dyDescent="0.4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2" customHeight="1" x14ac:dyDescent="0.4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2" customHeight="1" x14ac:dyDescent="0.4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2" customHeight="1" x14ac:dyDescent="0.4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2" customHeight="1" x14ac:dyDescent="0.4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2" customHeight="1" x14ac:dyDescent="0.4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2" customHeight="1" x14ac:dyDescent="0.4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2" customHeight="1" x14ac:dyDescent="0.4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2" customHeight="1" x14ac:dyDescent="0.4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2" customHeight="1" x14ac:dyDescent="0.4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2" customHeight="1" x14ac:dyDescent="0.4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2" customHeight="1" x14ac:dyDescent="0.4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2" customHeight="1" x14ac:dyDescent="0.4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2" customHeight="1" x14ac:dyDescent="0.4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2" customHeight="1" x14ac:dyDescent="0.4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2" customHeight="1" x14ac:dyDescent="0.4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2" customHeight="1" x14ac:dyDescent="0.4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2" customHeight="1" x14ac:dyDescent="0.4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2" customHeight="1" x14ac:dyDescent="0.4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2" customHeight="1" x14ac:dyDescent="0.4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2" customHeight="1" x14ac:dyDescent="0.4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2" customHeight="1" x14ac:dyDescent="0.4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2" customHeight="1" x14ac:dyDescent="0.4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2" customHeight="1" x14ac:dyDescent="0.4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2" customHeight="1" x14ac:dyDescent="0.4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2" customHeight="1" x14ac:dyDescent="0.4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2" customHeight="1" x14ac:dyDescent="0.4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2" customHeight="1" x14ac:dyDescent="0.4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2" customHeight="1" x14ac:dyDescent="0.4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2" customHeight="1" x14ac:dyDescent="0.4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2" customHeight="1" x14ac:dyDescent="0.4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2" customHeight="1" x14ac:dyDescent="0.4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2" customHeight="1" x14ac:dyDescent="0.4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2" customHeight="1" x14ac:dyDescent="0.4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2" customHeight="1" x14ac:dyDescent="0.4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2" customHeight="1" x14ac:dyDescent="0.4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2" customHeight="1" x14ac:dyDescent="0.4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2" customHeight="1" x14ac:dyDescent="0.4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2" customHeight="1" x14ac:dyDescent="0.4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2" customHeight="1" x14ac:dyDescent="0.4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2" customHeight="1" x14ac:dyDescent="0.4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2" customHeight="1" x14ac:dyDescent="0.4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2" customHeight="1" x14ac:dyDescent="0.4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2" customHeight="1" x14ac:dyDescent="0.4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2" customHeight="1" x14ac:dyDescent="0.4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2" customHeight="1" x14ac:dyDescent="0.4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2" customHeight="1" x14ac:dyDescent="0.4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2" customHeight="1" x14ac:dyDescent="0.4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2" customHeight="1" x14ac:dyDescent="0.4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2" customHeight="1" x14ac:dyDescent="0.4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2" customHeight="1" x14ac:dyDescent="0.4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2" customHeight="1" x14ac:dyDescent="0.4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2" customHeight="1" x14ac:dyDescent="0.4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2" customHeight="1" x14ac:dyDescent="0.4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2" customHeight="1" x14ac:dyDescent="0.4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2" customHeight="1" x14ac:dyDescent="0.4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2" customHeight="1" x14ac:dyDescent="0.4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2" customHeight="1" x14ac:dyDescent="0.4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2" customHeight="1" x14ac:dyDescent="0.4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2" customHeight="1" x14ac:dyDescent="0.4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2" customHeight="1" x14ac:dyDescent="0.4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2" customHeight="1" x14ac:dyDescent="0.4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2" customHeight="1" x14ac:dyDescent="0.4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2" customHeight="1" x14ac:dyDescent="0.4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2" customHeight="1" x14ac:dyDescent="0.4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2" customHeight="1" x14ac:dyDescent="0.4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2" customHeight="1" x14ac:dyDescent="0.4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2" customHeight="1" x14ac:dyDescent="0.4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2" customHeight="1" x14ac:dyDescent="0.4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2" customHeight="1" x14ac:dyDescent="0.4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2" customHeight="1" x14ac:dyDescent="0.4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2" customHeight="1" x14ac:dyDescent="0.4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2" customHeight="1" x14ac:dyDescent="0.4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2" customHeight="1" x14ac:dyDescent="0.4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2" customHeight="1" x14ac:dyDescent="0.4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2" customHeight="1" x14ac:dyDescent="0.4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2" customHeight="1" x14ac:dyDescent="0.4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2" customHeight="1" x14ac:dyDescent="0.4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2" customHeight="1" x14ac:dyDescent="0.4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2" customHeight="1" x14ac:dyDescent="0.4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2" customHeight="1" x14ac:dyDescent="0.4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2" customHeight="1" x14ac:dyDescent="0.4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2" customHeight="1" x14ac:dyDescent="0.4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2" customHeight="1" x14ac:dyDescent="0.4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2" customHeight="1" x14ac:dyDescent="0.4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2" customHeight="1" x14ac:dyDescent="0.4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2" customHeight="1" x14ac:dyDescent="0.4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2" customHeight="1" x14ac:dyDescent="0.4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2" customHeight="1" x14ac:dyDescent="0.4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2" customHeight="1" x14ac:dyDescent="0.4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2" customHeight="1" x14ac:dyDescent="0.4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2" customHeight="1" x14ac:dyDescent="0.4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2" customHeight="1" x14ac:dyDescent="0.4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2" customHeight="1" x14ac:dyDescent="0.4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2" customHeight="1" x14ac:dyDescent="0.4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2" customHeight="1" x14ac:dyDescent="0.4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2" customHeight="1" x14ac:dyDescent="0.4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2" customHeight="1" x14ac:dyDescent="0.4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2" customHeight="1" x14ac:dyDescent="0.4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2" customHeight="1" x14ac:dyDescent="0.4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2" customHeight="1" x14ac:dyDescent="0.4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2" customHeight="1" x14ac:dyDescent="0.4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2" customHeight="1" x14ac:dyDescent="0.4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2" customHeight="1" x14ac:dyDescent="0.4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2" customHeight="1" x14ac:dyDescent="0.4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2" customHeight="1" x14ac:dyDescent="0.4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2" customHeight="1" x14ac:dyDescent="0.4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2" customHeight="1" x14ac:dyDescent="0.4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2" customHeight="1" x14ac:dyDescent="0.4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2" customHeight="1" x14ac:dyDescent="0.4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2" customHeight="1" x14ac:dyDescent="0.4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2" customHeight="1" x14ac:dyDescent="0.4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2" customHeight="1" x14ac:dyDescent="0.4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2" customHeight="1" x14ac:dyDescent="0.4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2" customHeight="1" x14ac:dyDescent="0.4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2" customHeight="1" x14ac:dyDescent="0.4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2" customHeight="1" x14ac:dyDescent="0.4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2" customHeight="1" x14ac:dyDescent="0.4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2" customHeight="1" x14ac:dyDescent="0.4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2" customHeight="1" x14ac:dyDescent="0.4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2" customHeight="1" x14ac:dyDescent="0.4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2" customHeight="1" x14ac:dyDescent="0.4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2" customHeight="1" x14ac:dyDescent="0.4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2" customHeight="1" x14ac:dyDescent="0.4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2" customHeight="1" x14ac:dyDescent="0.4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2" customHeight="1" x14ac:dyDescent="0.4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2" customHeight="1" x14ac:dyDescent="0.4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2" customHeight="1" x14ac:dyDescent="0.4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2" customHeight="1" x14ac:dyDescent="0.4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2" customHeight="1" x14ac:dyDescent="0.4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2" customHeight="1" x14ac:dyDescent="0.4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2" customHeight="1" x14ac:dyDescent="0.4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2" customHeight="1" x14ac:dyDescent="0.4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2" customHeight="1" x14ac:dyDescent="0.4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2" customHeight="1" x14ac:dyDescent="0.4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2" customHeight="1" x14ac:dyDescent="0.4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2" customHeight="1" x14ac:dyDescent="0.4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2" customHeight="1" x14ac:dyDescent="0.4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2" customHeight="1" x14ac:dyDescent="0.4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2" customHeight="1" x14ac:dyDescent="0.4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2" customHeight="1" x14ac:dyDescent="0.4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2" customHeight="1" x14ac:dyDescent="0.4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2" customHeight="1" x14ac:dyDescent="0.4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2" customHeight="1" x14ac:dyDescent="0.4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2" customHeight="1" x14ac:dyDescent="0.4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2" customHeight="1" x14ac:dyDescent="0.4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2" customHeight="1" x14ac:dyDescent="0.4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2" customHeight="1" x14ac:dyDescent="0.4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2" customHeight="1" x14ac:dyDescent="0.4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2" customHeight="1" x14ac:dyDescent="0.4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2" customHeight="1" x14ac:dyDescent="0.4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2" customHeight="1" x14ac:dyDescent="0.4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2" customHeight="1" x14ac:dyDescent="0.4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2" customHeight="1" x14ac:dyDescent="0.4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2" customHeight="1" x14ac:dyDescent="0.4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2" customHeight="1" x14ac:dyDescent="0.4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2" customHeight="1" x14ac:dyDescent="0.4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2" customHeight="1" x14ac:dyDescent="0.4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2" customHeight="1" x14ac:dyDescent="0.4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2" customHeight="1" x14ac:dyDescent="0.4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2" customHeight="1" x14ac:dyDescent="0.4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2" customHeight="1" x14ac:dyDescent="0.4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2" customHeight="1" x14ac:dyDescent="0.4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2" customHeight="1" x14ac:dyDescent="0.4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2" customHeight="1" x14ac:dyDescent="0.4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2" customHeight="1" x14ac:dyDescent="0.4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2" customHeight="1" x14ac:dyDescent="0.4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2" customHeight="1" x14ac:dyDescent="0.4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2" customHeight="1" x14ac:dyDescent="0.4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2" customHeight="1" x14ac:dyDescent="0.4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2" customHeight="1" x14ac:dyDescent="0.4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2" customHeight="1" x14ac:dyDescent="0.4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2" customHeight="1" x14ac:dyDescent="0.4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2" customHeight="1" x14ac:dyDescent="0.4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2" customHeight="1" x14ac:dyDescent="0.4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2" customHeight="1" x14ac:dyDescent="0.4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2" customHeight="1" x14ac:dyDescent="0.4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2" customHeight="1" x14ac:dyDescent="0.4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2" customHeight="1" x14ac:dyDescent="0.4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2" customHeight="1" x14ac:dyDescent="0.4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2" customHeight="1" x14ac:dyDescent="0.4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2" customHeight="1" x14ac:dyDescent="0.4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2" customHeight="1" x14ac:dyDescent="0.4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2" customHeight="1" x14ac:dyDescent="0.4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2" customHeight="1" x14ac:dyDescent="0.4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2" customHeight="1" x14ac:dyDescent="0.4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2" customHeight="1" x14ac:dyDescent="0.4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2" customHeight="1" x14ac:dyDescent="0.4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2" customHeight="1" x14ac:dyDescent="0.4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2" customHeight="1" x14ac:dyDescent="0.4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2" customHeight="1" x14ac:dyDescent="0.4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2" customHeight="1" x14ac:dyDescent="0.4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2" customHeight="1" x14ac:dyDescent="0.4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2" customHeight="1" x14ac:dyDescent="0.4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2" customHeight="1" x14ac:dyDescent="0.4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2" customHeight="1" x14ac:dyDescent="0.4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2" customHeight="1" x14ac:dyDescent="0.4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2" customHeight="1" x14ac:dyDescent="0.4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2" customHeight="1" x14ac:dyDescent="0.4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2" customHeight="1" x14ac:dyDescent="0.4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2" customHeight="1" x14ac:dyDescent="0.4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2" customHeight="1" x14ac:dyDescent="0.4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2" customHeight="1" x14ac:dyDescent="0.4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2" customHeight="1" x14ac:dyDescent="0.4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2" customHeight="1" x14ac:dyDescent="0.4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2" customHeight="1" x14ac:dyDescent="0.4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2" customHeight="1" x14ac:dyDescent="0.4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2" customHeight="1" x14ac:dyDescent="0.4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2" customHeight="1" x14ac:dyDescent="0.4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2" customHeight="1" x14ac:dyDescent="0.4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2" customHeight="1" x14ac:dyDescent="0.4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2" customHeight="1" x14ac:dyDescent="0.4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2" customHeight="1" x14ac:dyDescent="0.4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2" customHeight="1" x14ac:dyDescent="0.4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2" customHeight="1" x14ac:dyDescent="0.4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2" customHeight="1" x14ac:dyDescent="0.4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2" customHeight="1" x14ac:dyDescent="0.4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2" customHeight="1" x14ac:dyDescent="0.4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2" customHeight="1" x14ac:dyDescent="0.4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2" customHeight="1" x14ac:dyDescent="0.4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2" customHeight="1" x14ac:dyDescent="0.4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2" customHeight="1" x14ac:dyDescent="0.4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2" customHeight="1" x14ac:dyDescent="0.4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2" customHeight="1" x14ac:dyDescent="0.4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2" customHeight="1" x14ac:dyDescent="0.4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2" customHeight="1" x14ac:dyDescent="0.4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2" customHeight="1" x14ac:dyDescent="0.4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2" customHeight="1" x14ac:dyDescent="0.4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2" customHeight="1" x14ac:dyDescent="0.4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2" customHeight="1" x14ac:dyDescent="0.4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2" customHeight="1" x14ac:dyDescent="0.4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2" customHeight="1" x14ac:dyDescent="0.4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2" customHeight="1" x14ac:dyDescent="0.4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2" customHeight="1" x14ac:dyDescent="0.4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2" customHeight="1" x14ac:dyDescent="0.4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2" customHeight="1" x14ac:dyDescent="0.4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2" customHeight="1" x14ac:dyDescent="0.4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2" customHeight="1" x14ac:dyDescent="0.4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2" customHeight="1" x14ac:dyDescent="0.4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2" customHeight="1" x14ac:dyDescent="0.4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2" customHeight="1" x14ac:dyDescent="0.4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2" customHeight="1" x14ac:dyDescent="0.4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2" customHeight="1" x14ac:dyDescent="0.4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2" customHeight="1" x14ac:dyDescent="0.4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2" customHeight="1" x14ac:dyDescent="0.4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2" customHeight="1" x14ac:dyDescent="0.4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2" customHeight="1" x14ac:dyDescent="0.4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2" customHeight="1" x14ac:dyDescent="0.4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2" customHeight="1" x14ac:dyDescent="0.4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2" customHeight="1" x14ac:dyDescent="0.4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2" customHeight="1" x14ac:dyDescent="0.4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2" customHeight="1" x14ac:dyDescent="0.4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2" customHeight="1" x14ac:dyDescent="0.4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2" customHeight="1" x14ac:dyDescent="0.4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2" customHeight="1" x14ac:dyDescent="0.4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2" customHeight="1" x14ac:dyDescent="0.4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2" customHeight="1" x14ac:dyDescent="0.4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2" customHeight="1" x14ac:dyDescent="0.4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2" customHeight="1" x14ac:dyDescent="0.4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2" customHeight="1" x14ac:dyDescent="0.4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2" customHeight="1" x14ac:dyDescent="0.4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2" customHeight="1" x14ac:dyDescent="0.4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2" customHeight="1" x14ac:dyDescent="0.4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2" customHeight="1" x14ac:dyDescent="0.4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2" customHeight="1" x14ac:dyDescent="0.4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2" customHeight="1" x14ac:dyDescent="0.4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2" customHeight="1" x14ac:dyDescent="0.4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2" customHeight="1" x14ac:dyDescent="0.4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2" customHeight="1" x14ac:dyDescent="0.4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2" customHeight="1" x14ac:dyDescent="0.4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2" customHeight="1" x14ac:dyDescent="0.4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2" customHeight="1" x14ac:dyDescent="0.4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2" customHeight="1" x14ac:dyDescent="0.4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2" customHeight="1" x14ac:dyDescent="0.4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2" customHeight="1" x14ac:dyDescent="0.4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2" customHeight="1" x14ac:dyDescent="0.4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2" customHeight="1" x14ac:dyDescent="0.4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2" customHeight="1" x14ac:dyDescent="0.4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2" customHeight="1" x14ac:dyDescent="0.4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2" customHeight="1" x14ac:dyDescent="0.4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2" customHeight="1" x14ac:dyDescent="0.4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2" customHeight="1" x14ac:dyDescent="0.4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2" customHeight="1" x14ac:dyDescent="0.4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2" customHeight="1" x14ac:dyDescent="0.4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2" customHeight="1" x14ac:dyDescent="0.4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2" customHeight="1" x14ac:dyDescent="0.4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2" customHeight="1" x14ac:dyDescent="0.4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2" customHeight="1" x14ac:dyDescent="0.4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2" customHeight="1" x14ac:dyDescent="0.4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2" customHeight="1" x14ac:dyDescent="0.4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2" customHeight="1" x14ac:dyDescent="0.4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2" customHeight="1" x14ac:dyDescent="0.4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2" customHeight="1" x14ac:dyDescent="0.4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2" customHeight="1" x14ac:dyDescent="0.4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2" customHeight="1" x14ac:dyDescent="0.4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2" customHeight="1" x14ac:dyDescent="0.4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2" customHeight="1" x14ac:dyDescent="0.4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2" customHeight="1" x14ac:dyDescent="0.4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2" customHeight="1" x14ac:dyDescent="0.4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2" customHeight="1" x14ac:dyDescent="0.4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2" customHeight="1" x14ac:dyDescent="0.4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2" customHeight="1" x14ac:dyDescent="0.4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2" customHeight="1" x14ac:dyDescent="0.4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2" customHeight="1" x14ac:dyDescent="0.4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2" customHeight="1" x14ac:dyDescent="0.4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2" customHeight="1" x14ac:dyDescent="0.4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2" customHeight="1" x14ac:dyDescent="0.4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2" customHeight="1" x14ac:dyDescent="0.4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2" customHeight="1" x14ac:dyDescent="0.4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2" customHeight="1" x14ac:dyDescent="0.4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2" customHeight="1" x14ac:dyDescent="0.4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2" customHeight="1" x14ac:dyDescent="0.4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2" customHeight="1" x14ac:dyDescent="0.4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2" customHeight="1" x14ac:dyDescent="0.4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2" customHeight="1" x14ac:dyDescent="0.4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2" customHeight="1" x14ac:dyDescent="0.4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2" customHeight="1" x14ac:dyDescent="0.4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2" customHeight="1" x14ac:dyDescent="0.4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2" customHeight="1" x14ac:dyDescent="0.4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2" customHeight="1" x14ac:dyDescent="0.4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2" customHeight="1" x14ac:dyDescent="0.4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2" customHeight="1" x14ac:dyDescent="0.4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2" customHeight="1" x14ac:dyDescent="0.4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2" customHeight="1" x14ac:dyDescent="0.4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2" customHeight="1" x14ac:dyDescent="0.4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2" customHeight="1" x14ac:dyDescent="0.4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2" customHeight="1" x14ac:dyDescent="0.4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2" customHeight="1" x14ac:dyDescent="0.4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2" customHeight="1" x14ac:dyDescent="0.4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2" customHeight="1" x14ac:dyDescent="0.4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2" customHeight="1" x14ac:dyDescent="0.4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2" customHeight="1" x14ac:dyDescent="0.4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2" customHeight="1" x14ac:dyDescent="0.4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2" customHeight="1" x14ac:dyDescent="0.4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2" customHeight="1" x14ac:dyDescent="0.4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2" customHeight="1" x14ac:dyDescent="0.4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2" customHeight="1" x14ac:dyDescent="0.4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2" customHeight="1" x14ac:dyDescent="0.4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2" customHeight="1" x14ac:dyDescent="0.4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2" customHeight="1" x14ac:dyDescent="0.4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2" customHeight="1" x14ac:dyDescent="0.4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2" customHeight="1" x14ac:dyDescent="0.4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2" customHeight="1" x14ac:dyDescent="0.4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2" customHeight="1" x14ac:dyDescent="0.4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2" customHeight="1" x14ac:dyDescent="0.4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2" customHeight="1" x14ac:dyDescent="0.4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2" customHeight="1" x14ac:dyDescent="0.4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2" customHeight="1" x14ac:dyDescent="0.4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2" customHeight="1" x14ac:dyDescent="0.4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2" customHeight="1" x14ac:dyDescent="0.4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2" customHeight="1" x14ac:dyDescent="0.4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2" customHeight="1" x14ac:dyDescent="0.4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2" customHeight="1" x14ac:dyDescent="0.4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2" customHeight="1" x14ac:dyDescent="0.4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2" customHeight="1" x14ac:dyDescent="0.4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2" customHeight="1" x14ac:dyDescent="0.4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2" customHeight="1" x14ac:dyDescent="0.4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2" customHeight="1" x14ac:dyDescent="0.4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2" customHeight="1" x14ac:dyDescent="0.4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2" customHeight="1" x14ac:dyDescent="0.4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2" customHeight="1" x14ac:dyDescent="0.4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2" customHeight="1" x14ac:dyDescent="0.4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2" customHeight="1" x14ac:dyDescent="0.4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2" customHeight="1" x14ac:dyDescent="0.4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2" customHeight="1" x14ac:dyDescent="0.4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2" customHeight="1" x14ac:dyDescent="0.4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2" customHeight="1" x14ac:dyDescent="0.4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2" customHeight="1" x14ac:dyDescent="0.4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2" customHeight="1" x14ac:dyDescent="0.4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2" customHeight="1" x14ac:dyDescent="0.4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2" customHeight="1" x14ac:dyDescent="0.4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2" customHeight="1" x14ac:dyDescent="0.4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2" customHeight="1" x14ac:dyDescent="0.4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2" customHeight="1" x14ac:dyDescent="0.4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2" customHeight="1" x14ac:dyDescent="0.4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2" customHeight="1" x14ac:dyDescent="0.4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2" customHeight="1" x14ac:dyDescent="0.4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2" customHeight="1" x14ac:dyDescent="0.4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2" customHeight="1" x14ac:dyDescent="0.4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2" customHeight="1" x14ac:dyDescent="0.4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2" customHeight="1" x14ac:dyDescent="0.4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2" customHeight="1" x14ac:dyDescent="0.4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2" customHeight="1" x14ac:dyDescent="0.4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2" customHeight="1" x14ac:dyDescent="0.4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2" customHeight="1" x14ac:dyDescent="0.4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2" customHeight="1" x14ac:dyDescent="0.4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2" customHeight="1" x14ac:dyDescent="0.4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2" customHeight="1" x14ac:dyDescent="0.4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2" customHeight="1" x14ac:dyDescent="0.4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2" customHeight="1" x14ac:dyDescent="0.4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2" customHeight="1" x14ac:dyDescent="0.4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2" customHeight="1" x14ac:dyDescent="0.4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2" customHeight="1" x14ac:dyDescent="0.4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2" customHeight="1" x14ac:dyDescent="0.4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2" customHeight="1" x14ac:dyDescent="0.4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2" customHeight="1" x14ac:dyDescent="0.4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2" customHeight="1" x14ac:dyDescent="0.4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2" customHeight="1" x14ac:dyDescent="0.4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2" customHeight="1" x14ac:dyDescent="0.4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2" customHeight="1" x14ac:dyDescent="0.4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2" customHeight="1" x14ac:dyDescent="0.4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2" customHeight="1" x14ac:dyDescent="0.4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2" customHeight="1" x14ac:dyDescent="0.4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2" customHeight="1" x14ac:dyDescent="0.4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2" customHeight="1" x14ac:dyDescent="0.4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2" customHeight="1" x14ac:dyDescent="0.4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2" customHeight="1" x14ac:dyDescent="0.4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2" customHeight="1" x14ac:dyDescent="0.4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2" customHeight="1" x14ac:dyDescent="0.4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2" customHeight="1" x14ac:dyDescent="0.4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2" customHeight="1" x14ac:dyDescent="0.4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2" customHeight="1" x14ac:dyDescent="0.4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2" customHeight="1" x14ac:dyDescent="0.4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2" customHeight="1" x14ac:dyDescent="0.4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2" customHeight="1" x14ac:dyDescent="0.4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2" customHeight="1" x14ac:dyDescent="0.4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2" customHeight="1" x14ac:dyDescent="0.4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2" customHeight="1" x14ac:dyDescent="0.4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2" customHeight="1" x14ac:dyDescent="0.4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2" customHeight="1" x14ac:dyDescent="0.4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2" customHeight="1" x14ac:dyDescent="0.4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2" customHeight="1" x14ac:dyDescent="0.4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2" customHeight="1" x14ac:dyDescent="0.4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2" customHeight="1" x14ac:dyDescent="0.4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2" customHeight="1" x14ac:dyDescent="0.4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2" customHeight="1" x14ac:dyDescent="0.4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2" customHeight="1" x14ac:dyDescent="0.4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2" customHeight="1" x14ac:dyDescent="0.4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2" customHeight="1" x14ac:dyDescent="0.4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2" customHeight="1" x14ac:dyDescent="0.4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2" customHeight="1" x14ac:dyDescent="0.4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2" customHeight="1" x14ac:dyDescent="0.4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2" customHeight="1" x14ac:dyDescent="0.4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2" customHeight="1" x14ac:dyDescent="0.4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2" customHeight="1" x14ac:dyDescent="0.4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2" customHeight="1" x14ac:dyDescent="0.4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2" customHeight="1" x14ac:dyDescent="0.4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2" customHeight="1" x14ac:dyDescent="0.4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2" customHeight="1" x14ac:dyDescent="0.4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2" customHeight="1" x14ac:dyDescent="0.4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2" customHeight="1" x14ac:dyDescent="0.4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2" customHeight="1" x14ac:dyDescent="0.4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2" customHeight="1" x14ac:dyDescent="0.4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2" customHeight="1" x14ac:dyDescent="0.4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2" customHeight="1" x14ac:dyDescent="0.4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2" customHeight="1" x14ac:dyDescent="0.4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2" customHeight="1" x14ac:dyDescent="0.4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2" customHeight="1" x14ac:dyDescent="0.4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2" customHeight="1" x14ac:dyDescent="0.4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2" customHeight="1" x14ac:dyDescent="0.4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2" customHeight="1" x14ac:dyDescent="0.4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2" customHeight="1" x14ac:dyDescent="0.4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2" customHeight="1" x14ac:dyDescent="0.4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2" customHeight="1" x14ac:dyDescent="0.4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2" customHeight="1" x14ac:dyDescent="0.4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2" customHeight="1" x14ac:dyDescent="0.4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2" customHeight="1" x14ac:dyDescent="0.4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2" customHeight="1" x14ac:dyDescent="0.4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2" customHeight="1" x14ac:dyDescent="0.4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2" customHeight="1" x14ac:dyDescent="0.4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2" customHeight="1" x14ac:dyDescent="0.4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2" customHeight="1" x14ac:dyDescent="0.4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2" customHeight="1" x14ac:dyDescent="0.4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2" customHeight="1" x14ac:dyDescent="0.4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2" customHeight="1" x14ac:dyDescent="0.4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2" customHeight="1" x14ac:dyDescent="0.4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2" customHeight="1" x14ac:dyDescent="0.4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2" customHeight="1" x14ac:dyDescent="0.4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2" customHeight="1" x14ac:dyDescent="0.4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2" customHeight="1" x14ac:dyDescent="0.4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2" customHeight="1" x14ac:dyDescent="0.4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2" customHeight="1" x14ac:dyDescent="0.4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2" customHeight="1" x14ac:dyDescent="0.4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2" customHeight="1" x14ac:dyDescent="0.4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2" customHeight="1" x14ac:dyDescent="0.4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2" customHeight="1" x14ac:dyDescent="0.4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2" customHeight="1" x14ac:dyDescent="0.4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2" customHeight="1" x14ac:dyDescent="0.4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2" customHeight="1" x14ac:dyDescent="0.4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2" customHeight="1" x14ac:dyDescent="0.4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2" customHeight="1" x14ac:dyDescent="0.4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2" customHeight="1" x14ac:dyDescent="0.4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2" customHeight="1" x14ac:dyDescent="0.4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2" customHeight="1" x14ac:dyDescent="0.4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2" customHeight="1" x14ac:dyDescent="0.4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2" customHeight="1" x14ac:dyDescent="0.4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2" customHeight="1" x14ac:dyDescent="0.4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2" customHeight="1" x14ac:dyDescent="0.4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2" customHeight="1" x14ac:dyDescent="0.4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2" customHeight="1" x14ac:dyDescent="0.4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2" customHeight="1" x14ac:dyDescent="0.4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2" customHeight="1" x14ac:dyDescent="0.4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2" customHeight="1" x14ac:dyDescent="0.4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2" customHeight="1" x14ac:dyDescent="0.4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2" customHeight="1" x14ac:dyDescent="0.4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2" customHeight="1" x14ac:dyDescent="0.4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2" customHeight="1" x14ac:dyDescent="0.4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2" customHeight="1" x14ac:dyDescent="0.4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2" customHeight="1" x14ac:dyDescent="0.4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2" customHeight="1" x14ac:dyDescent="0.4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2" customHeight="1" x14ac:dyDescent="0.4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2" customHeight="1" x14ac:dyDescent="0.4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2" customHeight="1" x14ac:dyDescent="0.4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2" customHeight="1" x14ac:dyDescent="0.4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2" customHeight="1" x14ac:dyDescent="0.4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2" customHeight="1" x14ac:dyDescent="0.4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2" customHeight="1" x14ac:dyDescent="0.4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2" customHeight="1" x14ac:dyDescent="0.4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2" customHeight="1" x14ac:dyDescent="0.4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2" customHeight="1" x14ac:dyDescent="0.4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2" customHeight="1" x14ac:dyDescent="0.4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2" customHeight="1" x14ac:dyDescent="0.4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2" customHeight="1" x14ac:dyDescent="0.4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2" customHeight="1" x14ac:dyDescent="0.4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2" customHeight="1" x14ac:dyDescent="0.4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2" customHeight="1" x14ac:dyDescent="0.4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2" customHeight="1" x14ac:dyDescent="0.4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2" customHeight="1" x14ac:dyDescent="0.4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2" customHeight="1" x14ac:dyDescent="0.4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2" customHeight="1" x14ac:dyDescent="0.4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2" customHeight="1" x14ac:dyDescent="0.4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2" customHeight="1" x14ac:dyDescent="0.4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2" customHeight="1" x14ac:dyDescent="0.4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2" customHeight="1" x14ac:dyDescent="0.4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2" customHeight="1" x14ac:dyDescent="0.4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2" customHeight="1" x14ac:dyDescent="0.4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2" customHeight="1" x14ac:dyDescent="0.4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2" customHeight="1" x14ac:dyDescent="0.4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2" customHeight="1" x14ac:dyDescent="0.4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2" customHeight="1" x14ac:dyDescent="0.4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2" customHeight="1" x14ac:dyDescent="0.4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2" customHeight="1" x14ac:dyDescent="0.4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2" customHeight="1" x14ac:dyDescent="0.4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2" customHeight="1" x14ac:dyDescent="0.4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2" customHeight="1" x14ac:dyDescent="0.4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2" customHeight="1" x14ac:dyDescent="0.4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2" customHeight="1" x14ac:dyDescent="0.4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2" customHeight="1" x14ac:dyDescent="0.4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2" customHeight="1" x14ac:dyDescent="0.4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2" customHeight="1" x14ac:dyDescent="0.4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2" customHeight="1" x14ac:dyDescent="0.4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2" customHeight="1" x14ac:dyDescent="0.4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2" customHeight="1" x14ac:dyDescent="0.4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2" customHeight="1" x14ac:dyDescent="0.4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2" customHeight="1" x14ac:dyDescent="0.4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2" customHeight="1" x14ac:dyDescent="0.4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2" customHeight="1" x14ac:dyDescent="0.4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2" customHeight="1" x14ac:dyDescent="0.4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2" customHeight="1" x14ac:dyDescent="0.4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2" customHeight="1" x14ac:dyDescent="0.4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2" customHeight="1" x14ac:dyDescent="0.4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2" customHeight="1" x14ac:dyDescent="0.4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2" customHeight="1" x14ac:dyDescent="0.4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2" customHeight="1" x14ac:dyDescent="0.4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2" customHeight="1" x14ac:dyDescent="0.4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2" customHeight="1" x14ac:dyDescent="0.4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2" customHeight="1" x14ac:dyDescent="0.4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2" customHeight="1" x14ac:dyDescent="0.4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2" customHeight="1" x14ac:dyDescent="0.4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2" customHeight="1" x14ac:dyDescent="0.4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2" customHeight="1" x14ac:dyDescent="0.4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2" customHeight="1" x14ac:dyDescent="0.4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2" customHeight="1" x14ac:dyDescent="0.4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2" customHeight="1" x14ac:dyDescent="0.4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2" customHeight="1" x14ac:dyDescent="0.4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2" customHeight="1" x14ac:dyDescent="0.4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2" customHeight="1" x14ac:dyDescent="0.4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2" customHeight="1" x14ac:dyDescent="0.4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2" customHeight="1" x14ac:dyDescent="0.4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2" customHeight="1" x14ac:dyDescent="0.4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2" customHeight="1" x14ac:dyDescent="0.4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2" customHeight="1" x14ac:dyDescent="0.4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2" customHeight="1" x14ac:dyDescent="0.4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2" customHeight="1" x14ac:dyDescent="0.4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2" customHeight="1" x14ac:dyDescent="0.4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2" customHeight="1" x14ac:dyDescent="0.4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2" customHeight="1" x14ac:dyDescent="0.4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2" customHeight="1" x14ac:dyDescent="0.4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2" customHeight="1" x14ac:dyDescent="0.4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2" customHeight="1" x14ac:dyDescent="0.4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2" customHeight="1" x14ac:dyDescent="0.4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2" customHeight="1" x14ac:dyDescent="0.4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2" customHeight="1" x14ac:dyDescent="0.4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2" customHeight="1" x14ac:dyDescent="0.4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2" customHeight="1" x14ac:dyDescent="0.4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2" customHeight="1" x14ac:dyDescent="0.4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2" customHeight="1" x14ac:dyDescent="0.4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2" customHeight="1" x14ac:dyDescent="0.4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2" customHeight="1" x14ac:dyDescent="0.4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2" customHeight="1" x14ac:dyDescent="0.4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2" customHeight="1" x14ac:dyDescent="0.4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2" customHeight="1" x14ac:dyDescent="0.4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2" customHeight="1" x14ac:dyDescent="0.4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2" customHeight="1" x14ac:dyDescent="0.4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2" customHeight="1" x14ac:dyDescent="0.4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2" customHeight="1" x14ac:dyDescent="0.4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2" customHeight="1" x14ac:dyDescent="0.4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2" customHeight="1" x14ac:dyDescent="0.4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2" customHeight="1" x14ac:dyDescent="0.4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2" customHeight="1" x14ac:dyDescent="0.4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2" customHeight="1" x14ac:dyDescent="0.4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2" customHeight="1" x14ac:dyDescent="0.4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2" customHeight="1" x14ac:dyDescent="0.4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2" customHeight="1" x14ac:dyDescent="0.4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2" customHeight="1" x14ac:dyDescent="0.4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2" customHeight="1" x14ac:dyDescent="0.4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2" customHeight="1" x14ac:dyDescent="0.4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2" customHeight="1" x14ac:dyDescent="0.4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2" customHeight="1" x14ac:dyDescent="0.4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2" customHeight="1" x14ac:dyDescent="0.4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2" customHeight="1" x14ac:dyDescent="0.4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2" customHeight="1" x14ac:dyDescent="0.4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2" customHeight="1" x14ac:dyDescent="0.4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2" customHeight="1" x14ac:dyDescent="0.4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2" customHeight="1" x14ac:dyDescent="0.4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2" customHeight="1" x14ac:dyDescent="0.4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2" customHeight="1" x14ac:dyDescent="0.4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2" customHeight="1" x14ac:dyDescent="0.4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2" customHeight="1" x14ac:dyDescent="0.4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2" customHeight="1" x14ac:dyDescent="0.4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2" customHeight="1" x14ac:dyDescent="0.4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2" customHeight="1" x14ac:dyDescent="0.4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2" customHeight="1" x14ac:dyDescent="0.4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2" customHeight="1" x14ac:dyDescent="0.4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2" customHeight="1" x14ac:dyDescent="0.4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2" customHeight="1" x14ac:dyDescent="0.4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2" customHeight="1" x14ac:dyDescent="0.4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2" customHeight="1" x14ac:dyDescent="0.4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2" customHeight="1" x14ac:dyDescent="0.4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2" customHeight="1" x14ac:dyDescent="0.4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2" customHeight="1" x14ac:dyDescent="0.4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2" customHeight="1" x14ac:dyDescent="0.4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2" customHeight="1" x14ac:dyDescent="0.4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2" customHeight="1" x14ac:dyDescent="0.4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2" customHeight="1" x14ac:dyDescent="0.4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2" customHeight="1" x14ac:dyDescent="0.4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2" customHeight="1" x14ac:dyDescent="0.4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2" customHeight="1" x14ac:dyDescent="0.4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2" customHeight="1" x14ac:dyDescent="0.4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2" customHeight="1" x14ac:dyDescent="0.4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2" customHeight="1" x14ac:dyDescent="0.4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2" customHeight="1" x14ac:dyDescent="0.4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2" customHeight="1" x14ac:dyDescent="0.4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2" customHeight="1" x14ac:dyDescent="0.4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2" customHeight="1" x14ac:dyDescent="0.4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2" customHeight="1" x14ac:dyDescent="0.4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2" customHeight="1" x14ac:dyDescent="0.4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2" customHeight="1" x14ac:dyDescent="0.4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2" customHeight="1" x14ac:dyDescent="0.4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2" customHeight="1" x14ac:dyDescent="0.4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2" customHeight="1" x14ac:dyDescent="0.4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2" customHeight="1" x14ac:dyDescent="0.4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2" customHeight="1" x14ac:dyDescent="0.4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2" customHeight="1" x14ac:dyDescent="0.4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2" customHeight="1" x14ac:dyDescent="0.4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2" customHeight="1" x14ac:dyDescent="0.4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2" customHeight="1" x14ac:dyDescent="0.4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2" customHeight="1" x14ac:dyDescent="0.4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2" customHeight="1" x14ac:dyDescent="0.4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2" customHeight="1" x14ac:dyDescent="0.4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2" customHeight="1" x14ac:dyDescent="0.4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2" customHeight="1" x14ac:dyDescent="0.4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2" customHeight="1" x14ac:dyDescent="0.4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2" customHeight="1" x14ac:dyDescent="0.4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2" customHeight="1" x14ac:dyDescent="0.4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2" customHeight="1" x14ac:dyDescent="0.4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2" customHeight="1" x14ac:dyDescent="0.4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2" customHeight="1" x14ac:dyDescent="0.4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2" customHeight="1" x14ac:dyDescent="0.4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2" customHeight="1" x14ac:dyDescent="0.4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2" customHeight="1" x14ac:dyDescent="0.4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2" customHeight="1" x14ac:dyDescent="0.4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2" customHeight="1" x14ac:dyDescent="0.4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2" customHeight="1" x14ac:dyDescent="0.4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2" customHeight="1" x14ac:dyDescent="0.4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2" customHeight="1" x14ac:dyDescent="0.4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2" customHeight="1" x14ac:dyDescent="0.4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2" customHeight="1" x14ac:dyDescent="0.4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2" customHeight="1" x14ac:dyDescent="0.4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2" customHeight="1" x14ac:dyDescent="0.4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2" customHeight="1" x14ac:dyDescent="0.4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2" customHeight="1" x14ac:dyDescent="0.4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2" customHeight="1" x14ac:dyDescent="0.4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2" customHeight="1" x14ac:dyDescent="0.4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2" customHeight="1" x14ac:dyDescent="0.4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2" customHeight="1" x14ac:dyDescent="0.4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2" customHeight="1" x14ac:dyDescent="0.4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2" customHeight="1" x14ac:dyDescent="0.4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2" customHeight="1" x14ac:dyDescent="0.4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2" customHeight="1" x14ac:dyDescent="0.4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2" customHeight="1" x14ac:dyDescent="0.4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2" customHeight="1" x14ac:dyDescent="0.4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2" customHeight="1" x14ac:dyDescent="0.4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2" customHeight="1" x14ac:dyDescent="0.4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2" customHeight="1" x14ac:dyDescent="0.4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2" customHeight="1" x14ac:dyDescent="0.4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2" customHeight="1" x14ac:dyDescent="0.4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2" customHeight="1" x14ac:dyDescent="0.4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2" customHeight="1" x14ac:dyDescent="0.4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2" customHeight="1" x14ac:dyDescent="0.4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2" customHeight="1" x14ac:dyDescent="0.4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2" customHeight="1" x14ac:dyDescent="0.4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2" customHeight="1" x14ac:dyDescent="0.4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2" customHeight="1" x14ac:dyDescent="0.4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2" customHeight="1" x14ac:dyDescent="0.4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2" customHeight="1" x14ac:dyDescent="0.4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2" customHeight="1" x14ac:dyDescent="0.4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2" customHeight="1" x14ac:dyDescent="0.4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2" customHeight="1" x14ac:dyDescent="0.4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2" customHeight="1" x14ac:dyDescent="0.4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2" customHeight="1" x14ac:dyDescent="0.4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2" customHeight="1" x14ac:dyDescent="0.4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2" customHeight="1" x14ac:dyDescent="0.4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2" customHeight="1" x14ac:dyDescent="0.4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2" customHeight="1" x14ac:dyDescent="0.4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2" customHeight="1" x14ac:dyDescent="0.4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2" customHeight="1" x14ac:dyDescent="0.4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2" customHeight="1" x14ac:dyDescent="0.4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2" customHeight="1" x14ac:dyDescent="0.4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2" customHeight="1" x14ac:dyDescent="0.4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2" customHeight="1" x14ac:dyDescent="0.4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2" customHeight="1" x14ac:dyDescent="0.4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2" customHeight="1" x14ac:dyDescent="0.4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2" customHeight="1" x14ac:dyDescent="0.4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2" customHeight="1" x14ac:dyDescent="0.4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2" customHeight="1" x14ac:dyDescent="0.4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2" customHeight="1" x14ac:dyDescent="0.4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2" customHeight="1" x14ac:dyDescent="0.4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2" customHeight="1" x14ac:dyDescent="0.4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2" customHeight="1" x14ac:dyDescent="0.4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2" customHeight="1" x14ac:dyDescent="0.4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2" customHeight="1" x14ac:dyDescent="0.4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2" customHeight="1" x14ac:dyDescent="0.4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2" customHeight="1" x14ac:dyDescent="0.4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2" customHeight="1" x14ac:dyDescent="0.4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2" customHeight="1" x14ac:dyDescent="0.4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2" customHeight="1" x14ac:dyDescent="0.4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2" customHeight="1" x14ac:dyDescent="0.4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2" customHeight="1" x14ac:dyDescent="0.4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2" customHeight="1" x14ac:dyDescent="0.4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2" customHeight="1" x14ac:dyDescent="0.4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2" customHeight="1" x14ac:dyDescent="0.4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2" customHeight="1" x14ac:dyDescent="0.4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2" customHeight="1" x14ac:dyDescent="0.4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2" customHeight="1" x14ac:dyDescent="0.4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2" customHeight="1" x14ac:dyDescent="0.4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2" customHeight="1" x14ac:dyDescent="0.4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2" customHeight="1" x14ac:dyDescent="0.4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2" customHeight="1" x14ac:dyDescent="0.4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2" customHeight="1" x14ac:dyDescent="0.4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2" customHeight="1" x14ac:dyDescent="0.4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2" customHeight="1" x14ac:dyDescent="0.4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2" customHeight="1" x14ac:dyDescent="0.4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2" customHeight="1" x14ac:dyDescent="0.4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2" customHeight="1" x14ac:dyDescent="0.4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2" customHeight="1" x14ac:dyDescent="0.4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2" customHeight="1" x14ac:dyDescent="0.4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2" customHeight="1" x14ac:dyDescent="0.4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2" customHeight="1" x14ac:dyDescent="0.4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2" customHeight="1" x14ac:dyDescent="0.4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2" customHeight="1" x14ac:dyDescent="0.4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2" customHeight="1" x14ac:dyDescent="0.4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2" customHeight="1" x14ac:dyDescent="0.4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2" customHeight="1" x14ac:dyDescent="0.4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2" customHeight="1" x14ac:dyDescent="0.4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2" customHeight="1" x14ac:dyDescent="0.4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2" customHeight="1" x14ac:dyDescent="0.4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2" customHeight="1" x14ac:dyDescent="0.4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2" customHeight="1" x14ac:dyDescent="0.4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2" customHeight="1" x14ac:dyDescent="0.4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2" customHeight="1" x14ac:dyDescent="0.4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2" customHeight="1" x14ac:dyDescent="0.4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2" customHeight="1" x14ac:dyDescent="0.4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2" customHeight="1" x14ac:dyDescent="0.4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2" customHeight="1" x14ac:dyDescent="0.4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2" customHeight="1" x14ac:dyDescent="0.4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2" customHeight="1" x14ac:dyDescent="0.4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2" customHeight="1" x14ac:dyDescent="0.4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2" customHeight="1" x14ac:dyDescent="0.4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2" customHeight="1" x14ac:dyDescent="0.4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2" customHeight="1" x14ac:dyDescent="0.4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2" customHeight="1" x14ac:dyDescent="0.4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2" customHeight="1" x14ac:dyDescent="0.4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2" customHeight="1" x14ac:dyDescent="0.4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2" customHeight="1" x14ac:dyDescent="0.4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2" customHeight="1" x14ac:dyDescent="0.4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2" customHeight="1" x14ac:dyDescent="0.4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2" customHeight="1" x14ac:dyDescent="0.4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2" customHeight="1" x14ac:dyDescent="0.4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2" customHeight="1" x14ac:dyDescent="0.4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2" customHeight="1" x14ac:dyDescent="0.4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2" customHeight="1" x14ac:dyDescent="0.4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2" customHeight="1" x14ac:dyDescent="0.4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2" customHeight="1" x14ac:dyDescent="0.4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2" customHeight="1" x14ac:dyDescent="0.4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2" customHeight="1" x14ac:dyDescent="0.4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2" customHeight="1" x14ac:dyDescent="0.4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2" customHeight="1" x14ac:dyDescent="0.4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2" customHeight="1" x14ac:dyDescent="0.4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2" customHeight="1" x14ac:dyDescent="0.4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2" customHeight="1" x14ac:dyDescent="0.4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2" customHeight="1" x14ac:dyDescent="0.4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2" customHeight="1" x14ac:dyDescent="0.4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2" customHeight="1" x14ac:dyDescent="0.4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2" customHeight="1" x14ac:dyDescent="0.4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2" customHeight="1" x14ac:dyDescent="0.4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2" customHeight="1" x14ac:dyDescent="0.4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2" customHeight="1" x14ac:dyDescent="0.4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2" customHeight="1" x14ac:dyDescent="0.4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2" customHeight="1" x14ac:dyDescent="0.4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2" customHeight="1" x14ac:dyDescent="0.4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2" customHeight="1" x14ac:dyDescent="0.4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2" customHeight="1" x14ac:dyDescent="0.4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2" customHeight="1" x14ac:dyDescent="0.4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2" customHeight="1" x14ac:dyDescent="0.4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2" customHeight="1" x14ac:dyDescent="0.4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2" customHeight="1" x14ac:dyDescent="0.4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2" customHeight="1" x14ac:dyDescent="0.4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2" customHeight="1" x14ac:dyDescent="0.4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2" customHeight="1" x14ac:dyDescent="0.4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2" customHeight="1" x14ac:dyDescent="0.4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2" customHeight="1" x14ac:dyDescent="0.4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2" customHeight="1" x14ac:dyDescent="0.4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2" customHeight="1" x14ac:dyDescent="0.4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2" customHeight="1" x14ac:dyDescent="0.4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2" customHeight="1" x14ac:dyDescent="0.4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2" customHeight="1" x14ac:dyDescent="0.4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2" customHeight="1" x14ac:dyDescent="0.4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2" customHeight="1" x14ac:dyDescent="0.4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2" customHeight="1" x14ac:dyDescent="0.4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2" customHeight="1" x14ac:dyDescent="0.4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2" customHeight="1" x14ac:dyDescent="0.4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2" customHeight="1" x14ac:dyDescent="0.4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2" customHeight="1" x14ac:dyDescent="0.4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2" customHeight="1" x14ac:dyDescent="0.4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2" customHeight="1" x14ac:dyDescent="0.4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2" customHeight="1" x14ac:dyDescent="0.4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2" customHeight="1" x14ac:dyDescent="0.4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2" customHeight="1" x14ac:dyDescent="0.4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2" customHeight="1" x14ac:dyDescent="0.4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2" customHeight="1" x14ac:dyDescent="0.4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2" customHeight="1" x14ac:dyDescent="0.4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2" customHeight="1" x14ac:dyDescent="0.4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2" customHeight="1" x14ac:dyDescent="0.4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2" customHeight="1" x14ac:dyDescent="0.4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2" customHeight="1" x14ac:dyDescent="0.4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2" customHeight="1" x14ac:dyDescent="0.4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2" customHeight="1" x14ac:dyDescent="0.4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2" customHeight="1" x14ac:dyDescent="0.4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2" customHeight="1" x14ac:dyDescent="0.4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2" customHeight="1" x14ac:dyDescent="0.4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2" customHeight="1" x14ac:dyDescent="0.4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2" customHeight="1" x14ac:dyDescent="0.4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2" customHeight="1" x14ac:dyDescent="0.4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2" customHeight="1" x14ac:dyDescent="0.4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2" customHeight="1" x14ac:dyDescent="0.4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2" customHeight="1" x14ac:dyDescent="0.4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2" customHeight="1" x14ac:dyDescent="0.4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2" customHeight="1" x14ac:dyDescent="0.4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2" customHeight="1" x14ac:dyDescent="0.4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2" customHeight="1" x14ac:dyDescent="0.4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2" customHeight="1" x14ac:dyDescent="0.4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2" customHeight="1" x14ac:dyDescent="0.4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2" customHeight="1" x14ac:dyDescent="0.4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2" customHeight="1" x14ac:dyDescent="0.4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2" customHeight="1" x14ac:dyDescent="0.4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2" customHeight="1" x14ac:dyDescent="0.4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2" customHeight="1" x14ac:dyDescent="0.4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2" customHeight="1" x14ac:dyDescent="0.4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2" customHeight="1" x14ac:dyDescent="0.4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2" customHeight="1" x14ac:dyDescent="0.4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2" customHeight="1" x14ac:dyDescent="0.4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2" customHeight="1" x14ac:dyDescent="0.4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2" customHeight="1" x14ac:dyDescent="0.4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2" customHeight="1" x14ac:dyDescent="0.4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2" customHeight="1" x14ac:dyDescent="0.4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2" customHeight="1" x14ac:dyDescent="0.4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2" customHeight="1" x14ac:dyDescent="0.4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2" customHeight="1" x14ac:dyDescent="0.4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2" customHeight="1" x14ac:dyDescent="0.4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2" customHeight="1" x14ac:dyDescent="0.4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2" customHeight="1" x14ac:dyDescent="0.4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2" customHeight="1" x14ac:dyDescent="0.4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2" customHeight="1" x14ac:dyDescent="0.4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2" customHeight="1" x14ac:dyDescent="0.4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2" customHeight="1" x14ac:dyDescent="0.4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2" customHeight="1" x14ac:dyDescent="0.4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2" customHeight="1" x14ac:dyDescent="0.4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2" customHeight="1" x14ac:dyDescent="0.4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2" customHeight="1" x14ac:dyDescent="0.4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2" customHeight="1" x14ac:dyDescent="0.4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2" customHeight="1" x14ac:dyDescent="0.4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2" customHeight="1" x14ac:dyDescent="0.4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2" customHeight="1" x14ac:dyDescent="0.4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2" customHeight="1" x14ac:dyDescent="0.4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2" customHeight="1" x14ac:dyDescent="0.4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2" customHeight="1" x14ac:dyDescent="0.4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2" customHeight="1" x14ac:dyDescent="0.4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2" customHeight="1" x14ac:dyDescent="0.4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2" customHeight="1" x14ac:dyDescent="0.4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2" customHeight="1" x14ac:dyDescent="0.4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2" customHeight="1" x14ac:dyDescent="0.4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2" customHeight="1" x14ac:dyDescent="0.4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2" customHeight="1" x14ac:dyDescent="0.4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2" customHeight="1" x14ac:dyDescent="0.4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2" customHeight="1" x14ac:dyDescent="0.4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2" customHeight="1" x14ac:dyDescent="0.4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2" customHeight="1" x14ac:dyDescent="0.4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2" customHeight="1" x14ac:dyDescent="0.4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2" customHeight="1" x14ac:dyDescent="0.4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2" customHeight="1" x14ac:dyDescent="0.4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2" customHeight="1" x14ac:dyDescent="0.4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2" customHeight="1" x14ac:dyDescent="0.4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2" customHeight="1" x14ac:dyDescent="0.4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2" customHeight="1" x14ac:dyDescent="0.4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2" customHeight="1" x14ac:dyDescent="0.4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2" customHeight="1" x14ac:dyDescent="0.4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2" customHeight="1" x14ac:dyDescent="0.4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2" customHeight="1" x14ac:dyDescent="0.4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2" customHeight="1" x14ac:dyDescent="0.4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2" customHeight="1" x14ac:dyDescent="0.4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2" customHeight="1" x14ac:dyDescent="0.4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2" customHeight="1" x14ac:dyDescent="0.4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2" customHeight="1" x14ac:dyDescent="0.4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2" customHeight="1" x14ac:dyDescent="0.4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2" customHeight="1" x14ac:dyDescent="0.4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2" customHeight="1" x14ac:dyDescent="0.4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2" customHeight="1" x14ac:dyDescent="0.4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2" customHeight="1" x14ac:dyDescent="0.4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2" customHeight="1" x14ac:dyDescent="0.4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2" customHeight="1" x14ac:dyDescent="0.4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2" customHeight="1" x14ac:dyDescent="0.4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2" customHeight="1" x14ac:dyDescent="0.4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2" customHeight="1" x14ac:dyDescent="0.4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2" customHeight="1" x14ac:dyDescent="0.4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2" customHeight="1" x14ac:dyDescent="0.4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2" customHeight="1" x14ac:dyDescent="0.4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2" customHeight="1" x14ac:dyDescent="0.4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2" customHeight="1" x14ac:dyDescent="0.4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2" customHeight="1" x14ac:dyDescent="0.4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2" customHeight="1" x14ac:dyDescent="0.4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2" customHeight="1" x14ac:dyDescent="0.4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2" customHeight="1" x14ac:dyDescent="0.4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2" customHeight="1" x14ac:dyDescent="0.4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2" customHeight="1" x14ac:dyDescent="0.4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2" customHeight="1" x14ac:dyDescent="0.4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2" customHeight="1" x14ac:dyDescent="0.4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2" customHeight="1" x14ac:dyDescent="0.4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2" customHeight="1" x14ac:dyDescent="0.4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2" customHeight="1" x14ac:dyDescent="0.4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2" customHeight="1" x14ac:dyDescent="0.4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2" customHeight="1" x14ac:dyDescent="0.4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2" customHeight="1" x14ac:dyDescent="0.4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2" customHeight="1" x14ac:dyDescent="0.4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2" customHeight="1" x14ac:dyDescent="0.4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2" customHeight="1" x14ac:dyDescent="0.4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2" customHeight="1" x14ac:dyDescent="0.4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2" customHeight="1" x14ac:dyDescent="0.4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2" customHeight="1" x14ac:dyDescent="0.4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2" customHeight="1" x14ac:dyDescent="0.4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2" customHeight="1" x14ac:dyDescent="0.4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2" customHeight="1" x14ac:dyDescent="0.4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2" customHeight="1" x14ac:dyDescent="0.4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2" customHeight="1" x14ac:dyDescent="0.4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2" customHeight="1" x14ac:dyDescent="0.4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2" customHeight="1" x14ac:dyDescent="0.4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2" customHeight="1" x14ac:dyDescent="0.4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2" customHeight="1" x14ac:dyDescent="0.4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2" customHeight="1" x14ac:dyDescent="0.4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2" customHeight="1" x14ac:dyDescent="0.4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2" customHeight="1" x14ac:dyDescent="0.4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2" customHeight="1" x14ac:dyDescent="0.4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2" customHeight="1" x14ac:dyDescent="0.4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2" customHeight="1" x14ac:dyDescent="0.4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2" customHeight="1" x14ac:dyDescent="0.4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2" customHeight="1" x14ac:dyDescent="0.4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2" customHeight="1" x14ac:dyDescent="0.4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2" customHeight="1" x14ac:dyDescent="0.4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2" customHeight="1" x14ac:dyDescent="0.4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2" customHeight="1" x14ac:dyDescent="0.4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2" customHeight="1" x14ac:dyDescent="0.4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2" customHeight="1" x14ac:dyDescent="0.4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2" customHeight="1" x14ac:dyDescent="0.4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2" customHeight="1" x14ac:dyDescent="0.4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2" customHeight="1" x14ac:dyDescent="0.4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2" customHeight="1" x14ac:dyDescent="0.4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2" customHeight="1" x14ac:dyDescent="0.4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2" customHeight="1" x14ac:dyDescent="0.4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2" customHeight="1" x14ac:dyDescent="0.4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2" customHeight="1" x14ac:dyDescent="0.4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2" customHeight="1" x14ac:dyDescent="0.4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2" customHeight="1" x14ac:dyDescent="0.4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2" customHeight="1" x14ac:dyDescent="0.4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2" customHeight="1" x14ac:dyDescent="0.4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2" customHeight="1" x14ac:dyDescent="0.4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2" customHeight="1" x14ac:dyDescent="0.4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2" customHeight="1" x14ac:dyDescent="0.4">
      <c r="W3439" s="50"/>
      <c r="X3439" s="50"/>
      <c r="Y3439" s="50"/>
      <c r="AY3439" s="50"/>
      <c r="AZ3439" s="50"/>
      <c r="BA3439" s="50"/>
    </row>
    <row r="3440" spans="23:53" ht="16.2" customHeight="1" x14ac:dyDescent="0.4">
      <c r="W3440" s="50"/>
      <c r="X3440" s="50"/>
      <c r="Y3440" s="50"/>
      <c r="AY3440" s="50"/>
      <c r="AZ3440" s="50"/>
      <c r="BA3440" s="50"/>
    </row>
    <row r="3441" spans="23:53" ht="16.2" customHeight="1" x14ac:dyDescent="0.4">
      <c r="W3441" s="50"/>
      <c r="X3441" s="50"/>
      <c r="Y3441" s="50"/>
      <c r="AY3441" s="50"/>
      <c r="AZ3441" s="50"/>
      <c r="BA3441" s="50"/>
    </row>
  </sheetData>
  <mergeCells count="284"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H24" sqref="H24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5" bestFit="1" customWidth="1"/>
    <col min="17" max="17" width="9.8984375" style="56"/>
    <col min="18" max="18" width="9.8984375" style="55"/>
    <col min="19" max="19" width="9.8984375" style="56"/>
    <col min="20" max="20" width="9.8984375" style="55"/>
    <col min="21" max="21" width="9.8984375" style="56"/>
    <col min="22" max="22" width="9.8984375" style="55"/>
    <col min="23" max="23" width="9.8984375" style="56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76" t="s">
        <v>59</v>
      </c>
      <c r="B3" s="176"/>
      <c r="C3" s="176"/>
      <c r="D3" s="176"/>
      <c r="E3" s="176"/>
      <c r="G3" s="176" t="s">
        <v>82</v>
      </c>
      <c r="H3" s="176"/>
      <c r="I3" s="176"/>
      <c r="J3" s="176"/>
      <c r="K3" s="176"/>
      <c r="L3" s="21"/>
      <c r="M3" s="21"/>
      <c r="N3" s="21"/>
      <c r="P3" s="176" t="s">
        <v>83</v>
      </c>
      <c r="Q3" s="176"/>
      <c r="R3" s="176"/>
      <c r="S3" s="176"/>
      <c r="T3" s="176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4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44489</v>
      </c>
      <c r="H5" s="37">
        <v>1.43E-2</v>
      </c>
      <c r="I5" s="32">
        <v>44489</v>
      </c>
      <c r="J5" s="37">
        <v>1.2E-2</v>
      </c>
      <c r="K5" s="34">
        <v>44489</v>
      </c>
      <c r="L5" s="37">
        <v>1.0999999999999999E-2</v>
      </c>
      <c r="M5" s="34"/>
      <c r="N5" s="37"/>
      <c r="P5" s="32">
        <v>44489</v>
      </c>
      <c r="Q5" s="37">
        <v>3.0000000000000001E-3</v>
      </c>
      <c r="R5" s="32">
        <v>44489</v>
      </c>
      <c r="S5" s="37">
        <f>Q5+0.0001</f>
        <v>3.0999999999999999E-3</v>
      </c>
      <c r="T5" s="34">
        <v>44489</v>
      </c>
      <c r="U5" s="37">
        <f>S5+0.0001</f>
        <v>3.1999999999999997E-3</v>
      </c>
      <c r="V5" s="34"/>
      <c r="W5" s="37"/>
    </row>
    <row r="6" spans="1:23" ht="18" customHeight="1" x14ac:dyDescent="0.4">
      <c r="A6" s="23" t="s">
        <v>61</v>
      </c>
      <c r="B6" s="26"/>
      <c r="C6" s="24">
        <v>1</v>
      </c>
      <c r="D6" s="24">
        <v>0</v>
      </c>
      <c r="E6" s="25">
        <v>0</v>
      </c>
      <c r="G6" s="32">
        <v>44490</v>
      </c>
      <c r="H6" s="37">
        <v>1.43E-2</v>
      </c>
      <c r="I6" s="32">
        <v>44490</v>
      </c>
      <c r="J6" s="37">
        <v>1.2E-2</v>
      </c>
      <c r="K6" s="34">
        <v>44490</v>
      </c>
      <c r="L6" s="37">
        <v>1.0999999999999999E-2</v>
      </c>
      <c r="M6" s="34"/>
      <c r="N6" s="37"/>
      <c r="P6" s="32">
        <v>44490</v>
      </c>
      <c r="Q6" s="37">
        <v>3.0000000000000001E-3</v>
      </c>
      <c r="R6" s="32">
        <v>44490</v>
      </c>
      <c r="S6" s="37">
        <f t="shared" ref="S6:S13" si="8">Q6+0.0001</f>
        <v>3.0999999999999999E-3</v>
      </c>
      <c r="T6" s="34">
        <v>44490</v>
      </c>
      <c r="U6" s="37">
        <f t="shared" ref="U6:U13" si="9">S6+0.0001</f>
        <v>3.1999999999999997E-3</v>
      </c>
      <c r="V6" s="34"/>
      <c r="W6" s="37"/>
    </row>
    <row r="7" spans="1:23" ht="18" customHeight="1" x14ac:dyDescent="0.4">
      <c r="A7" s="23" t="s">
        <v>62</v>
      </c>
      <c r="B7" s="26"/>
      <c r="C7" s="26"/>
      <c r="D7" s="24">
        <v>1</v>
      </c>
      <c r="E7" s="25">
        <v>0</v>
      </c>
      <c r="G7" s="32">
        <v>44491</v>
      </c>
      <c r="H7" s="37">
        <v>1.43E-2</v>
      </c>
      <c r="I7" s="32">
        <v>44491</v>
      </c>
      <c r="J7" s="37">
        <v>1.2E-2</v>
      </c>
      <c r="K7" s="34">
        <v>44491</v>
      </c>
      <c r="L7" s="37">
        <v>1.0999999999999999E-2</v>
      </c>
      <c r="M7" s="34"/>
      <c r="N7" s="37"/>
      <c r="P7" s="32">
        <v>44491</v>
      </c>
      <c r="Q7" s="37">
        <v>3.0000000000000001E-3</v>
      </c>
      <c r="R7" s="32">
        <v>44491</v>
      </c>
      <c r="S7" s="37">
        <f t="shared" si="8"/>
        <v>3.0999999999999999E-3</v>
      </c>
      <c r="T7" s="34">
        <v>44491</v>
      </c>
      <c r="U7" s="37">
        <f t="shared" si="9"/>
        <v>3.1999999999999997E-3</v>
      </c>
      <c r="V7" s="34"/>
      <c r="W7" s="37"/>
    </row>
    <row r="8" spans="1:23" ht="18" customHeight="1" x14ac:dyDescent="0.4">
      <c r="A8" s="23" t="s">
        <v>63</v>
      </c>
      <c r="B8" s="27"/>
      <c r="C8" s="27"/>
      <c r="D8" s="27"/>
      <c r="E8" s="25">
        <v>1</v>
      </c>
      <c r="G8" s="32">
        <v>44492</v>
      </c>
      <c r="H8" s="37">
        <v>1.43E-2</v>
      </c>
      <c r="I8" s="32">
        <v>44492</v>
      </c>
      <c r="J8" s="37">
        <v>1.2E-2</v>
      </c>
      <c r="K8" s="34">
        <v>44492</v>
      </c>
      <c r="L8" s="37">
        <v>1.0999999999999999E-2</v>
      </c>
      <c r="M8" s="34"/>
      <c r="N8" s="37"/>
      <c r="P8" s="32">
        <v>44492</v>
      </c>
      <c r="Q8" s="37">
        <v>3.0000000000000001E-3</v>
      </c>
      <c r="R8" s="32">
        <v>44492</v>
      </c>
      <c r="S8" s="37">
        <f t="shared" si="8"/>
        <v>3.0999999999999999E-3</v>
      </c>
      <c r="T8" s="34">
        <v>44492</v>
      </c>
      <c r="U8" s="37">
        <f t="shared" si="9"/>
        <v>3.1999999999999997E-3</v>
      </c>
      <c r="V8" s="34"/>
      <c r="W8" s="37"/>
    </row>
    <row r="9" spans="1:23" ht="18" customHeight="1" x14ac:dyDescent="0.4">
      <c r="G9" s="32">
        <v>44493</v>
      </c>
      <c r="H9" s="37">
        <v>1.43E-2</v>
      </c>
      <c r="I9" s="32">
        <v>44493</v>
      </c>
      <c r="J9" s="37">
        <v>1.2E-2</v>
      </c>
      <c r="K9" s="34">
        <v>44493</v>
      </c>
      <c r="L9" s="37">
        <v>1.0999999999999999E-2</v>
      </c>
      <c r="N9" s="37"/>
      <c r="P9" s="32">
        <v>44493</v>
      </c>
      <c r="Q9" s="37">
        <v>3.0000000000000001E-3</v>
      </c>
      <c r="R9" s="32">
        <v>44493</v>
      </c>
      <c r="S9" s="37">
        <f t="shared" si="8"/>
        <v>3.0999999999999999E-3</v>
      </c>
      <c r="T9" s="34">
        <v>44493</v>
      </c>
      <c r="U9" s="37">
        <f t="shared" si="9"/>
        <v>3.1999999999999997E-3</v>
      </c>
      <c r="V9" s="36"/>
      <c r="W9" s="37"/>
    </row>
    <row r="10" spans="1:23" ht="18" customHeight="1" x14ac:dyDescent="0.4">
      <c r="G10" s="32">
        <v>44494</v>
      </c>
      <c r="H10" s="37">
        <v>1.43E-2</v>
      </c>
      <c r="I10" s="32">
        <v>44494</v>
      </c>
      <c r="J10" s="37">
        <v>1.2E-2</v>
      </c>
      <c r="K10" s="34">
        <v>44494</v>
      </c>
      <c r="L10" s="37">
        <v>1.0999999999999999E-2</v>
      </c>
      <c r="N10" s="37"/>
      <c r="P10" s="32">
        <v>44494</v>
      </c>
      <c r="Q10" s="37">
        <v>3.0000000000000001E-3</v>
      </c>
      <c r="R10" s="32">
        <v>44494</v>
      </c>
      <c r="S10" s="37">
        <f t="shared" si="8"/>
        <v>3.0999999999999999E-3</v>
      </c>
      <c r="T10" s="34">
        <v>44494</v>
      </c>
      <c r="U10" s="37">
        <f t="shared" si="9"/>
        <v>3.1999999999999997E-3</v>
      </c>
      <c r="V10" s="36"/>
      <c r="W10" s="37"/>
    </row>
    <row r="11" spans="1:23" ht="18" customHeight="1" x14ac:dyDescent="0.4">
      <c r="G11" s="32">
        <v>44495</v>
      </c>
      <c r="H11" s="37">
        <v>1.43E-2</v>
      </c>
      <c r="I11" s="32">
        <v>44495</v>
      </c>
      <c r="J11" s="37">
        <v>1.2E-2</v>
      </c>
      <c r="K11" s="34">
        <v>44495</v>
      </c>
      <c r="L11" s="37">
        <v>1.0999999999999999E-2</v>
      </c>
      <c r="N11" s="37"/>
      <c r="P11" s="32">
        <v>44495</v>
      </c>
      <c r="Q11" s="37">
        <v>3.0000000000000001E-3</v>
      </c>
      <c r="R11" s="32">
        <v>44495</v>
      </c>
      <c r="S11" s="37">
        <f t="shared" si="8"/>
        <v>3.0999999999999999E-3</v>
      </c>
      <c r="T11" s="34">
        <v>44495</v>
      </c>
      <c r="U11" s="37">
        <f t="shared" si="9"/>
        <v>3.1999999999999997E-3</v>
      </c>
      <c r="V11" s="36"/>
      <c r="W11" s="37"/>
    </row>
    <row r="12" spans="1:23" ht="18" customHeight="1" x14ac:dyDescent="0.4">
      <c r="G12" s="32">
        <v>44496</v>
      </c>
      <c r="H12" s="37">
        <v>1.43E-2</v>
      </c>
      <c r="I12" s="32">
        <v>44496</v>
      </c>
      <c r="J12" s="37">
        <v>1.2E-2</v>
      </c>
      <c r="K12" s="34">
        <v>44496</v>
      </c>
      <c r="L12" s="37">
        <v>1.0999999999999999E-2</v>
      </c>
      <c r="N12" s="37"/>
      <c r="P12" s="32">
        <v>44496</v>
      </c>
      <c r="Q12" s="37">
        <v>3.0000000000000001E-3</v>
      </c>
      <c r="R12" s="32">
        <v>44496</v>
      </c>
      <c r="S12" s="37">
        <f t="shared" si="8"/>
        <v>3.0999999999999999E-3</v>
      </c>
      <c r="T12" s="34">
        <v>44496</v>
      </c>
      <c r="U12" s="37">
        <f t="shared" si="9"/>
        <v>3.1999999999999997E-3</v>
      </c>
      <c r="V12" s="36"/>
      <c r="W12" s="37"/>
    </row>
    <row r="13" spans="1:23" ht="18" customHeight="1" x14ac:dyDescent="0.4">
      <c r="G13" s="32">
        <v>44497</v>
      </c>
      <c r="H13" s="37">
        <v>1.43E-2</v>
      </c>
      <c r="I13" s="32">
        <v>44497</v>
      </c>
      <c r="J13" s="37">
        <v>1.2E-2</v>
      </c>
      <c r="K13" s="34">
        <v>44497</v>
      </c>
      <c r="L13" s="37">
        <v>1.0999999999999999E-2</v>
      </c>
      <c r="N13" s="37"/>
      <c r="P13" s="32">
        <v>44497</v>
      </c>
      <c r="Q13" s="37">
        <v>3.0000000000000001E-3</v>
      </c>
      <c r="R13" s="32">
        <v>44497</v>
      </c>
      <c r="S13" s="37">
        <f t="shared" si="8"/>
        <v>3.0999999999999999E-3</v>
      </c>
      <c r="T13" s="34">
        <v>44497</v>
      </c>
      <c r="U13" s="37">
        <f t="shared" si="9"/>
        <v>3.1999999999999997E-3</v>
      </c>
      <c r="V13" s="36"/>
      <c r="W13" s="37"/>
    </row>
    <row r="14" spans="1:23" ht="18" customHeight="1" x14ac:dyDescent="0.4">
      <c r="G14" s="32">
        <v>44498</v>
      </c>
      <c r="H14" s="37">
        <v>1.43E-2</v>
      </c>
      <c r="I14" s="32">
        <v>44498</v>
      </c>
      <c r="J14" s="37">
        <v>1.2E-2</v>
      </c>
      <c r="K14" s="32">
        <v>44498</v>
      </c>
      <c r="L14" s="37">
        <v>1.0999999999999999E-2</v>
      </c>
      <c r="P14" s="32">
        <v>44498</v>
      </c>
      <c r="Q14" s="37">
        <v>3.0000000000000001E-3</v>
      </c>
      <c r="R14" s="32">
        <v>44498</v>
      </c>
      <c r="S14" s="37">
        <v>1.43E-2</v>
      </c>
      <c r="T14" s="32">
        <v>44498</v>
      </c>
      <c r="U14" s="37">
        <v>1.43E-2</v>
      </c>
      <c r="V14" s="36"/>
      <c r="W14" s="38"/>
    </row>
    <row r="15" spans="1:23" ht="18" customHeight="1" x14ac:dyDescent="0.4">
      <c r="G15" s="32">
        <v>44499</v>
      </c>
      <c r="H15" s="37">
        <v>1.43E-2</v>
      </c>
      <c r="I15" s="32">
        <v>44499</v>
      </c>
      <c r="J15" s="37">
        <v>1.2E-2</v>
      </c>
      <c r="K15" s="32">
        <v>44499</v>
      </c>
      <c r="L15" s="37">
        <v>1.0999999999999999E-2</v>
      </c>
      <c r="P15" s="32">
        <v>44499</v>
      </c>
      <c r="Q15" s="37">
        <v>3.0000000000000001E-3</v>
      </c>
      <c r="R15" s="32">
        <v>44499</v>
      </c>
      <c r="S15" s="37">
        <v>1.43E-2</v>
      </c>
      <c r="T15" s="32">
        <v>44499</v>
      </c>
      <c r="U15" s="37">
        <v>1.43E-2</v>
      </c>
      <c r="V15" s="36"/>
      <c r="W15" s="38"/>
    </row>
    <row r="16" spans="1:23" ht="18" customHeight="1" x14ac:dyDescent="0.4">
      <c r="G16" s="32">
        <v>44500</v>
      </c>
      <c r="H16" s="37">
        <v>1.43E-2</v>
      </c>
      <c r="I16" s="32">
        <v>44500</v>
      </c>
      <c r="J16" s="37">
        <v>1.2E-2</v>
      </c>
      <c r="K16" s="32">
        <v>44500</v>
      </c>
      <c r="L16" s="37">
        <v>1.0999999999999999E-2</v>
      </c>
      <c r="P16" s="32">
        <v>44500</v>
      </c>
      <c r="Q16" s="37">
        <v>3.0000000000000001E-3</v>
      </c>
      <c r="R16" s="32">
        <v>44500</v>
      </c>
      <c r="S16" s="37">
        <v>1.43E-2</v>
      </c>
      <c r="T16" s="32">
        <v>44500</v>
      </c>
      <c r="U16" s="37">
        <v>1.43E-2</v>
      </c>
      <c r="V16" s="36"/>
      <c r="W16" s="38"/>
    </row>
    <row r="17" spans="7:23" ht="18" customHeight="1" x14ac:dyDescent="0.4">
      <c r="G17" s="32">
        <v>44501</v>
      </c>
      <c r="H17" s="37">
        <v>1.43E-2</v>
      </c>
      <c r="I17" s="32">
        <v>44501</v>
      </c>
      <c r="J17" s="37">
        <v>1.2E-2</v>
      </c>
      <c r="K17" s="32">
        <v>44501</v>
      </c>
      <c r="L17" s="37">
        <v>1.0999999999999999E-2</v>
      </c>
      <c r="P17" s="32">
        <v>44501</v>
      </c>
      <c r="Q17" s="37">
        <v>3.0000000000000001E-3</v>
      </c>
      <c r="R17" s="32">
        <v>44501</v>
      </c>
      <c r="S17" s="37">
        <v>1.43E-2</v>
      </c>
      <c r="T17" s="32">
        <v>44501</v>
      </c>
      <c r="U17" s="37">
        <v>1.43E-2</v>
      </c>
      <c r="V17" s="36"/>
      <c r="W17" s="38"/>
    </row>
    <row r="18" spans="7:23" ht="18" customHeight="1" x14ac:dyDescent="0.4">
      <c r="G18" s="32">
        <v>44502</v>
      </c>
      <c r="H18" s="37">
        <v>1.43E-2</v>
      </c>
      <c r="I18" s="32">
        <v>44502</v>
      </c>
      <c r="J18" s="37">
        <v>1.2E-2</v>
      </c>
      <c r="K18" s="32">
        <v>44502</v>
      </c>
      <c r="L18" s="37">
        <v>1.0999999999999999E-2</v>
      </c>
      <c r="P18" s="32">
        <v>44502</v>
      </c>
      <c r="Q18" s="37">
        <v>3.0000000000000001E-3</v>
      </c>
      <c r="R18" s="32">
        <v>44502</v>
      </c>
      <c r="S18" s="37">
        <v>1.43E-2</v>
      </c>
      <c r="T18" s="32">
        <v>44502</v>
      </c>
      <c r="U18" s="37">
        <v>1.43E-2</v>
      </c>
      <c r="V18" s="36"/>
      <c r="W18" s="38"/>
    </row>
    <row r="19" spans="7:23" ht="18" customHeight="1" x14ac:dyDescent="0.4">
      <c r="G19" s="32">
        <v>44503</v>
      </c>
      <c r="H19" s="37">
        <v>1.43E-2</v>
      </c>
      <c r="I19" s="32">
        <v>44503</v>
      </c>
      <c r="J19" s="37">
        <v>1.2E-2</v>
      </c>
      <c r="K19" s="32">
        <v>44503</v>
      </c>
      <c r="L19" s="37">
        <v>1.0999999999999999E-2</v>
      </c>
      <c r="P19" s="32">
        <v>44503</v>
      </c>
      <c r="Q19" s="37">
        <v>3.0000000000000001E-3</v>
      </c>
      <c r="R19" s="32">
        <v>44503</v>
      </c>
      <c r="S19" s="37">
        <v>1.43E-2</v>
      </c>
      <c r="T19" s="32">
        <v>44503</v>
      </c>
      <c r="U19" s="37">
        <v>1.43E-2</v>
      </c>
      <c r="V19" s="34"/>
      <c r="W19" s="37"/>
    </row>
    <row r="20" spans="7:23" ht="18" customHeight="1" x14ac:dyDescent="0.4">
      <c r="G20" s="32">
        <v>44504</v>
      </c>
      <c r="H20" s="37">
        <v>1.43E-2</v>
      </c>
      <c r="I20" s="32">
        <v>44504</v>
      </c>
      <c r="J20" s="37">
        <v>1.2E-2</v>
      </c>
      <c r="K20" s="32">
        <v>44504</v>
      </c>
      <c r="L20" s="37">
        <v>1.0999999999999999E-2</v>
      </c>
      <c r="P20" s="32">
        <v>44504</v>
      </c>
      <c r="Q20" s="37">
        <v>3.0000000000000001E-3</v>
      </c>
      <c r="R20" s="32">
        <v>44504</v>
      </c>
      <c r="S20" s="37">
        <v>1.43E-2</v>
      </c>
      <c r="T20" s="32">
        <v>44504</v>
      </c>
      <c r="U20" s="37">
        <v>1.43E-2</v>
      </c>
      <c r="V20" s="34"/>
      <c r="W20" s="37"/>
    </row>
    <row r="21" spans="7:23" ht="18" customHeight="1" x14ac:dyDescent="0.4">
      <c r="G21" s="32">
        <v>44505</v>
      </c>
      <c r="H21" s="37">
        <v>1.43E-2</v>
      </c>
      <c r="I21" s="32">
        <v>44505</v>
      </c>
      <c r="J21" s="37">
        <v>1.2E-2</v>
      </c>
      <c r="K21" s="32">
        <v>44505</v>
      </c>
      <c r="L21" s="37">
        <v>1.0999999999999999E-2</v>
      </c>
      <c r="P21" s="32">
        <v>44505</v>
      </c>
      <c r="Q21" s="37">
        <v>3.0000000000000001E-3</v>
      </c>
      <c r="R21" s="32">
        <v>44505</v>
      </c>
      <c r="S21" s="37">
        <v>1.43E-2</v>
      </c>
      <c r="T21" s="32">
        <v>44505</v>
      </c>
      <c r="U21" s="37">
        <v>1.43E-2</v>
      </c>
      <c r="V21" s="34"/>
      <c r="W21" s="37"/>
    </row>
    <row r="22" spans="7:23" ht="18" customHeight="1" x14ac:dyDescent="0.4">
      <c r="G22" s="32">
        <v>44506</v>
      </c>
      <c r="H22" s="37">
        <v>1.43E-2</v>
      </c>
      <c r="I22" s="32">
        <v>44506</v>
      </c>
      <c r="J22" s="37">
        <v>1.2E-2</v>
      </c>
      <c r="K22" s="32">
        <v>44506</v>
      </c>
      <c r="L22" s="37">
        <v>1.0999999999999999E-2</v>
      </c>
      <c r="P22" s="32">
        <v>44506</v>
      </c>
      <c r="Q22" s="37">
        <v>3.0000000000000001E-3</v>
      </c>
      <c r="R22" s="32">
        <v>44506</v>
      </c>
      <c r="S22" s="37">
        <v>1.43E-2</v>
      </c>
      <c r="T22" s="32">
        <v>44506</v>
      </c>
      <c r="U22" s="37">
        <v>1.43E-2</v>
      </c>
      <c r="V22" s="34"/>
      <c r="W22" s="37"/>
    </row>
    <row r="23" spans="7:23" ht="18" customHeight="1" x14ac:dyDescent="0.4">
      <c r="G23" s="32">
        <v>44507</v>
      </c>
      <c r="H23" s="37">
        <v>1.43E-2</v>
      </c>
      <c r="I23" s="32">
        <v>44507</v>
      </c>
      <c r="J23" s="37">
        <v>1.2E-2</v>
      </c>
      <c r="K23" s="32">
        <v>44507</v>
      </c>
      <c r="L23" s="37">
        <v>1.0999999999999999E-2</v>
      </c>
      <c r="P23" s="32">
        <v>44507</v>
      </c>
      <c r="Q23" s="37">
        <v>3.0000000000000001E-3</v>
      </c>
      <c r="R23" s="32">
        <v>44507</v>
      </c>
      <c r="S23" s="37">
        <v>1.43E-2</v>
      </c>
      <c r="T23" s="32">
        <v>44507</v>
      </c>
      <c r="U23" s="37">
        <v>1.43E-2</v>
      </c>
      <c r="V23" s="36"/>
      <c r="W23" s="37"/>
    </row>
    <row r="24" spans="7:23" ht="18" customHeight="1" x14ac:dyDescent="0.4">
      <c r="G24" s="32">
        <v>44508</v>
      </c>
      <c r="H24" s="37">
        <v>1.43E-2</v>
      </c>
      <c r="I24" s="32">
        <v>44508</v>
      </c>
      <c r="J24" s="37">
        <v>1.2E-2</v>
      </c>
      <c r="K24" s="32">
        <v>44508</v>
      </c>
      <c r="L24" s="37">
        <v>1.0999999999999999E-2</v>
      </c>
      <c r="P24" s="32">
        <v>44508</v>
      </c>
      <c r="Q24" s="37">
        <v>3.0000000000000001E-3</v>
      </c>
      <c r="R24" s="32">
        <v>44508</v>
      </c>
      <c r="S24" s="37">
        <v>1.43E-2</v>
      </c>
      <c r="T24" s="32">
        <v>44508</v>
      </c>
      <c r="U24" s="37">
        <v>1.43E-2</v>
      </c>
      <c r="V24" s="36"/>
      <c r="W24" s="37"/>
    </row>
    <row r="25" spans="7:23" ht="18" customHeight="1" x14ac:dyDescent="0.4">
      <c r="G25" s="32">
        <v>44509</v>
      </c>
      <c r="H25" s="37">
        <v>1.43E-2</v>
      </c>
      <c r="I25" s="32">
        <v>44509</v>
      </c>
      <c r="J25" s="37">
        <v>1.2E-2</v>
      </c>
      <c r="K25" s="32">
        <v>44509</v>
      </c>
      <c r="L25" s="37">
        <v>1.0999999999999999E-2</v>
      </c>
      <c r="P25" s="32">
        <v>44509</v>
      </c>
      <c r="Q25" s="37">
        <v>3.0000000000000001E-3</v>
      </c>
      <c r="R25" s="32">
        <v>44509</v>
      </c>
      <c r="S25" s="37">
        <v>1.43E-2</v>
      </c>
      <c r="T25" s="32">
        <v>44509</v>
      </c>
      <c r="U25" s="37">
        <v>1.43E-2</v>
      </c>
      <c r="V25" s="36"/>
      <c r="W25" s="37"/>
    </row>
    <row r="26" spans="7:23" ht="18" customHeight="1" x14ac:dyDescent="0.4">
      <c r="G26" s="32">
        <f>G25+1</f>
        <v>44510</v>
      </c>
      <c r="H26" s="37">
        <v>1.43E-2</v>
      </c>
      <c r="I26" s="32">
        <f>I25+1</f>
        <v>44510</v>
      </c>
      <c r="J26" s="37">
        <v>1.2E-2</v>
      </c>
      <c r="K26" s="32">
        <f>K25+1</f>
        <v>44510</v>
      </c>
      <c r="L26" s="37">
        <v>1.0999999999999999E-2</v>
      </c>
      <c r="V26" s="36"/>
      <c r="W26" s="37"/>
    </row>
    <row r="27" spans="7:23" ht="18" customHeight="1" x14ac:dyDescent="0.4">
      <c r="G27" s="32">
        <f t="shared" ref="G27:G90" si="10">G26+1</f>
        <v>44511</v>
      </c>
      <c r="H27" s="37">
        <v>1.43E-2</v>
      </c>
      <c r="I27" s="32">
        <f t="shared" ref="I27:I90" si="11">I26+1</f>
        <v>44511</v>
      </c>
      <c r="J27" s="37">
        <v>1.2E-2</v>
      </c>
      <c r="K27" s="32">
        <f t="shared" ref="K27:K90" si="12">K26+1</f>
        <v>44511</v>
      </c>
      <c r="L27" s="37">
        <v>1.0999999999999999E-2</v>
      </c>
      <c r="V27" s="36"/>
      <c r="W27" s="37"/>
    </row>
    <row r="28" spans="7:23" ht="18" customHeight="1" x14ac:dyDescent="0.4">
      <c r="G28" s="32">
        <f t="shared" si="10"/>
        <v>44512</v>
      </c>
      <c r="H28" s="37">
        <v>1.43E-2</v>
      </c>
      <c r="I28" s="32">
        <f t="shared" si="11"/>
        <v>44512</v>
      </c>
      <c r="J28" s="37">
        <v>1.2E-2</v>
      </c>
      <c r="K28" s="32">
        <f t="shared" si="12"/>
        <v>44512</v>
      </c>
      <c r="L28" s="37">
        <v>1.0999999999999999E-2</v>
      </c>
      <c r="V28" s="36"/>
      <c r="W28" s="38"/>
    </row>
    <row r="29" spans="7:23" ht="18" customHeight="1" x14ac:dyDescent="0.4">
      <c r="G29" s="32">
        <f t="shared" si="10"/>
        <v>44513</v>
      </c>
      <c r="H29" s="37">
        <v>1.43E-2</v>
      </c>
      <c r="I29" s="32">
        <f t="shared" si="11"/>
        <v>44513</v>
      </c>
      <c r="J29" s="37">
        <v>1.2E-2</v>
      </c>
      <c r="K29" s="32">
        <f t="shared" si="12"/>
        <v>44513</v>
      </c>
      <c r="L29" s="37">
        <v>1.0999999999999999E-2</v>
      </c>
      <c r="V29" s="36"/>
      <c r="W29" s="38"/>
    </row>
    <row r="30" spans="7:23" ht="18" customHeight="1" x14ac:dyDescent="0.4">
      <c r="G30" s="32">
        <f t="shared" si="10"/>
        <v>44514</v>
      </c>
      <c r="H30" s="37">
        <v>1.43E-2</v>
      </c>
      <c r="I30" s="32">
        <f t="shared" si="11"/>
        <v>44514</v>
      </c>
      <c r="J30" s="37">
        <v>1.2E-2</v>
      </c>
      <c r="K30" s="32">
        <f t="shared" si="12"/>
        <v>44514</v>
      </c>
      <c r="L30" s="37">
        <v>1.0999999999999999E-2</v>
      </c>
      <c r="V30" s="36"/>
      <c r="W30" s="38"/>
    </row>
    <row r="31" spans="7:23" ht="18" customHeight="1" x14ac:dyDescent="0.4">
      <c r="G31" s="32">
        <f t="shared" si="10"/>
        <v>44515</v>
      </c>
      <c r="H31" s="37">
        <v>1.43E-2</v>
      </c>
      <c r="I31" s="32">
        <f t="shared" si="11"/>
        <v>44515</v>
      </c>
      <c r="J31" s="37">
        <v>1.2E-2</v>
      </c>
      <c r="K31" s="32">
        <f t="shared" si="12"/>
        <v>44515</v>
      </c>
      <c r="L31" s="37">
        <v>1.0999999999999999E-2</v>
      </c>
      <c r="V31" s="36"/>
      <c r="W31" s="38"/>
    </row>
    <row r="32" spans="7:23" ht="18" customHeight="1" x14ac:dyDescent="0.4">
      <c r="G32" s="32">
        <f t="shared" si="10"/>
        <v>44516</v>
      </c>
      <c r="H32" s="37">
        <v>1.43E-2</v>
      </c>
      <c r="I32" s="32">
        <f t="shared" si="11"/>
        <v>44516</v>
      </c>
      <c r="J32" s="37">
        <v>1.2E-2</v>
      </c>
      <c r="K32" s="32">
        <f t="shared" si="12"/>
        <v>44516</v>
      </c>
      <c r="L32" s="37">
        <v>1.0999999999999999E-2</v>
      </c>
      <c r="V32" s="36"/>
      <c r="W32" s="38"/>
    </row>
    <row r="33" spans="7:12" ht="18" customHeight="1" x14ac:dyDescent="0.4">
      <c r="G33" s="32">
        <f t="shared" si="10"/>
        <v>44517</v>
      </c>
      <c r="H33" s="37">
        <v>1.43E-2</v>
      </c>
      <c r="I33" s="32">
        <f t="shared" si="11"/>
        <v>44517</v>
      </c>
      <c r="J33" s="37">
        <v>1.2E-2</v>
      </c>
      <c r="K33" s="32">
        <f t="shared" si="12"/>
        <v>44517</v>
      </c>
      <c r="L33" s="37">
        <v>1.0999999999999999E-2</v>
      </c>
    </row>
    <row r="34" spans="7:12" ht="18" customHeight="1" x14ac:dyDescent="0.4">
      <c r="G34" s="32">
        <f t="shared" si="10"/>
        <v>44518</v>
      </c>
      <c r="H34" s="37">
        <v>1.43E-2</v>
      </c>
      <c r="I34" s="32">
        <f t="shared" si="11"/>
        <v>44518</v>
      </c>
      <c r="J34" s="37">
        <v>1.2E-2</v>
      </c>
      <c r="K34" s="32">
        <f t="shared" si="12"/>
        <v>44518</v>
      </c>
      <c r="L34" s="37">
        <v>1.0999999999999999E-2</v>
      </c>
    </row>
    <row r="35" spans="7:12" ht="18" customHeight="1" x14ac:dyDescent="0.4">
      <c r="G35" s="32">
        <f t="shared" si="10"/>
        <v>44519</v>
      </c>
      <c r="H35" s="37">
        <v>1.43E-2</v>
      </c>
      <c r="I35" s="32">
        <f t="shared" si="11"/>
        <v>44519</v>
      </c>
      <c r="J35" s="37">
        <v>1.2E-2</v>
      </c>
      <c r="K35" s="32">
        <f t="shared" si="12"/>
        <v>44519</v>
      </c>
      <c r="L35" s="37">
        <v>1.0999999999999999E-2</v>
      </c>
    </row>
    <row r="36" spans="7:12" ht="18" customHeight="1" x14ac:dyDescent="0.4">
      <c r="G36" s="32">
        <f t="shared" si="10"/>
        <v>44520</v>
      </c>
      <c r="H36" s="37">
        <v>1.43E-2</v>
      </c>
      <c r="I36" s="32">
        <f t="shared" si="11"/>
        <v>44520</v>
      </c>
      <c r="J36" s="37">
        <v>1.2E-2</v>
      </c>
      <c r="K36" s="32">
        <f t="shared" si="12"/>
        <v>44520</v>
      </c>
      <c r="L36" s="37">
        <v>1.0999999999999999E-2</v>
      </c>
    </row>
    <row r="37" spans="7:12" ht="18" customHeight="1" x14ac:dyDescent="0.4">
      <c r="G37" s="32">
        <f t="shared" si="10"/>
        <v>44521</v>
      </c>
      <c r="H37" s="37">
        <v>1.43E-2</v>
      </c>
      <c r="I37" s="32">
        <f t="shared" si="11"/>
        <v>44521</v>
      </c>
      <c r="J37" s="37">
        <v>1.2E-2</v>
      </c>
      <c r="K37" s="32">
        <f t="shared" si="12"/>
        <v>44521</v>
      </c>
      <c r="L37" s="37">
        <v>1.0999999999999999E-2</v>
      </c>
    </row>
    <row r="38" spans="7:12" ht="18" customHeight="1" x14ac:dyDescent="0.4">
      <c r="G38" s="32">
        <f t="shared" si="10"/>
        <v>44522</v>
      </c>
      <c r="H38" s="37">
        <v>1.43E-2</v>
      </c>
      <c r="I38" s="32">
        <f t="shared" si="11"/>
        <v>44522</v>
      </c>
      <c r="J38" s="37">
        <v>1.2E-2</v>
      </c>
      <c r="K38" s="32">
        <f t="shared" si="12"/>
        <v>44522</v>
      </c>
      <c r="L38" s="37">
        <v>1.0999999999999999E-2</v>
      </c>
    </row>
    <row r="39" spans="7:12" ht="18" customHeight="1" x14ac:dyDescent="0.4">
      <c r="G39" s="32">
        <f t="shared" si="10"/>
        <v>44523</v>
      </c>
      <c r="H39" s="37">
        <v>1.43E-2</v>
      </c>
      <c r="I39" s="32">
        <f t="shared" si="11"/>
        <v>44523</v>
      </c>
      <c r="J39" s="37">
        <v>1.2E-2</v>
      </c>
      <c r="K39" s="32">
        <f t="shared" si="12"/>
        <v>44523</v>
      </c>
      <c r="L39" s="37">
        <v>1.0999999999999999E-2</v>
      </c>
    </row>
    <row r="40" spans="7:12" ht="18" customHeight="1" x14ac:dyDescent="0.4">
      <c r="G40" s="32">
        <f t="shared" si="10"/>
        <v>44524</v>
      </c>
      <c r="H40" s="37">
        <v>1.43E-2</v>
      </c>
      <c r="I40" s="32">
        <f t="shared" si="11"/>
        <v>44524</v>
      </c>
      <c r="J40" s="37">
        <v>1.2E-2</v>
      </c>
      <c r="K40" s="32">
        <f t="shared" si="12"/>
        <v>44524</v>
      </c>
      <c r="L40" s="37">
        <v>1.0999999999999999E-2</v>
      </c>
    </row>
    <row r="41" spans="7:12" ht="18" customHeight="1" x14ac:dyDescent="0.4">
      <c r="G41" s="32">
        <f t="shared" si="10"/>
        <v>44525</v>
      </c>
      <c r="H41" s="37">
        <v>1.43E-2</v>
      </c>
      <c r="I41" s="32">
        <f t="shared" si="11"/>
        <v>44525</v>
      </c>
      <c r="J41" s="37">
        <v>1.2E-2</v>
      </c>
      <c r="K41" s="32">
        <f t="shared" si="12"/>
        <v>44525</v>
      </c>
      <c r="L41" s="37">
        <v>1.0999999999999999E-2</v>
      </c>
    </row>
    <row r="42" spans="7:12" ht="18" customHeight="1" x14ac:dyDescent="0.4">
      <c r="G42" s="32">
        <f t="shared" si="10"/>
        <v>44526</v>
      </c>
      <c r="H42" s="37">
        <v>1.43E-2</v>
      </c>
      <c r="I42" s="32">
        <f t="shared" si="11"/>
        <v>44526</v>
      </c>
      <c r="J42" s="37">
        <v>1.2E-2</v>
      </c>
      <c r="K42" s="32">
        <f t="shared" si="12"/>
        <v>44526</v>
      </c>
      <c r="L42" s="37">
        <v>1.0999999999999999E-2</v>
      </c>
    </row>
    <row r="43" spans="7:12" ht="18" customHeight="1" x14ac:dyDescent="0.4">
      <c r="G43" s="32">
        <f t="shared" si="10"/>
        <v>44527</v>
      </c>
      <c r="H43" s="37">
        <v>1.43E-2</v>
      </c>
      <c r="I43" s="32">
        <f t="shared" si="11"/>
        <v>44527</v>
      </c>
      <c r="J43" s="37">
        <v>1.2E-2</v>
      </c>
      <c r="K43" s="32">
        <f t="shared" si="12"/>
        <v>44527</v>
      </c>
      <c r="L43" s="37">
        <v>1.0999999999999999E-2</v>
      </c>
    </row>
    <row r="44" spans="7:12" ht="18" customHeight="1" x14ac:dyDescent="0.4">
      <c r="G44" s="32">
        <f t="shared" si="10"/>
        <v>44528</v>
      </c>
      <c r="H44" s="37">
        <v>1.43E-2</v>
      </c>
      <c r="I44" s="32">
        <f t="shared" si="11"/>
        <v>44528</v>
      </c>
      <c r="J44" s="37">
        <v>1.2E-2</v>
      </c>
      <c r="K44" s="32">
        <f t="shared" si="12"/>
        <v>44528</v>
      </c>
      <c r="L44" s="37">
        <v>1.0999999999999999E-2</v>
      </c>
    </row>
    <row r="45" spans="7:12" ht="18" customHeight="1" x14ac:dyDescent="0.4">
      <c r="G45" s="32">
        <f t="shared" si="10"/>
        <v>44529</v>
      </c>
      <c r="H45" s="37">
        <v>1.43E-2</v>
      </c>
      <c r="I45" s="32">
        <f t="shared" si="11"/>
        <v>44529</v>
      </c>
      <c r="J45" s="37">
        <v>1.2E-2</v>
      </c>
      <c r="K45" s="32">
        <f t="shared" si="12"/>
        <v>44529</v>
      </c>
      <c r="L45" s="37">
        <v>1.0999999999999999E-2</v>
      </c>
    </row>
    <row r="46" spans="7:12" ht="18" customHeight="1" x14ac:dyDescent="0.4">
      <c r="G46" s="32">
        <f t="shared" si="10"/>
        <v>44530</v>
      </c>
      <c r="H46" s="37">
        <v>1.43E-2</v>
      </c>
      <c r="I46" s="32">
        <f t="shared" si="11"/>
        <v>44530</v>
      </c>
      <c r="J46" s="37">
        <v>1.2E-2</v>
      </c>
      <c r="K46" s="32">
        <f t="shared" si="12"/>
        <v>44530</v>
      </c>
      <c r="L46" s="37">
        <v>1.0999999999999999E-2</v>
      </c>
    </row>
    <row r="47" spans="7:12" ht="18" customHeight="1" x14ac:dyDescent="0.4">
      <c r="G47" s="32">
        <f t="shared" si="10"/>
        <v>44531</v>
      </c>
      <c r="H47" s="37">
        <v>1.43E-2</v>
      </c>
      <c r="I47" s="32">
        <f t="shared" si="11"/>
        <v>44531</v>
      </c>
      <c r="J47" s="37">
        <v>1.2E-2</v>
      </c>
      <c r="K47" s="32">
        <f t="shared" si="12"/>
        <v>44531</v>
      </c>
      <c r="L47" s="37">
        <v>1.0999999999999999E-2</v>
      </c>
    </row>
    <row r="48" spans="7:12" ht="18" customHeight="1" x14ac:dyDescent="0.4">
      <c r="G48" s="32">
        <f t="shared" si="10"/>
        <v>44532</v>
      </c>
      <c r="H48" s="37">
        <v>1.43E-2</v>
      </c>
      <c r="I48" s="32">
        <f t="shared" si="11"/>
        <v>44532</v>
      </c>
      <c r="J48" s="37">
        <v>1.2E-2</v>
      </c>
      <c r="K48" s="32">
        <f t="shared" si="12"/>
        <v>44532</v>
      </c>
      <c r="L48" s="37">
        <v>1.0999999999999999E-2</v>
      </c>
    </row>
    <row r="49" spans="7:12" ht="18" customHeight="1" x14ac:dyDescent="0.4">
      <c r="G49" s="32">
        <f t="shared" si="10"/>
        <v>44533</v>
      </c>
      <c r="H49" s="37">
        <v>1.43E-2</v>
      </c>
      <c r="I49" s="32">
        <f t="shared" si="11"/>
        <v>44533</v>
      </c>
      <c r="J49" s="37">
        <v>1.2E-2</v>
      </c>
      <c r="K49" s="32">
        <f t="shared" si="12"/>
        <v>44533</v>
      </c>
      <c r="L49" s="37">
        <v>1.0999999999999999E-2</v>
      </c>
    </row>
    <row r="50" spans="7:12" ht="18" customHeight="1" x14ac:dyDescent="0.4">
      <c r="G50" s="32">
        <f t="shared" si="10"/>
        <v>44534</v>
      </c>
      <c r="H50" s="37">
        <v>1.43E-2</v>
      </c>
      <c r="I50" s="32">
        <f t="shared" si="11"/>
        <v>44534</v>
      </c>
      <c r="J50" s="37">
        <v>1.2E-2</v>
      </c>
      <c r="K50" s="32">
        <f t="shared" si="12"/>
        <v>44534</v>
      </c>
      <c r="L50" s="37">
        <v>1.0999999999999999E-2</v>
      </c>
    </row>
    <row r="51" spans="7:12" ht="18" customHeight="1" x14ac:dyDescent="0.4">
      <c r="G51" s="32">
        <f t="shared" si="10"/>
        <v>44535</v>
      </c>
      <c r="H51" s="37">
        <v>1.43E-2</v>
      </c>
      <c r="I51" s="32">
        <f t="shared" si="11"/>
        <v>44535</v>
      </c>
      <c r="J51" s="37">
        <v>1.2E-2</v>
      </c>
      <c r="K51" s="32">
        <f t="shared" si="12"/>
        <v>44535</v>
      </c>
      <c r="L51" s="37">
        <v>1.0999999999999999E-2</v>
      </c>
    </row>
    <row r="52" spans="7:12" ht="18" customHeight="1" x14ac:dyDescent="0.4">
      <c r="G52" s="32">
        <f t="shared" si="10"/>
        <v>44536</v>
      </c>
      <c r="H52" s="37">
        <v>1.43E-2</v>
      </c>
      <c r="I52" s="32">
        <f t="shared" si="11"/>
        <v>44536</v>
      </c>
      <c r="J52" s="37">
        <v>1.2E-2</v>
      </c>
      <c r="K52" s="32">
        <f t="shared" si="12"/>
        <v>44536</v>
      </c>
      <c r="L52" s="37">
        <v>1.0999999999999999E-2</v>
      </c>
    </row>
    <row r="53" spans="7:12" ht="18" customHeight="1" x14ac:dyDescent="0.4">
      <c r="G53" s="32">
        <f t="shared" si="10"/>
        <v>44537</v>
      </c>
      <c r="H53" s="37">
        <v>1.43E-2</v>
      </c>
      <c r="I53" s="32">
        <f t="shared" si="11"/>
        <v>44537</v>
      </c>
      <c r="J53" s="37">
        <v>1.2E-2</v>
      </c>
      <c r="K53" s="32">
        <f t="shared" si="12"/>
        <v>44537</v>
      </c>
      <c r="L53" s="37">
        <v>1.0999999999999999E-2</v>
      </c>
    </row>
    <row r="54" spans="7:12" ht="18" customHeight="1" x14ac:dyDescent="0.4">
      <c r="G54" s="32">
        <f t="shared" si="10"/>
        <v>44538</v>
      </c>
      <c r="H54" s="37">
        <v>1.43E-2</v>
      </c>
      <c r="I54" s="32">
        <f t="shared" si="11"/>
        <v>44538</v>
      </c>
      <c r="J54" s="37">
        <v>1.2E-2</v>
      </c>
      <c r="K54" s="32">
        <f t="shared" si="12"/>
        <v>44538</v>
      </c>
      <c r="L54" s="37">
        <v>1.0999999999999999E-2</v>
      </c>
    </row>
    <row r="55" spans="7:12" ht="18" customHeight="1" x14ac:dyDescent="0.4">
      <c r="G55" s="32">
        <f t="shared" si="10"/>
        <v>44539</v>
      </c>
      <c r="H55" s="37">
        <v>1.43E-2</v>
      </c>
      <c r="I55" s="32">
        <f t="shared" si="11"/>
        <v>44539</v>
      </c>
      <c r="J55" s="37">
        <v>1.2E-2</v>
      </c>
      <c r="K55" s="32">
        <f t="shared" si="12"/>
        <v>44539</v>
      </c>
      <c r="L55" s="37">
        <v>1.0999999999999999E-2</v>
      </c>
    </row>
    <row r="56" spans="7:12" ht="18" customHeight="1" x14ac:dyDescent="0.4">
      <c r="G56" s="32">
        <f t="shared" si="10"/>
        <v>44540</v>
      </c>
      <c r="H56" s="37">
        <v>1.43E-2</v>
      </c>
      <c r="I56" s="32">
        <f t="shared" si="11"/>
        <v>44540</v>
      </c>
      <c r="J56" s="37">
        <v>1.2E-2</v>
      </c>
      <c r="K56" s="32">
        <f t="shared" si="12"/>
        <v>44540</v>
      </c>
      <c r="L56" s="37">
        <v>1.0999999999999999E-2</v>
      </c>
    </row>
    <row r="57" spans="7:12" ht="18" customHeight="1" x14ac:dyDescent="0.4">
      <c r="G57" s="32">
        <f t="shared" si="10"/>
        <v>44541</v>
      </c>
      <c r="H57" s="37">
        <v>1.43E-2</v>
      </c>
      <c r="I57" s="32">
        <f t="shared" si="11"/>
        <v>44541</v>
      </c>
      <c r="J57" s="37">
        <v>1.2E-2</v>
      </c>
      <c r="K57" s="32">
        <f t="shared" si="12"/>
        <v>44541</v>
      </c>
      <c r="L57" s="37">
        <v>1.0999999999999999E-2</v>
      </c>
    </row>
    <row r="58" spans="7:12" ht="18" customHeight="1" x14ac:dyDescent="0.4">
      <c r="G58" s="32">
        <f t="shared" si="10"/>
        <v>44542</v>
      </c>
      <c r="H58" s="37">
        <v>1.43E-2</v>
      </c>
      <c r="I58" s="32">
        <f t="shared" si="11"/>
        <v>44542</v>
      </c>
      <c r="J58" s="37">
        <v>1.2E-2</v>
      </c>
      <c r="K58" s="32">
        <f t="shared" si="12"/>
        <v>44542</v>
      </c>
      <c r="L58" s="37">
        <v>1.0999999999999999E-2</v>
      </c>
    </row>
    <row r="59" spans="7:12" ht="18" customHeight="1" x14ac:dyDescent="0.4">
      <c r="G59" s="32">
        <f t="shared" si="10"/>
        <v>44543</v>
      </c>
      <c r="H59" s="37">
        <v>1.43E-2</v>
      </c>
      <c r="I59" s="32">
        <f t="shared" si="11"/>
        <v>44543</v>
      </c>
      <c r="J59" s="37">
        <v>1.2E-2</v>
      </c>
      <c r="K59" s="32">
        <f t="shared" si="12"/>
        <v>44543</v>
      </c>
      <c r="L59" s="37">
        <v>1.0999999999999999E-2</v>
      </c>
    </row>
    <row r="60" spans="7:12" ht="18" customHeight="1" x14ac:dyDescent="0.4">
      <c r="G60" s="32">
        <f t="shared" si="10"/>
        <v>44544</v>
      </c>
      <c r="H60" s="37">
        <v>1.43E-2</v>
      </c>
      <c r="I60" s="32">
        <f t="shared" si="11"/>
        <v>44544</v>
      </c>
      <c r="J60" s="37">
        <v>1.2E-2</v>
      </c>
      <c r="K60" s="32">
        <f t="shared" si="12"/>
        <v>44544</v>
      </c>
      <c r="L60" s="37">
        <v>1.0999999999999999E-2</v>
      </c>
    </row>
    <row r="61" spans="7:12" ht="18" customHeight="1" x14ac:dyDescent="0.4">
      <c r="G61" s="32">
        <f t="shared" si="10"/>
        <v>44545</v>
      </c>
      <c r="H61" s="37">
        <v>1.43E-2</v>
      </c>
      <c r="I61" s="32">
        <f t="shared" si="11"/>
        <v>44545</v>
      </c>
      <c r="J61" s="37">
        <v>1.2E-2</v>
      </c>
      <c r="K61" s="32">
        <f t="shared" si="12"/>
        <v>44545</v>
      </c>
      <c r="L61" s="37">
        <v>1.0999999999999999E-2</v>
      </c>
    </row>
    <row r="62" spans="7:12" ht="18" customHeight="1" x14ac:dyDescent="0.4">
      <c r="G62" s="32">
        <f t="shared" si="10"/>
        <v>44546</v>
      </c>
      <c r="H62" s="37">
        <v>1.43E-2</v>
      </c>
      <c r="I62" s="32">
        <f t="shared" si="11"/>
        <v>44546</v>
      </c>
      <c r="J62" s="37">
        <v>1.2E-2</v>
      </c>
      <c r="K62" s="32">
        <f t="shared" si="12"/>
        <v>44546</v>
      </c>
      <c r="L62" s="37">
        <v>1.0999999999999999E-2</v>
      </c>
    </row>
    <row r="63" spans="7:12" ht="18" customHeight="1" x14ac:dyDescent="0.4">
      <c r="G63" s="32">
        <f t="shared" si="10"/>
        <v>44547</v>
      </c>
      <c r="H63" s="37">
        <v>1.43E-2</v>
      </c>
      <c r="I63" s="32">
        <f t="shared" si="11"/>
        <v>44547</v>
      </c>
      <c r="J63" s="37">
        <v>1.2E-2</v>
      </c>
      <c r="K63" s="32">
        <f t="shared" si="12"/>
        <v>44547</v>
      </c>
      <c r="L63" s="37">
        <v>1.0999999999999999E-2</v>
      </c>
    </row>
    <row r="64" spans="7:12" ht="18" customHeight="1" x14ac:dyDescent="0.4">
      <c r="G64" s="32">
        <f t="shared" si="10"/>
        <v>44548</v>
      </c>
      <c r="H64" s="37">
        <v>1.43E-2</v>
      </c>
      <c r="I64" s="32">
        <f t="shared" si="11"/>
        <v>44548</v>
      </c>
      <c r="J64" s="37">
        <v>1.2E-2</v>
      </c>
      <c r="K64" s="32">
        <f t="shared" si="12"/>
        <v>44548</v>
      </c>
      <c r="L64" s="37">
        <v>1.0999999999999999E-2</v>
      </c>
    </row>
    <row r="65" spans="7:12" ht="18" customHeight="1" x14ac:dyDescent="0.4">
      <c r="G65" s="32">
        <f t="shared" si="10"/>
        <v>44549</v>
      </c>
      <c r="H65" s="37">
        <v>1.43E-2</v>
      </c>
      <c r="I65" s="32">
        <f t="shared" si="11"/>
        <v>44549</v>
      </c>
      <c r="J65" s="37">
        <v>1.2E-2</v>
      </c>
      <c r="K65" s="32">
        <f t="shared" si="12"/>
        <v>44549</v>
      </c>
      <c r="L65" s="37">
        <v>1.0999999999999999E-2</v>
      </c>
    </row>
    <row r="66" spans="7:12" ht="18" customHeight="1" x14ac:dyDescent="0.4">
      <c r="G66" s="32">
        <f t="shared" si="10"/>
        <v>44550</v>
      </c>
      <c r="H66" s="37">
        <v>1.43E-2</v>
      </c>
      <c r="I66" s="32">
        <f t="shared" si="11"/>
        <v>44550</v>
      </c>
      <c r="J66" s="37">
        <v>1.2E-2</v>
      </c>
      <c r="K66" s="32">
        <f t="shared" si="12"/>
        <v>44550</v>
      </c>
      <c r="L66" s="37">
        <v>1.0999999999999999E-2</v>
      </c>
    </row>
    <row r="67" spans="7:12" ht="18" customHeight="1" x14ac:dyDescent="0.4">
      <c r="G67" s="32">
        <f t="shared" si="10"/>
        <v>44551</v>
      </c>
      <c r="H67" s="37">
        <v>1.43E-2</v>
      </c>
      <c r="I67" s="32">
        <f t="shared" si="11"/>
        <v>44551</v>
      </c>
      <c r="J67" s="37">
        <v>1.2E-2</v>
      </c>
      <c r="K67" s="32">
        <f t="shared" si="12"/>
        <v>44551</v>
      </c>
      <c r="L67" s="37">
        <v>1.0999999999999999E-2</v>
      </c>
    </row>
    <row r="68" spans="7:12" ht="18" customHeight="1" x14ac:dyDescent="0.4">
      <c r="G68" s="32">
        <f t="shared" si="10"/>
        <v>44552</v>
      </c>
      <c r="H68" s="37">
        <v>1.43E-2</v>
      </c>
      <c r="I68" s="32">
        <f t="shared" si="11"/>
        <v>44552</v>
      </c>
      <c r="J68" s="37">
        <v>1.2E-2</v>
      </c>
      <c r="K68" s="32">
        <f t="shared" si="12"/>
        <v>44552</v>
      </c>
      <c r="L68" s="37">
        <v>1.0999999999999999E-2</v>
      </c>
    </row>
    <row r="69" spans="7:12" ht="18" customHeight="1" x14ac:dyDescent="0.4">
      <c r="G69" s="32">
        <f t="shared" si="10"/>
        <v>44553</v>
      </c>
      <c r="H69" s="37">
        <v>1.43E-2</v>
      </c>
      <c r="I69" s="32">
        <f t="shared" si="11"/>
        <v>44553</v>
      </c>
      <c r="J69" s="37">
        <v>1.2E-2</v>
      </c>
      <c r="K69" s="32">
        <f t="shared" si="12"/>
        <v>44553</v>
      </c>
      <c r="L69" s="37">
        <v>1.0999999999999999E-2</v>
      </c>
    </row>
    <row r="70" spans="7:12" ht="18" customHeight="1" x14ac:dyDescent="0.4">
      <c r="G70" s="32">
        <f t="shared" si="10"/>
        <v>44554</v>
      </c>
      <c r="H70" s="37">
        <v>1.43E-2</v>
      </c>
      <c r="I70" s="32">
        <f t="shared" si="11"/>
        <v>44554</v>
      </c>
      <c r="J70" s="37">
        <v>1.2E-2</v>
      </c>
      <c r="K70" s="32">
        <f t="shared" si="12"/>
        <v>44554</v>
      </c>
      <c r="L70" s="37">
        <v>1.0999999999999999E-2</v>
      </c>
    </row>
    <row r="71" spans="7:12" ht="18" customHeight="1" x14ac:dyDescent="0.4">
      <c r="G71" s="32">
        <f t="shared" si="10"/>
        <v>44555</v>
      </c>
      <c r="H71" s="37">
        <v>1.43E-2</v>
      </c>
      <c r="I71" s="32">
        <f t="shared" si="11"/>
        <v>44555</v>
      </c>
      <c r="J71" s="37">
        <v>1.2E-2</v>
      </c>
      <c r="K71" s="32">
        <f t="shared" si="12"/>
        <v>44555</v>
      </c>
      <c r="L71" s="37">
        <v>1.0999999999999999E-2</v>
      </c>
    </row>
    <row r="72" spans="7:12" ht="18" customHeight="1" x14ac:dyDescent="0.4">
      <c r="G72" s="32">
        <f t="shared" si="10"/>
        <v>44556</v>
      </c>
      <c r="H72" s="37">
        <v>1.43E-2</v>
      </c>
      <c r="I72" s="32">
        <f t="shared" si="11"/>
        <v>44556</v>
      </c>
      <c r="J72" s="37">
        <v>1.2E-2</v>
      </c>
      <c r="K72" s="32">
        <f t="shared" si="12"/>
        <v>44556</v>
      </c>
      <c r="L72" s="37">
        <v>1.0999999999999999E-2</v>
      </c>
    </row>
    <row r="73" spans="7:12" ht="18" customHeight="1" x14ac:dyDescent="0.4">
      <c r="G73" s="32">
        <f t="shared" si="10"/>
        <v>44557</v>
      </c>
      <c r="H73" s="37">
        <v>1.43E-2</v>
      </c>
      <c r="I73" s="32">
        <f t="shared" si="11"/>
        <v>44557</v>
      </c>
      <c r="J73" s="37">
        <v>1.2E-2</v>
      </c>
      <c r="K73" s="32">
        <f t="shared" si="12"/>
        <v>44557</v>
      </c>
      <c r="L73" s="37">
        <v>1.0999999999999999E-2</v>
      </c>
    </row>
    <row r="74" spans="7:12" ht="18" customHeight="1" x14ac:dyDescent="0.4">
      <c r="G74" s="32">
        <f t="shared" si="10"/>
        <v>44558</v>
      </c>
      <c r="H74" s="37">
        <v>1.43E-2</v>
      </c>
      <c r="I74" s="32">
        <f t="shared" si="11"/>
        <v>44558</v>
      </c>
      <c r="J74" s="37">
        <v>1.2E-2</v>
      </c>
      <c r="K74" s="32">
        <f t="shared" si="12"/>
        <v>44558</v>
      </c>
      <c r="L74" s="37">
        <v>1.0999999999999999E-2</v>
      </c>
    </row>
    <row r="75" spans="7:12" ht="18" customHeight="1" x14ac:dyDescent="0.4">
      <c r="G75" s="32">
        <f t="shared" si="10"/>
        <v>44559</v>
      </c>
      <c r="H75" s="37">
        <v>1.43E-2</v>
      </c>
      <c r="I75" s="32">
        <f t="shared" si="11"/>
        <v>44559</v>
      </c>
      <c r="J75" s="37">
        <v>1.2E-2</v>
      </c>
      <c r="K75" s="32">
        <f t="shared" si="12"/>
        <v>44559</v>
      </c>
      <c r="L75" s="37">
        <v>1.0999999999999999E-2</v>
      </c>
    </row>
    <row r="76" spans="7:12" ht="18" customHeight="1" x14ac:dyDescent="0.4">
      <c r="G76" s="32">
        <f t="shared" si="10"/>
        <v>44560</v>
      </c>
      <c r="H76" s="37">
        <v>1.43E-2</v>
      </c>
      <c r="I76" s="32">
        <f t="shared" si="11"/>
        <v>44560</v>
      </c>
      <c r="J76" s="37">
        <v>1.2E-2</v>
      </c>
      <c r="K76" s="32">
        <f t="shared" si="12"/>
        <v>44560</v>
      </c>
      <c r="L76" s="37">
        <v>1.0999999999999999E-2</v>
      </c>
    </row>
    <row r="77" spans="7:12" ht="18" customHeight="1" x14ac:dyDescent="0.4">
      <c r="G77" s="32">
        <f t="shared" si="10"/>
        <v>44561</v>
      </c>
      <c r="H77" s="37">
        <v>1.43E-2</v>
      </c>
      <c r="I77" s="32">
        <f t="shared" si="11"/>
        <v>44561</v>
      </c>
      <c r="J77" s="37">
        <v>1.2E-2</v>
      </c>
      <c r="K77" s="32">
        <f t="shared" si="12"/>
        <v>44561</v>
      </c>
      <c r="L77" s="37">
        <v>1.0999999999999999E-2</v>
      </c>
    </row>
    <row r="78" spans="7:12" ht="18" customHeight="1" x14ac:dyDescent="0.4">
      <c r="G78" s="32">
        <f t="shared" si="10"/>
        <v>44562</v>
      </c>
      <c r="H78" s="37">
        <v>1.43E-2</v>
      </c>
      <c r="I78" s="32">
        <f t="shared" si="11"/>
        <v>44562</v>
      </c>
      <c r="J78" s="37">
        <v>1.2E-2</v>
      </c>
      <c r="K78" s="32">
        <f t="shared" si="12"/>
        <v>44562</v>
      </c>
      <c r="L78" s="37">
        <v>1.0999999999999999E-2</v>
      </c>
    </row>
    <row r="79" spans="7:12" ht="18" customHeight="1" x14ac:dyDescent="0.4">
      <c r="G79" s="32">
        <f t="shared" si="10"/>
        <v>44563</v>
      </c>
      <c r="H79" s="37">
        <v>1.43E-2</v>
      </c>
      <c r="I79" s="32">
        <f t="shared" si="11"/>
        <v>44563</v>
      </c>
      <c r="J79" s="37">
        <v>1.2E-2</v>
      </c>
      <c r="K79" s="32">
        <f t="shared" si="12"/>
        <v>44563</v>
      </c>
      <c r="L79" s="37">
        <v>1.0999999999999999E-2</v>
      </c>
    </row>
    <row r="80" spans="7:12" ht="18" customHeight="1" x14ac:dyDescent="0.4">
      <c r="G80" s="32">
        <f t="shared" si="10"/>
        <v>44564</v>
      </c>
      <c r="H80" s="37">
        <v>1.43E-2</v>
      </c>
      <c r="I80" s="32">
        <f t="shared" si="11"/>
        <v>44564</v>
      </c>
      <c r="J80" s="37">
        <v>1.2E-2</v>
      </c>
      <c r="K80" s="32">
        <f t="shared" si="12"/>
        <v>44564</v>
      </c>
      <c r="L80" s="37">
        <v>1.0999999999999999E-2</v>
      </c>
    </row>
    <row r="81" spans="7:12" ht="18" customHeight="1" x14ac:dyDescent="0.4">
      <c r="G81" s="32">
        <f t="shared" si="10"/>
        <v>44565</v>
      </c>
      <c r="H81" s="37">
        <v>1.43E-2</v>
      </c>
      <c r="I81" s="32">
        <f t="shared" si="11"/>
        <v>44565</v>
      </c>
      <c r="J81" s="37">
        <v>1.2E-2</v>
      </c>
      <c r="K81" s="32">
        <f t="shared" si="12"/>
        <v>44565</v>
      </c>
      <c r="L81" s="37">
        <v>1.0999999999999999E-2</v>
      </c>
    </row>
    <row r="82" spans="7:12" ht="18" customHeight="1" x14ac:dyDescent="0.4">
      <c r="G82" s="32">
        <f t="shared" si="10"/>
        <v>44566</v>
      </c>
      <c r="H82" s="37">
        <v>1.43E-2</v>
      </c>
      <c r="I82" s="32">
        <f t="shared" si="11"/>
        <v>44566</v>
      </c>
      <c r="J82" s="37">
        <v>1.2E-2</v>
      </c>
      <c r="K82" s="32">
        <f t="shared" si="12"/>
        <v>44566</v>
      </c>
      <c r="L82" s="37">
        <v>1.0999999999999999E-2</v>
      </c>
    </row>
    <row r="83" spans="7:12" ht="18" customHeight="1" x14ac:dyDescent="0.4">
      <c r="G83" s="32">
        <f t="shared" si="10"/>
        <v>44567</v>
      </c>
      <c r="H83" s="37">
        <v>1.43E-2</v>
      </c>
      <c r="I83" s="32">
        <f t="shared" si="11"/>
        <v>44567</v>
      </c>
      <c r="J83" s="37">
        <v>1.2E-2</v>
      </c>
      <c r="K83" s="32">
        <f t="shared" si="12"/>
        <v>44567</v>
      </c>
      <c r="L83" s="37">
        <v>1.0999999999999999E-2</v>
      </c>
    </row>
    <row r="84" spans="7:12" ht="18" customHeight="1" x14ac:dyDescent="0.4">
      <c r="G84" s="32">
        <f t="shared" si="10"/>
        <v>44568</v>
      </c>
      <c r="H84" s="37">
        <v>1.43E-2</v>
      </c>
      <c r="I84" s="32">
        <f t="shared" si="11"/>
        <v>44568</v>
      </c>
      <c r="J84" s="37">
        <v>1.2E-2</v>
      </c>
      <c r="K84" s="32">
        <f t="shared" si="12"/>
        <v>44568</v>
      </c>
      <c r="L84" s="37">
        <v>1.0999999999999999E-2</v>
      </c>
    </row>
    <row r="85" spans="7:12" ht="18" customHeight="1" x14ac:dyDescent="0.4">
      <c r="G85" s="32">
        <f t="shared" si="10"/>
        <v>44569</v>
      </c>
      <c r="H85" s="37">
        <v>1.43E-2</v>
      </c>
      <c r="I85" s="32">
        <f t="shared" si="11"/>
        <v>44569</v>
      </c>
      <c r="J85" s="37">
        <v>1.2E-2</v>
      </c>
      <c r="K85" s="32">
        <f t="shared" si="12"/>
        <v>44569</v>
      </c>
      <c r="L85" s="37">
        <v>1.0999999999999999E-2</v>
      </c>
    </row>
    <row r="86" spans="7:12" ht="18" customHeight="1" x14ac:dyDescent="0.4">
      <c r="G86" s="32">
        <f t="shared" si="10"/>
        <v>44570</v>
      </c>
      <c r="H86" s="37">
        <v>1.43E-2</v>
      </c>
      <c r="I86" s="32">
        <f t="shared" si="11"/>
        <v>44570</v>
      </c>
      <c r="J86" s="37">
        <v>1.2E-2</v>
      </c>
      <c r="K86" s="32">
        <f t="shared" si="12"/>
        <v>44570</v>
      </c>
      <c r="L86" s="37">
        <v>1.0999999999999999E-2</v>
      </c>
    </row>
    <row r="87" spans="7:12" ht="18" customHeight="1" x14ac:dyDescent="0.4">
      <c r="G87" s="32">
        <f t="shared" si="10"/>
        <v>44571</v>
      </c>
      <c r="H87" s="37">
        <v>1.43E-2</v>
      </c>
      <c r="I87" s="32">
        <f t="shared" si="11"/>
        <v>44571</v>
      </c>
      <c r="J87" s="37">
        <v>1.2E-2</v>
      </c>
      <c r="K87" s="32">
        <f t="shared" si="12"/>
        <v>44571</v>
      </c>
      <c r="L87" s="37">
        <v>1.0999999999999999E-2</v>
      </c>
    </row>
    <row r="88" spans="7:12" ht="18" customHeight="1" x14ac:dyDescent="0.4">
      <c r="G88" s="32">
        <f t="shared" si="10"/>
        <v>44572</v>
      </c>
      <c r="H88" s="37">
        <v>1.43E-2</v>
      </c>
      <c r="I88" s="32">
        <f t="shared" si="11"/>
        <v>44572</v>
      </c>
      <c r="J88" s="37">
        <v>1.2E-2</v>
      </c>
      <c r="K88" s="32">
        <f t="shared" si="12"/>
        <v>44572</v>
      </c>
      <c r="L88" s="37">
        <v>1.0999999999999999E-2</v>
      </c>
    </row>
    <row r="89" spans="7:12" ht="18" customHeight="1" x14ac:dyDescent="0.4">
      <c r="G89" s="32">
        <f t="shared" si="10"/>
        <v>44573</v>
      </c>
      <c r="H89" s="37">
        <v>1.43E-2</v>
      </c>
      <c r="I89" s="32">
        <f t="shared" si="11"/>
        <v>44573</v>
      </c>
      <c r="J89" s="37">
        <v>1.2E-2</v>
      </c>
      <c r="K89" s="32">
        <f t="shared" si="12"/>
        <v>44573</v>
      </c>
      <c r="L89" s="37">
        <v>1.0999999999999999E-2</v>
      </c>
    </row>
    <row r="90" spans="7:12" ht="18" customHeight="1" x14ac:dyDescent="0.4">
      <c r="G90" s="32">
        <f t="shared" si="10"/>
        <v>44574</v>
      </c>
      <c r="H90" s="37">
        <v>1.43E-2</v>
      </c>
      <c r="I90" s="32">
        <f t="shared" si="11"/>
        <v>44574</v>
      </c>
      <c r="J90" s="37">
        <v>1.2E-2</v>
      </c>
      <c r="K90" s="32">
        <f t="shared" si="12"/>
        <v>44574</v>
      </c>
      <c r="L90" s="37">
        <v>1.0999999999999999E-2</v>
      </c>
    </row>
    <row r="91" spans="7:12" ht="18" customHeight="1" x14ac:dyDescent="0.4">
      <c r="G91" s="32">
        <f t="shared" ref="G91:G136" si="13">G90+1</f>
        <v>44575</v>
      </c>
      <c r="H91" s="37">
        <v>1.43E-2</v>
      </c>
      <c r="I91" s="32">
        <f t="shared" ref="I91:I136" si="14">I90+1</f>
        <v>44575</v>
      </c>
      <c r="J91" s="37">
        <v>1.2E-2</v>
      </c>
      <c r="K91" s="32">
        <f t="shared" ref="K91:K136" si="15">K90+1</f>
        <v>44575</v>
      </c>
      <c r="L91" s="37">
        <v>1.0999999999999999E-2</v>
      </c>
    </row>
    <row r="92" spans="7:12" ht="18" customHeight="1" x14ac:dyDescent="0.4">
      <c r="G92" s="32">
        <f t="shared" si="13"/>
        <v>44576</v>
      </c>
      <c r="H92" s="37">
        <v>1.43E-2</v>
      </c>
      <c r="I92" s="32">
        <f t="shared" si="14"/>
        <v>44576</v>
      </c>
      <c r="J92" s="37">
        <v>1.2E-2</v>
      </c>
      <c r="K92" s="32">
        <f t="shared" si="15"/>
        <v>44576</v>
      </c>
      <c r="L92" s="37">
        <v>1.0999999999999999E-2</v>
      </c>
    </row>
    <row r="93" spans="7:12" ht="18" customHeight="1" x14ac:dyDescent="0.4">
      <c r="G93" s="32">
        <f t="shared" si="13"/>
        <v>44577</v>
      </c>
      <c r="H93" s="37">
        <v>1.43E-2</v>
      </c>
      <c r="I93" s="32">
        <f t="shared" si="14"/>
        <v>44577</v>
      </c>
      <c r="J93" s="37">
        <v>1.2E-2</v>
      </c>
      <c r="K93" s="32">
        <f t="shared" si="15"/>
        <v>44577</v>
      </c>
      <c r="L93" s="37">
        <v>1.0999999999999999E-2</v>
      </c>
    </row>
    <row r="94" spans="7:12" ht="18" customHeight="1" x14ac:dyDescent="0.4">
      <c r="G94" s="32">
        <f t="shared" si="13"/>
        <v>44578</v>
      </c>
      <c r="H94" s="37">
        <v>1.43E-2</v>
      </c>
      <c r="I94" s="32">
        <f t="shared" si="14"/>
        <v>44578</v>
      </c>
      <c r="J94" s="37">
        <v>1.2E-2</v>
      </c>
      <c r="K94" s="32">
        <f t="shared" si="15"/>
        <v>44578</v>
      </c>
      <c r="L94" s="37">
        <v>1.0999999999999999E-2</v>
      </c>
    </row>
    <row r="95" spans="7:12" ht="18" customHeight="1" x14ac:dyDescent="0.4">
      <c r="G95" s="32">
        <f t="shared" si="13"/>
        <v>44579</v>
      </c>
      <c r="H95" s="37">
        <v>1.43E-2</v>
      </c>
      <c r="I95" s="32">
        <f t="shared" si="14"/>
        <v>44579</v>
      </c>
      <c r="J95" s="37">
        <v>1.2E-2</v>
      </c>
      <c r="K95" s="32">
        <f t="shared" si="15"/>
        <v>44579</v>
      </c>
      <c r="L95" s="37">
        <v>1.0999999999999999E-2</v>
      </c>
    </row>
    <row r="96" spans="7:12" ht="18" customHeight="1" x14ac:dyDescent="0.4">
      <c r="G96" s="32">
        <f t="shared" si="13"/>
        <v>44580</v>
      </c>
      <c r="H96" s="37">
        <v>1.43E-2</v>
      </c>
      <c r="I96" s="32">
        <f t="shared" si="14"/>
        <v>44580</v>
      </c>
      <c r="J96" s="37">
        <v>1.2E-2</v>
      </c>
      <c r="K96" s="32">
        <f t="shared" si="15"/>
        <v>44580</v>
      </c>
      <c r="L96" s="37">
        <v>1.0999999999999999E-2</v>
      </c>
    </row>
    <row r="97" spans="7:12" ht="18" customHeight="1" x14ac:dyDescent="0.4">
      <c r="G97" s="32">
        <f t="shared" si="13"/>
        <v>44581</v>
      </c>
      <c r="H97" s="37">
        <v>1.43E-2</v>
      </c>
      <c r="I97" s="32">
        <f t="shared" si="14"/>
        <v>44581</v>
      </c>
      <c r="J97" s="37">
        <v>1.2E-2</v>
      </c>
      <c r="K97" s="32">
        <f t="shared" si="15"/>
        <v>44581</v>
      </c>
      <c r="L97" s="37">
        <v>1.0999999999999999E-2</v>
      </c>
    </row>
    <row r="98" spans="7:12" ht="18" customHeight="1" x14ac:dyDescent="0.4">
      <c r="G98" s="32">
        <f t="shared" si="13"/>
        <v>44582</v>
      </c>
      <c r="H98" s="37">
        <v>1.43E-2</v>
      </c>
      <c r="I98" s="32">
        <f t="shared" si="14"/>
        <v>44582</v>
      </c>
      <c r="J98" s="37">
        <v>1.2E-2</v>
      </c>
      <c r="K98" s="32">
        <f t="shared" si="15"/>
        <v>44582</v>
      </c>
      <c r="L98" s="37">
        <v>1.0999999999999999E-2</v>
      </c>
    </row>
    <row r="99" spans="7:12" ht="18" customHeight="1" x14ac:dyDescent="0.4">
      <c r="G99" s="32">
        <f t="shared" si="13"/>
        <v>44583</v>
      </c>
      <c r="H99" s="37">
        <v>1.43E-2</v>
      </c>
      <c r="I99" s="32">
        <f t="shared" si="14"/>
        <v>44583</v>
      </c>
      <c r="J99" s="37">
        <v>1.2E-2</v>
      </c>
      <c r="K99" s="32">
        <f t="shared" si="15"/>
        <v>44583</v>
      </c>
      <c r="L99" s="37">
        <v>1.0999999999999999E-2</v>
      </c>
    </row>
    <row r="100" spans="7:12" ht="18" customHeight="1" x14ac:dyDescent="0.4">
      <c r="G100" s="32">
        <f t="shared" si="13"/>
        <v>44584</v>
      </c>
      <c r="H100" s="37">
        <v>1.43E-2</v>
      </c>
      <c r="I100" s="32">
        <f t="shared" si="14"/>
        <v>44584</v>
      </c>
      <c r="J100" s="37">
        <v>1.2E-2</v>
      </c>
      <c r="K100" s="32">
        <f t="shared" si="15"/>
        <v>44584</v>
      </c>
      <c r="L100" s="37">
        <v>1.0999999999999999E-2</v>
      </c>
    </row>
    <row r="101" spans="7:12" ht="18" customHeight="1" x14ac:dyDescent="0.4">
      <c r="G101" s="32">
        <f t="shared" si="13"/>
        <v>44585</v>
      </c>
      <c r="H101" s="37">
        <v>1.43E-2</v>
      </c>
      <c r="I101" s="32">
        <f t="shared" si="14"/>
        <v>44585</v>
      </c>
      <c r="J101" s="37">
        <v>1.2E-2</v>
      </c>
      <c r="K101" s="32">
        <f t="shared" si="15"/>
        <v>44585</v>
      </c>
      <c r="L101" s="37">
        <v>1.0999999999999999E-2</v>
      </c>
    </row>
    <row r="102" spans="7:12" ht="18" customHeight="1" x14ac:dyDescent="0.4">
      <c r="G102" s="32">
        <f t="shared" si="13"/>
        <v>44586</v>
      </c>
      <c r="H102" s="37">
        <v>1.43E-2</v>
      </c>
      <c r="I102" s="32">
        <f t="shared" si="14"/>
        <v>44586</v>
      </c>
      <c r="J102" s="37">
        <v>1.2E-2</v>
      </c>
      <c r="K102" s="32">
        <f t="shared" si="15"/>
        <v>44586</v>
      </c>
      <c r="L102" s="37">
        <v>1.0999999999999999E-2</v>
      </c>
    </row>
    <row r="103" spans="7:12" ht="18" customHeight="1" x14ac:dyDescent="0.4">
      <c r="G103" s="32">
        <f t="shared" si="13"/>
        <v>44587</v>
      </c>
      <c r="H103" s="37">
        <v>1.43E-2</v>
      </c>
      <c r="I103" s="32">
        <f t="shared" si="14"/>
        <v>44587</v>
      </c>
      <c r="J103" s="37">
        <v>1.2E-2</v>
      </c>
      <c r="K103" s="32">
        <f t="shared" si="15"/>
        <v>44587</v>
      </c>
      <c r="L103" s="37">
        <v>1.0999999999999999E-2</v>
      </c>
    </row>
    <row r="104" spans="7:12" ht="18" customHeight="1" x14ac:dyDescent="0.4">
      <c r="G104" s="32">
        <f t="shared" si="13"/>
        <v>44588</v>
      </c>
      <c r="H104" s="37">
        <v>1.43E-2</v>
      </c>
      <c r="I104" s="32">
        <f t="shared" si="14"/>
        <v>44588</v>
      </c>
      <c r="J104" s="37">
        <v>1.2E-2</v>
      </c>
      <c r="K104" s="32">
        <f t="shared" si="15"/>
        <v>44588</v>
      </c>
      <c r="L104" s="37">
        <v>1.0999999999999999E-2</v>
      </c>
    </row>
    <row r="105" spans="7:12" ht="18" customHeight="1" x14ac:dyDescent="0.4">
      <c r="G105" s="32">
        <f t="shared" si="13"/>
        <v>44589</v>
      </c>
      <c r="H105" s="37">
        <v>1.43E-2</v>
      </c>
      <c r="I105" s="32">
        <f t="shared" si="14"/>
        <v>44589</v>
      </c>
      <c r="J105" s="37">
        <v>1.2E-2</v>
      </c>
      <c r="K105" s="32">
        <f t="shared" si="15"/>
        <v>44589</v>
      </c>
      <c r="L105" s="37">
        <v>1.0999999999999999E-2</v>
      </c>
    </row>
    <row r="106" spans="7:12" ht="18" customHeight="1" x14ac:dyDescent="0.4">
      <c r="G106" s="32">
        <f t="shared" si="13"/>
        <v>44590</v>
      </c>
      <c r="H106" s="37">
        <v>1.43E-2</v>
      </c>
      <c r="I106" s="32">
        <f t="shared" si="14"/>
        <v>44590</v>
      </c>
      <c r="J106" s="37">
        <v>1.2E-2</v>
      </c>
      <c r="K106" s="32">
        <f t="shared" si="15"/>
        <v>44590</v>
      </c>
      <c r="L106" s="37">
        <v>1.0999999999999999E-2</v>
      </c>
    </row>
    <row r="107" spans="7:12" ht="18" customHeight="1" x14ac:dyDescent="0.4">
      <c r="G107" s="32">
        <f t="shared" si="13"/>
        <v>44591</v>
      </c>
      <c r="H107" s="37">
        <v>1.43E-2</v>
      </c>
      <c r="I107" s="32">
        <f t="shared" si="14"/>
        <v>44591</v>
      </c>
      <c r="J107" s="37">
        <v>1.2E-2</v>
      </c>
      <c r="K107" s="32">
        <f t="shared" si="15"/>
        <v>44591</v>
      </c>
      <c r="L107" s="37">
        <v>1.0999999999999999E-2</v>
      </c>
    </row>
    <row r="108" spans="7:12" ht="18" customHeight="1" x14ac:dyDescent="0.4">
      <c r="G108" s="32">
        <f t="shared" si="13"/>
        <v>44592</v>
      </c>
      <c r="H108" s="37">
        <v>1.43E-2</v>
      </c>
      <c r="I108" s="32">
        <f t="shared" si="14"/>
        <v>44592</v>
      </c>
      <c r="J108" s="37">
        <v>1.2E-2</v>
      </c>
      <c r="K108" s="32">
        <f t="shared" si="15"/>
        <v>44592</v>
      </c>
      <c r="L108" s="37">
        <v>1.0999999999999999E-2</v>
      </c>
    </row>
    <row r="109" spans="7:12" ht="18" customHeight="1" x14ac:dyDescent="0.4">
      <c r="G109" s="32">
        <f t="shared" si="13"/>
        <v>44593</v>
      </c>
      <c r="H109" s="37">
        <v>1.43E-2</v>
      </c>
      <c r="I109" s="32">
        <f t="shared" si="14"/>
        <v>44593</v>
      </c>
      <c r="J109" s="37">
        <v>1.2E-2</v>
      </c>
      <c r="K109" s="32">
        <f t="shared" si="15"/>
        <v>44593</v>
      </c>
      <c r="L109" s="37">
        <v>1.0999999999999999E-2</v>
      </c>
    </row>
    <row r="110" spans="7:12" ht="18" customHeight="1" x14ac:dyDescent="0.4">
      <c r="G110" s="32">
        <f t="shared" si="13"/>
        <v>44594</v>
      </c>
      <c r="H110" s="37">
        <v>1.43E-2</v>
      </c>
      <c r="I110" s="32">
        <f t="shared" si="14"/>
        <v>44594</v>
      </c>
      <c r="J110" s="37">
        <v>1.2E-2</v>
      </c>
      <c r="K110" s="32">
        <f t="shared" si="15"/>
        <v>44594</v>
      </c>
      <c r="L110" s="37">
        <v>1.0999999999999999E-2</v>
      </c>
    </row>
    <row r="111" spans="7:12" ht="18" customHeight="1" x14ac:dyDescent="0.4">
      <c r="G111" s="32">
        <f t="shared" si="13"/>
        <v>44595</v>
      </c>
      <c r="H111" s="37">
        <v>1.43E-2</v>
      </c>
      <c r="I111" s="32">
        <f t="shared" si="14"/>
        <v>44595</v>
      </c>
      <c r="J111" s="37">
        <v>1.2E-2</v>
      </c>
      <c r="K111" s="32">
        <f t="shared" si="15"/>
        <v>44595</v>
      </c>
      <c r="L111" s="37">
        <v>1.0999999999999999E-2</v>
      </c>
    </row>
    <row r="112" spans="7:12" ht="18" customHeight="1" x14ac:dyDescent="0.4">
      <c r="G112" s="32">
        <f t="shared" si="13"/>
        <v>44596</v>
      </c>
      <c r="H112" s="37">
        <v>1.43E-2</v>
      </c>
      <c r="I112" s="32">
        <f t="shared" si="14"/>
        <v>44596</v>
      </c>
      <c r="J112" s="37">
        <v>1.2E-2</v>
      </c>
      <c r="K112" s="32">
        <f t="shared" si="15"/>
        <v>44596</v>
      </c>
      <c r="L112" s="37">
        <v>1.0999999999999999E-2</v>
      </c>
    </row>
    <row r="113" spans="7:12" ht="18" customHeight="1" x14ac:dyDescent="0.4">
      <c r="G113" s="32">
        <f t="shared" si="13"/>
        <v>44597</v>
      </c>
      <c r="H113" s="37">
        <v>1.43E-2</v>
      </c>
      <c r="I113" s="32">
        <f t="shared" si="14"/>
        <v>44597</v>
      </c>
      <c r="J113" s="37">
        <v>1.2E-2</v>
      </c>
      <c r="K113" s="32">
        <f t="shared" si="15"/>
        <v>44597</v>
      </c>
      <c r="L113" s="37">
        <v>1.0999999999999999E-2</v>
      </c>
    </row>
    <row r="114" spans="7:12" ht="18" customHeight="1" x14ac:dyDescent="0.4">
      <c r="G114" s="32">
        <f t="shared" si="13"/>
        <v>44598</v>
      </c>
      <c r="H114" s="37">
        <v>1.43E-2</v>
      </c>
      <c r="I114" s="32">
        <f t="shared" si="14"/>
        <v>44598</v>
      </c>
      <c r="J114" s="37">
        <v>1.2E-2</v>
      </c>
      <c r="K114" s="32">
        <f t="shared" si="15"/>
        <v>44598</v>
      </c>
      <c r="L114" s="37">
        <v>1.0999999999999999E-2</v>
      </c>
    </row>
    <row r="115" spans="7:12" ht="18" customHeight="1" x14ac:dyDescent="0.4">
      <c r="G115" s="32">
        <f t="shared" si="13"/>
        <v>44599</v>
      </c>
      <c r="H115" s="37">
        <v>1.43E-2</v>
      </c>
      <c r="I115" s="32">
        <f t="shared" si="14"/>
        <v>44599</v>
      </c>
      <c r="J115" s="37">
        <v>1.2E-2</v>
      </c>
      <c r="K115" s="32">
        <f t="shared" si="15"/>
        <v>44599</v>
      </c>
      <c r="L115" s="37">
        <v>1.0999999999999999E-2</v>
      </c>
    </row>
    <row r="116" spans="7:12" ht="18" customHeight="1" x14ac:dyDescent="0.4">
      <c r="G116" s="32">
        <f t="shared" si="13"/>
        <v>44600</v>
      </c>
      <c r="H116" s="37">
        <v>1.43E-2</v>
      </c>
      <c r="I116" s="32">
        <f t="shared" si="14"/>
        <v>44600</v>
      </c>
      <c r="J116" s="37">
        <v>1.2E-2</v>
      </c>
      <c r="K116" s="32">
        <f t="shared" si="15"/>
        <v>44600</v>
      </c>
      <c r="L116" s="37">
        <v>1.0999999999999999E-2</v>
      </c>
    </row>
    <row r="117" spans="7:12" ht="18" customHeight="1" x14ac:dyDescent="0.4">
      <c r="G117" s="32">
        <f t="shared" si="13"/>
        <v>44601</v>
      </c>
      <c r="H117" s="37">
        <v>1.43E-2</v>
      </c>
      <c r="I117" s="32">
        <f t="shared" si="14"/>
        <v>44601</v>
      </c>
      <c r="J117" s="37">
        <v>1.2E-2</v>
      </c>
      <c r="K117" s="32">
        <f t="shared" si="15"/>
        <v>44601</v>
      </c>
      <c r="L117" s="37">
        <v>1.0999999999999999E-2</v>
      </c>
    </row>
    <row r="118" spans="7:12" ht="18" customHeight="1" x14ac:dyDescent="0.4">
      <c r="G118" s="32">
        <f t="shared" si="13"/>
        <v>44602</v>
      </c>
      <c r="H118" s="37">
        <v>1.43E-2</v>
      </c>
      <c r="I118" s="32">
        <f t="shared" si="14"/>
        <v>44602</v>
      </c>
      <c r="J118" s="37">
        <v>1.2E-2</v>
      </c>
      <c r="K118" s="32">
        <f t="shared" si="15"/>
        <v>44602</v>
      </c>
      <c r="L118" s="37">
        <v>1.0999999999999999E-2</v>
      </c>
    </row>
    <row r="119" spans="7:12" ht="18" customHeight="1" x14ac:dyDescent="0.4">
      <c r="G119" s="32">
        <f t="shared" si="13"/>
        <v>44603</v>
      </c>
      <c r="H119" s="37">
        <v>1.43E-2</v>
      </c>
      <c r="I119" s="32">
        <f t="shared" si="14"/>
        <v>44603</v>
      </c>
      <c r="J119" s="37">
        <v>1.2E-2</v>
      </c>
      <c r="K119" s="32">
        <f t="shared" si="15"/>
        <v>44603</v>
      </c>
      <c r="L119" s="37">
        <v>1.0999999999999999E-2</v>
      </c>
    </row>
    <row r="120" spans="7:12" ht="18" customHeight="1" x14ac:dyDescent="0.4">
      <c r="G120" s="32">
        <f t="shared" si="13"/>
        <v>44604</v>
      </c>
      <c r="H120" s="37">
        <v>1.43E-2</v>
      </c>
      <c r="I120" s="32">
        <f t="shared" si="14"/>
        <v>44604</v>
      </c>
      <c r="J120" s="37">
        <v>1.2E-2</v>
      </c>
      <c r="K120" s="32">
        <f t="shared" si="15"/>
        <v>44604</v>
      </c>
      <c r="L120" s="37">
        <v>1.0999999999999999E-2</v>
      </c>
    </row>
    <row r="121" spans="7:12" ht="18" customHeight="1" x14ac:dyDescent="0.4">
      <c r="G121" s="32">
        <f t="shared" si="13"/>
        <v>44605</v>
      </c>
      <c r="H121" s="37">
        <v>1.43E-2</v>
      </c>
      <c r="I121" s="32">
        <f t="shared" si="14"/>
        <v>44605</v>
      </c>
      <c r="J121" s="37">
        <v>1.2E-2</v>
      </c>
      <c r="K121" s="32">
        <f t="shared" si="15"/>
        <v>44605</v>
      </c>
      <c r="L121" s="37">
        <v>1.0999999999999999E-2</v>
      </c>
    </row>
    <row r="122" spans="7:12" ht="18" customHeight="1" x14ac:dyDescent="0.4">
      <c r="G122" s="32">
        <f t="shared" si="13"/>
        <v>44606</v>
      </c>
      <c r="H122" s="37">
        <v>1.43E-2</v>
      </c>
      <c r="I122" s="32">
        <f t="shared" si="14"/>
        <v>44606</v>
      </c>
      <c r="J122" s="37">
        <v>1.2E-2</v>
      </c>
      <c r="K122" s="32">
        <f t="shared" si="15"/>
        <v>44606</v>
      </c>
      <c r="L122" s="37">
        <v>1.0999999999999999E-2</v>
      </c>
    </row>
    <row r="123" spans="7:12" ht="18" customHeight="1" x14ac:dyDescent="0.4">
      <c r="G123" s="32">
        <f t="shared" si="13"/>
        <v>44607</v>
      </c>
      <c r="H123" s="37">
        <v>1.43E-2</v>
      </c>
      <c r="I123" s="32">
        <f t="shared" si="14"/>
        <v>44607</v>
      </c>
      <c r="J123" s="37">
        <v>1.2E-2</v>
      </c>
      <c r="K123" s="32">
        <f t="shared" si="15"/>
        <v>44607</v>
      </c>
      <c r="L123" s="37">
        <v>1.0999999999999999E-2</v>
      </c>
    </row>
    <row r="124" spans="7:12" ht="18" customHeight="1" x14ac:dyDescent="0.4">
      <c r="G124" s="32">
        <f t="shared" si="13"/>
        <v>44608</v>
      </c>
      <c r="H124" s="37">
        <v>1.43E-2</v>
      </c>
      <c r="I124" s="32">
        <f t="shared" si="14"/>
        <v>44608</v>
      </c>
      <c r="J124" s="37">
        <v>1.2E-2</v>
      </c>
      <c r="K124" s="32">
        <f t="shared" si="15"/>
        <v>44608</v>
      </c>
      <c r="L124" s="37">
        <v>1.0999999999999999E-2</v>
      </c>
    </row>
    <row r="125" spans="7:12" ht="18" customHeight="1" x14ac:dyDescent="0.4">
      <c r="G125" s="32">
        <f t="shared" si="13"/>
        <v>44609</v>
      </c>
      <c r="H125" s="37">
        <v>1.43E-2</v>
      </c>
      <c r="I125" s="32">
        <f t="shared" si="14"/>
        <v>44609</v>
      </c>
      <c r="J125" s="37">
        <v>1.2E-2</v>
      </c>
      <c r="K125" s="32">
        <f t="shared" si="15"/>
        <v>44609</v>
      </c>
      <c r="L125" s="37">
        <v>1.0999999999999999E-2</v>
      </c>
    </row>
    <row r="126" spans="7:12" ht="18" customHeight="1" x14ac:dyDescent="0.4">
      <c r="G126" s="32">
        <f t="shared" si="13"/>
        <v>44610</v>
      </c>
      <c r="H126" s="37">
        <v>1.43E-2</v>
      </c>
      <c r="I126" s="32">
        <f t="shared" si="14"/>
        <v>44610</v>
      </c>
      <c r="J126" s="37">
        <v>1.2E-2</v>
      </c>
      <c r="K126" s="32">
        <f t="shared" si="15"/>
        <v>44610</v>
      </c>
      <c r="L126" s="37">
        <v>1.0999999999999999E-2</v>
      </c>
    </row>
    <row r="127" spans="7:12" ht="18" customHeight="1" x14ac:dyDescent="0.4">
      <c r="G127" s="32">
        <f t="shared" si="13"/>
        <v>44611</v>
      </c>
      <c r="H127" s="37">
        <v>1.43E-2</v>
      </c>
      <c r="I127" s="32">
        <f t="shared" si="14"/>
        <v>44611</v>
      </c>
      <c r="J127" s="37">
        <v>1.2E-2</v>
      </c>
      <c r="K127" s="32">
        <f t="shared" si="15"/>
        <v>44611</v>
      </c>
      <c r="L127" s="37">
        <v>1.0999999999999999E-2</v>
      </c>
    </row>
    <row r="128" spans="7:12" ht="18" customHeight="1" x14ac:dyDescent="0.4">
      <c r="G128" s="32">
        <f t="shared" si="13"/>
        <v>44612</v>
      </c>
      <c r="H128" s="37">
        <v>1.43E-2</v>
      </c>
      <c r="I128" s="32">
        <f t="shared" si="14"/>
        <v>44612</v>
      </c>
      <c r="J128" s="37">
        <v>1.2E-2</v>
      </c>
      <c r="K128" s="32">
        <f t="shared" si="15"/>
        <v>44612</v>
      </c>
      <c r="L128" s="37">
        <v>1.0999999999999999E-2</v>
      </c>
    </row>
    <row r="129" spans="7:12" ht="18" customHeight="1" x14ac:dyDescent="0.4">
      <c r="G129" s="32">
        <f t="shared" si="13"/>
        <v>44613</v>
      </c>
      <c r="H129" s="37">
        <v>1.43E-2</v>
      </c>
      <c r="I129" s="32">
        <f t="shared" si="14"/>
        <v>44613</v>
      </c>
      <c r="J129" s="37">
        <v>1.2E-2</v>
      </c>
      <c r="K129" s="32">
        <f t="shared" si="15"/>
        <v>44613</v>
      </c>
      <c r="L129" s="37">
        <v>1.0999999999999999E-2</v>
      </c>
    </row>
    <row r="130" spans="7:12" ht="18" customHeight="1" x14ac:dyDescent="0.4">
      <c r="G130" s="32">
        <f t="shared" si="13"/>
        <v>44614</v>
      </c>
      <c r="H130" s="37">
        <v>1.43E-2</v>
      </c>
      <c r="I130" s="32">
        <f t="shared" si="14"/>
        <v>44614</v>
      </c>
      <c r="J130" s="37">
        <v>1.2E-2</v>
      </c>
      <c r="K130" s="32">
        <f t="shared" si="15"/>
        <v>44614</v>
      </c>
      <c r="L130" s="37">
        <v>1.0999999999999999E-2</v>
      </c>
    </row>
    <row r="131" spans="7:12" ht="18" customHeight="1" x14ac:dyDescent="0.4">
      <c r="G131" s="32">
        <f t="shared" si="13"/>
        <v>44615</v>
      </c>
      <c r="H131" s="37">
        <v>1.43E-2</v>
      </c>
      <c r="I131" s="32">
        <f t="shared" si="14"/>
        <v>44615</v>
      </c>
      <c r="J131" s="37">
        <v>1.2E-2</v>
      </c>
      <c r="K131" s="32">
        <f t="shared" si="15"/>
        <v>44615</v>
      </c>
      <c r="L131" s="37">
        <v>1.0999999999999999E-2</v>
      </c>
    </row>
    <row r="132" spans="7:12" ht="18" customHeight="1" x14ac:dyDescent="0.4">
      <c r="G132" s="32">
        <f t="shared" si="13"/>
        <v>44616</v>
      </c>
      <c r="H132" s="37">
        <v>1.43E-2</v>
      </c>
      <c r="I132" s="32">
        <f t="shared" si="14"/>
        <v>44616</v>
      </c>
      <c r="J132" s="37">
        <v>1.2E-2</v>
      </c>
      <c r="K132" s="32">
        <f t="shared" si="15"/>
        <v>44616</v>
      </c>
      <c r="L132" s="37">
        <v>1.0999999999999999E-2</v>
      </c>
    </row>
    <row r="133" spans="7:12" ht="18" customHeight="1" x14ac:dyDescent="0.4">
      <c r="G133" s="32">
        <f t="shared" si="13"/>
        <v>44617</v>
      </c>
      <c r="H133" s="37">
        <v>1.43E-2</v>
      </c>
      <c r="I133" s="32">
        <f t="shared" si="14"/>
        <v>44617</v>
      </c>
      <c r="J133" s="37">
        <v>1.2E-2</v>
      </c>
      <c r="K133" s="32">
        <f t="shared" si="15"/>
        <v>44617</v>
      </c>
      <c r="L133" s="37">
        <v>1.0999999999999999E-2</v>
      </c>
    </row>
    <row r="134" spans="7:12" ht="18" customHeight="1" x14ac:dyDescent="0.4">
      <c r="G134" s="32">
        <f t="shared" si="13"/>
        <v>44618</v>
      </c>
      <c r="H134" s="37">
        <v>1.43E-2</v>
      </c>
      <c r="I134" s="32">
        <f t="shared" si="14"/>
        <v>44618</v>
      </c>
      <c r="J134" s="37">
        <v>1.2E-2</v>
      </c>
      <c r="K134" s="32">
        <f t="shared" si="15"/>
        <v>44618</v>
      </c>
      <c r="L134" s="37">
        <v>1.0999999999999999E-2</v>
      </c>
    </row>
    <row r="135" spans="7:12" ht="18" customHeight="1" x14ac:dyDescent="0.4">
      <c r="G135" s="32">
        <f t="shared" si="13"/>
        <v>44619</v>
      </c>
      <c r="H135" s="37">
        <v>1.43E-2</v>
      </c>
      <c r="I135" s="32">
        <f t="shared" si="14"/>
        <v>44619</v>
      </c>
      <c r="J135" s="37">
        <v>1.2E-2</v>
      </c>
      <c r="K135" s="32">
        <f t="shared" si="15"/>
        <v>44619</v>
      </c>
      <c r="L135" s="37">
        <v>1.0999999999999999E-2</v>
      </c>
    </row>
    <row r="136" spans="7:12" ht="18" customHeight="1" x14ac:dyDescent="0.4">
      <c r="G136" s="32">
        <f t="shared" si="13"/>
        <v>44620</v>
      </c>
      <c r="H136" s="37">
        <v>1.43E-2</v>
      </c>
      <c r="I136" s="32">
        <f t="shared" si="14"/>
        <v>44620</v>
      </c>
      <c r="J136" s="37">
        <v>1.2E-2</v>
      </c>
      <c r="K136" s="32">
        <f t="shared" si="15"/>
        <v>44620</v>
      </c>
      <c r="L136" s="37">
        <v>1.0999999999999999E-2</v>
      </c>
    </row>
    <row r="137" spans="7:12" ht="18" customHeight="1" x14ac:dyDescent="0.4">
      <c r="G137" s="32">
        <f t="shared" ref="G137:G200" si="16">G136+1</f>
        <v>44621</v>
      </c>
      <c r="H137" s="37">
        <v>1.43E-2</v>
      </c>
      <c r="I137" s="32">
        <f t="shared" ref="I137:I200" si="17">I136+1</f>
        <v>44621</v>
      </c>
      <c r="J137" s="37">
        <v>1.2E-2</v>
      </c>
      <c r="K137" s="32">
        <f t="shared" ref="K137:K200" si="18">K136+1</f>
        <v>44621</v>
      </c>
      <c r="L137" s="37">
        <v>1.0999999999999999E-2</v>
      </c>
    </row>
    <row r="138" spans="7:12" ht="18" customHeight="1" x14ac:dyDescent="0.4">
      <c r="G138" s="32">
        <f t="shared" si="16"/>
        <v>44622</v>
      </c>
      <c r="H138" s="37">
        <v>1.43E-2</v>
      </c>
      <c r="I138" s="32">
        <f t="shared" si="17"/>
        <v>44622</v>
      </c>
      <c r="J138" s="37">
        <v>1.2E-2</v>
      </c>
      <c r="K138" s="32">
        <f t="shared" si="18"/>
        <v>44622</v>
      </c>
      <c r="L138" s="37">
        <v>1.0999999999999999E-2</v>
      </c>
    </row>
    <row r="139" spans="7:12" ht="18" customHeight="1" x14ac:dyDescent="0.4">
      <c r="G139" s="32">
        <f t="shared" si="16"/>
        <v>44623</v>
      </c>
      <c r="H139" s="37">
        <v>1.43E-2</v>
      </c>
      <c r="I139" s="32">
        <f t="shared" si="17"/>
        <v>44623</v>
      </c>
      <c r="J139" s="37">
        <v>1.2E-2</v>
      </c>
      <c r="K139" s="32">
        <f t="shared" si="18"/>
        <v>44623</v>
      </c>
      <c r="L139" s="37">
        <v>1.0999999999999999E-2</v>
      </c>
    </row>
    <row r="140" spans="7:12" ht="18" customHeight="1" x14ac:dyDescent="0.4">
      <c r="G140" s="32">
        <f t="shared" si="16"/>
        <v>44624</v>
      </c>
      <c r="H140" s="37">
        <v>1.43E-2</v>
      </c>
      <c r="I140" s="32">
        <f t="shared" si="17"/>
        <v>44624</v>
      </c>
      <c r="J140" s="37">
        <v>1.2E-2</v>
      </c>
      <c r="K140" s="32">
        <f t="shared" si="18"/>
        <v>44624</v>
      </c>
      <c r="L140" s="37">
        <v>1.0999999999999999E-2</v>
      </c>
    </row>
    <row r="141" spans="7:12" ht="18" customHeight="1" x14ac:dyDescent="0.4">
      <c r="G141" s="32">
        <f t="shared" si="16"/>
        <v>44625</v>
      </c>
      <c r="H141" s="37">
        <v>1.43E-2</v>
      </c>
      <c r="I141" s="32">
        <f t="shared" si="17"/>
        <v>44625</v>
      </c>
      <c r="J141" s="37">
        <v>1.2E-2</v>
      </c>
      <c r="K141" s="32">
        <f t="shared" si="18"/>
        <v>44625</v>
      </c>
      <c r="L141" s="37">
        <v>1.0999999999999999E-2</v>
      </c>
    </row>
    <row r="142" spans="7:12" ht="18" customHeight="1" x14ac:dyDescent="0.4">
      <c r="G142" s="32">
        <f t="shared" si="16"/>
        <v>44626</v>
      </c>
      <c r="H142" s="37">
        <v>1.43E-2</v>
      </c>
      <c r="I142" s="32">
        <f t="shared" si="17"/>
        <v>44626</v>
      </c>
      <c r="J142" s="37">
        <v>1.2E-2</v>
      </c>
      <c r="K142" s="32">
        <f t="shared" si="18"/>
        <v>44626</v>
      </c>
      <c r="L142" s="37">
        <v>1.0999999999999999E-2</v>
      </c>
    </row>
    <row r="143" spans="7:12" ht="18" customHeight="1" x14ac:dyDescent="0.4">
      <c r="G143" s="32">
        <f t="shared" si="16"/>
        <v>44627</v>
      </c>
      <c r="H143" s="37">
        <v>1.43E-2</v>
      </c>
      <c r="I143" s="32">
        <f t="shared" si="17"/>
        <v>44627</v>
      </c>
      <c r="J143" s="37">
        <v>1.2E-2</v>
      </c>
      <c r="K143" s="32">
        <f t="shared" si="18"/>
        <v>44627</v>
      </c>
      <c r="L143" s="37">
        <v>1.0999999999999999E-2</v>
      </c>
    </row>
    <row r="144" spans="7:12" ht="18" customHeight="1" x14ac:dyDescent="0.4">
      <c r="G144" s="32">
        <f t="shared" si="16"/>
        <v>44628</v>
      </c>
      <c r="H144" s="37">
        <v>1.43E-2</v>
      </c>
      <c r="I144" s="32">
        <f t="shared" si="17"/>
        <v>44628</v>
      </c>
      <c r="J144" s="37">
        <v>1.2E-2</v>
      </c>
      <c r="K144" s="32">
        <f t="shared" si="18"/>
        <v>44628</v>
      </c>
      <c r="L144" s="37">
        <v>1.0999999999999999E-2</v>
      </c>
    </row>
    <row r="145" spans="7:12" ht="18" customHeight="1" x14ac:dyDescent="0.4">
      <c r="G145" s="32">
        <f t="shared" si="16"/>
        <v>44629</v>
      </c>
      <c r="H145" s="37">
        <v>1.43E-2</v>
      </c>
      <c r="I145" s="32">
        <f t="shared" si="17"/>
        <v>44629</v>
      </c>
      <c r="J145" s="37">
        <v>1.2E-2</v>
      </c>
      <c r="K145" s="32">
        <f t="shared" si="18"/>
        <v>44629</v>
      </c>
      <c r="L145" s="37">
        <v>1.0999999999999999E-2</v>
      </c>
    </row>
    <row r="146" spans="7:12" ht="18" customHeight="1" x14ac:dyDescent="0.4">
      <c r="G146" s="32">
        <f t="shared" si="16"/>
        <v>44630</v>
      </c>
      <c r="H146" s="37">
        <v>1.43E-2</v>
      </c>
      <c r="I146" s="32">
        <f t="shared" si="17"/>
        <v>44630</v>
      </c>
      <c r="J146" s="37">
        <v>1.2E-2</v>
      </c>
      <c r="K146" s="32">
        <f t="shared" si="18"/>
        <v>44630</v>
      </c>
      <c r="L146" s="37">
        <v>1.0999999999999999E-2</v>
      </c>
    </row>
    <row r="147" spans="7:12" ht="18" customHeight="1" x14ac:dyDescent="0.4">
      <c r="G147" s="32">
        <f t="shared" si="16"/>
        <v>44631</v>
      </c>
      <c r="H147" s="37">
        <v>1.43E-2</v>
      </c>
      <c r="I147" s="32">
        <f t="shared" si="17"/>
        <v>44631</v>
      </c>
      <c r="J147" s="37">
        <v>1.2E-2</v>
      </c>
      <c r="K147" s="32">
        <f t="shared" si="18"/>
        <v>44631</v>
      </c>
      <c r="L147" s="37">
        <v>1.0999999999999999E-2</v>
      </c>
    </row>
    <row r="148" spans="7:12" ht="18" customHeight="1" x14ac:dyDescent="0.4">
      <c r="G148" s="32">
        <f t="shared" si="16"/>
        <v>44632</v>
      </c>
      <c r="H148" s="37">
        <v>1.43E-2</v>
      </c>
      <c r="I148" s="32">
        <f t="shared" si="17"/>
        <v>44632</v>
      </c>
      <c r="J148" s="37">
        <v>1.2E-2</v>
      </c>
      <c r="K148" s="32">
        <f t="shared" si="18"/>
        <v>44632</v>
      </c>
      <c r="L148" s="37">
        <v>1.0999999999999999E-2</v>
      </c>
    </row>
    <row r="149" spans="7:12" ht="18" customHeight="1" x14ac:dyDescent="0.4">
      <c r="G149" s="32">
        <f t="shared" si="16"/>
        <v>44633</v>
      </c>
      <c r="H149" s="37">
        <v>1.43E-2</v>
      </c>
      <c r="I149" s="32">
        <f t="shared" si="17"/>
        <v>44633</v>
      </c>
      <c r="J149" s="37">
        <v>1.2E-2</v>
      </c>
      <c r="K149" s="32">
        <f t="shared" si="18"/>
        <v>44633</v>
      </c>
      <c r="L149" s="37">
        <v>1.0999999999999999E-2</v>
      </c>
    </row>
    <row r="150" spans="7:12" ht="18" customHeight="1" x14ac:dyDescent="0.4">
      <c r="G150" s="32">
        <f t="shared" si="16"/>
        <v>44634</v>
      </c>
      <c r="H150" s="37">
        <v>1.43E-2</v>
      </c>
      <c r="I150" s="32">
        <f t="shared" si="17"/>
        <v>44634</v>
      </c>
      <c r="J150" s="37">
        <v>1.2E-2</v>
      </c>
      <c r="K150" s="32">
        <f t="shared" si="18"/>
        <v>44634</v>
      </c>
      <c r="L150" s="37">
        <v>1.0999999999999999E-2</v>
      </c>
    </row>
    <row r="151" spans="7:12" ht="18" customHeight="1" x14ac:dyDescent="0.4">
      <c r="G151" s="32">
        <f t="shared" si="16"/>
        <v>44635</v>
      </c>
      <c r="H151" s="37">
        <v>1.43E-2</v>
      </c>
      <c r="I151" s="32">
        <f t="shared" si="17"/>
        <v>44635</v>
      </c>
      <c r="J151" s="37">
        <v>1.2E-2</v>
      </c>
      <c r="K151" s="32">
        <f t="shared" si="18"/>
        <v>44635</v>
      </c>
      <c r="L151" s="37">
        <v>1.0999999999999999E-2</v>
      </c>
    </row>
    <row r="152" spans="7:12" ht="18" customHeight="1" x14ac:dyDescent="0.4">
      <c r="G152" s="32">
        <f t="shared" si="16"/>
        <v>44636</v>
      </c>
      <c r="H152" s="37">
        <v>1.43E-2</v>
      </c>
      <c r="I152" s="32">
        <f t="shared" si="17"/>
        <v>44636</v>
      </c>
      <c r="J152" s="37">
        <v>1.2E-2</v>
      </c>
      <c r="K152" s="32">
        <f t="shared" si="18"/>
        <v>44636</v>
      </c>
      <c r="L152" s="37">
        <v>1.0999999999999999E-2</v>
      </c>
    </row>
    <row r="153" spans="7:12" ht="18" customHeight="1" x14ac:dyDescent="0.4">
      <c r="G153" s="32">
        <f t="shared" si="16"/>
        <v>44637</v>
      </c>
      <c r="H153" s="37">
        <v>1.43E-2</v>
      </c>
      <c r="I153" s="32">
        <f t="shared" si="17"/>
        <v>44637</v>
      </c>
      <c r="J153" s="37">
        <v>1.2E-2</v>
      </c>
      <c r="K153" s="32">
        <f t="shared" si="18"/>
        <v>44637</v>
      </c>
      <c r="L153" s="37">
        <v>1.0999999999999999E-2</v>
      </c>
    </row>
    <row r="154" spans="7:12" ht="18" customHeight="1" x14ac:dyDescent="0.4">
      <c r="G154" s="32">
        <f t="shared" si="16"/>
        <v>44638</v>
      </c>
      <c r="H154" s="37">
        <v>1.43E-2</v>
      </c>
      <c r="I154" s="32">
        <f t="shared" si="17"/>
        <v>44638</v>
      </c>
      <c r="J154" s="37">
        <v>1.2E-2</v>
      </c>
      <c r="K154" s="32">
        <f t="shared" si="18"/>
        <v>44638</v>
      </c>
      <c r="L154" s="37">
        <v>1.0999999999999999E-2</v>
      </c>
    </row>
    <row r="155" spans="7:12" ht="18" customHeight="1" x14ac:dyDescent="0.4">
      <c r="G155" s="32">
        <f t="shared" si="16"/>
        <v>44639</v>
      </c>
      <c r="H155" s="37">
        <v>1.43E-2</v>
      </c>
      <c r="I155" s="32">
        <f t="shared" si="17"/>
        <v>44639</v>
      </c>
      <c r="J155" s="37">
        <v>1.2E-2</v>
      </c>
      <c r="K155" s="32">
        <f t="shared" si="18"/>
        <v>44639</v>
      </c>
      <c r="L155" s="37">
        <v>1.0999999999999999E-2</v>
      </c>
    </row>
    <row r="156" spans="7:12" ht="18" customHeight="1" x14ac:dyDescent="0.4">
      <c r="G156" s="32">
        <f t="shared" si="16"/>
        <v>44640</v>
      </c>
      <c r="H156" s="37">
        <v>1.43E-2</v>
      </c>
      <c r="I156" s="32">
        <f t="shared" si="17"/>
        <v>44640</v>
      </c>
      <c r="J156" s="37">
        <v>1.2E-2</v>
      </c>
      <c r="K156" s="32">
        <f t="shared" si="18"/>
        <v>44640</v>
      </c>
      <c r="L156" s="37">
        <v>1.0999999999999999E-2</v>
      </c>
    </row>
    <row r="157" spans="7:12" ht="18" customHeight="1" x14ac:dyDescent="0.4">
      <c r="G157" s="32">
        <f t="shared" si="16"/>
        <v>44641</v>
      </c>
      <c r="H157" s="37">
        <v>1.43E-2</v>
      </c>
      <c r="I157" s="32">
        <f t="shared" si="17"/>
        <v>44641</v>
      </c>
      <c r="J157" s="37">
        <v>1.2E-2</v>
      </c>
      <c r="K157" s="32">
        <f t="shared" si="18"/>
        <v>44641</v>
      </c>
      <c r="L157" s="37">
        <v>1.0999999999999999E-2</v>
      </c>
    </row>
    <row r="158" spans="7:12" ht="18" customHeight="1" x14ac:dyDescent="0.4">
      <c r="G158" s="32">
        <f t="shared" si="16"/>
        <v>44642</v>
      </c>
      <c r="H158" s="37">
        <v>1.43E-2</v>
      </c>
      <c r="I158" s="32">
        <f t="shared" si="17"/>
        <v>44642</v>
      </c>
      <c r="J158" s="37">
        <v>1.2E-2</v>
      </c>
      <c r="K158" s="32">
        <f t="shared" si="18"/>
        <v>44642</v>
      </c>
      <c r="L158" s="37">
        <v>1.0999999999999999E-2</v>
      </c>
    </row>
    <row r="159" spans="7:12" ht="18" customHeight="1" x14ac:dyDescent="0.4">
      <c r="G159" s="32">
        <f t="shared" si="16"/>
        <v>44643</v>
      </c>
      <c r="H159" s="37">
        <v>1.43E-2</v>
      </c>
      <c r="I159" s="32">
        <f t="shared" si="17"/>
        <v>44643</v>
      </c>
      <c r="J159" s="37">
        <v>1.2E-2</v>
      </c>
      <c r="K159" s="32">
        <f t="shared" si="18"/>
        <v>44643</v>
      </c>
      <c r="L159" s="37">
        <v>1.0999999999999999E-2</v>
      </c>
    </row>
    <row r="160" spans="7:12" ht="18" customHeight="1" x14ac:dyDescent="0.4">
      <c r="G160" s="32">
        <f t="shared" si="16"/>
        <v>44644</v>
      </c>
      <c r="H160" s="37">
        <v>1.43E-2</v>
      </c>
      <c r="I160" s="32">
        <f t="shared" si="17"/>
        <v>44644</v>
      </c>
      <c r="J160" s="37">
        <v>1.2E-2</v>
      </c>
      <c r="K160" s="32">
        <f t="shared" si="18"/>
        <v>44644</v>
      </c>
      <c r="L160" s="37">
        <v>1.0999999999999999E-2</v>
      </c>
    </row>
    <row r="161" spans="7:12" ht="18" customHeight="1" x14ac:dyDescent="0.4">
      <c r="G161" s="32">
        <f t="shared" si="16"/>
        <v>44645</v>
      </c>
      <c r="H161" s="37">
        <v>1.43E-2</v>
      </c>
      <c r="I161" s="32">
        <f t="shared" si="17"/>
        <v>44645</v>
      </c>
      <c r="J161" s="37">
        <v>1.2E-2</v>
      </c>
      <c r="K161" s="32">
        <f t="shared" si="18"/>
        <v>44645</v>
      </c>
      <c r="L161" s="37">
        <v>1.0999999999999999E-2</v>
      </c>
    </row>
    <row r="162" spans="7:12" ht="18" customHeight="1" x14ac:dyDescent="0.4">
      <c r="G162" s="32">
        <f t="shared" si="16"/>
        <v>44646</v>
      </c>
      <c r="H162" s="37">
        <v>1.43E-2</v>
      </c>
      <c r="I162" s="32">
        <f t="shared" si="17"/>
        <v>44646</v>
      </c>
      <c r="J162" s="37">
        <v>1.2E-2</v>
      </c>
      <c r="K162" s="32">
        <f t="shared" si="18"/>
        <v>44646</v>
      </c>
      <c r="L162" s="37">
        <v>1.0999999999999999E-2</v>
      </c>
    </row>
    <row r="163" spans="7:12" ht="18" customHeight="1" x14ac:dyDescent="0.4">
      <c r="G163" s="32">
        <f t="shared" si="16"/>
        <v>44647</v>
      </c>
      <c r="H163" s="37">
        <v>1.43E-2</v>
      </c>
      <c r="I163" s="32">
        <f t="shared" si="17"/>
        <v>44647</v>
      </c>
      <c r="J163" s="37">
        <v>1.2E-2</v>
      </c>
      <c r="K163" s="32">
        <f t="shared" si="18"/>
        <v>44647</v>
      </c>
      <c r="L163" s="37">
        <v>1.0999999999999999E-2</v>
      </c>
    </row>
    <row r="164" spans="7:12" ht="18" customHeight="1" x14ac:dyDescent="0.4">
      <c r="G164" s="32">
        <f t="shared" si="16"/>
        <v>44648</v>
      </c>
      <c r="H164" s="37">
        <v>1.43E-2</v>
      </c>
      <c r="I164" s="32">
        <f t="shared" si="17"/>
        <v>44648</v>
      </c>
      <c r="J164" s="37">
        <v>1.2E-2</v>
      </c>
      <c r="K164" s="32">
        <f t="shared" si="18"/>
        <v>44648</v>
      </c>
      <c r="L164" s="37">
        <v>1.0999999999999999E-2</v>
      </c>
    </row>
    <row r="165" spans="7:12" ht="18" customHeight="1" x14ac:dyDescent="0.4">
      <c r="G165" s="32">
        <f t="shared" si="16"/>
        <v>44649</v>
      </c>
      <c r="H165" s="37">
        <v>1.43E-2</v>
      </c>
      <c r="I165" s="32">
        <f t="shared" si="17"/>
        <v>44649</v>
      </c>
      <c r="J165" s="37">
        <v>1.2E-2</v>
      </c>
      <c r="K165" s="32">
        <f t="shared" si="18"/>
        <v>44649</v>
      </c>
      <c r="L165" s="37">
        <v>1.0999999999999999E-2</v>
      </c>
    </row>
    <row r="166" spans="7:12" ht="18" customHeight="1" x14ac:dyDescent="0.4">
      <c r="G166" s="32">
        <f t="shared" si="16"/>
        <v>44650</v>
      </c>
      <c r="H166" s="37">
        <v>1.43E-2</v>
      </c>
      <c r="I166" s="32">
        <f t="shared" si="17"/>
        <v>44650</v>
      </c>
      <c r="J166" s="37">
        <v>1.2E-2</v>
      </c>
      <c r="K166" s="32">
        <f t="shared" si="18"/>
        <v>44650</v>
      </c>
      <c r="L166" s="37">
        <v>1.0999999999999999E-2</v>
      </c>
    </row>
    <row r="167" spans="7:12" ht="18" customHeight="1" x14ac:dyDescent="0.4">
      <c r="G167" s="32">
        <f t="shared" si="16"/>
        <v>44651</v>
      </c>
      <c r="H167" s="37">
        <v>1.43E-2</v>
      </c>
      <c r="I167" s="32">
        <f t="shared" si="17"/>
        <v>44651</v>
      </c>
      <c r="J167" s="37">
        <v>1.2E-2</v>
      </c>
      <c r="K167" s="32">
        <f t="shared" si="18"/>
        <v>44651</v>
      </c>
      <c r="L167" s="37">
        <v>1.0999999999999999E-2</v>
      </c>
    </row>
    <row r="168" spans="7:12" ht="18" customHeight="1" x14ac:dyDescent="0.4">
      <c r="G168" s="32">
        <f t="shared" si="16"/>
        <v>44652</v>
      </c>
      <c r="H168" s="37">
        <v>1.43E-2</v>
      </c>
      <c r="I168" s="32">
        <f t="shared" si="17"/>
        <v>44652</v>
      </c>
      <c r="J168" s="37">
        <v>1.2E-2</v>
      </c>
      <c r="K168" s="32">
        <f t="shared" si="18"/>
        <v>44652</v>
      </c>
      <c r="L168" s="37">
        <v>1.0999999999999999E-2</v>
      </c>
    </row>
    <row r="169" spans="7:12" ht="18" customHeight="1" x14ac:dyDescent="0.4">
      <c r="G169" s="32">
        <f t="shared" si="16"/>
        <v>44653</v>
      </c>
      <c r="H169" s="37">
        <v>1.43E-2</v>
      </c>
      <c r="I169" s="32">
        <f t="shared" si="17"/>
        <v>44653</v>
      </c>
      <c r="J169" s="37">
        <v>1.2E-2</v>
      </c>
      <c r="K169" s="32">
        <f t="shared" si="18"/>
        <v>44653</v>
      </c>
      <c r="L169" s="37">
        <v>1.0999999999999999E-2</v>
      </c>
    </row>
    <row r="170" spans="7:12" ht="18" customHeight="1" x14ac:dyDescent="0.4">
      <c r="G170" s="32">
        <f t="shared" si="16"/>
        <v>44654</v>
      </c>
      <c r="H170" s="37">
        <v>1.43E-2</v>
      </c>
      <c r="I170" s="32">
        <f t="shared" si="17"/>
        <v>44654</v>
      </c>
      <c r="J170" s="37">
        <v>1.2E-2</v>
      </c>
      <c r="K170" s="32">
        <f t="shared" si="18"/>
        <v>44654</v>
      </c>
      <c r="L170" s="37">
        <v>1.0999999999999999E-2</v>
      </c>
    </row>
    <row r="171" spans="7:12" ht="18" customHeight="1" x14ac:dyDescent="0.4">
      <c r="G171" s="32">
        <f t="shared" si="16"/>
        <v>44655</v>
      </c>
      <c r="H171" s="37">
        <v>1.43E-2</v>
      </c>
      <c r="I171" s="32">
        <f t="shared" si="17"/>
        <v>44655</v>
      </c>
      <c r="J171" s="37">
        <v>1.2E-2</v>
      </c>
      <c r="K171" s="32">
        <f t="shared" si="18"/>
        <v>44655</v>
      </c>
      <c r="L171" s="37">
        <v>1.0999999999999999E-2</v>
      </c>
    </row>
    <row r="172" spans="7:12" ht="18" customHeight="1" x14ac:dyDescent="0.4">
      <c r="G172" s="32">
        <f t="shared" si="16"/>
        <v>44656</v>
      </c>
      <c r="H172" s="37">
        <v>1.43E-2</v>
      </c>
      <c r="I172" s="32">
        <f t="shared" si="17"/>
        <v>44656</v>
      </c>
      <c r="J172" s="37">
        <v>1.2E-2</v>
      </c>
      <c r="K172" s="32">
        <f t="shared" si="18"/>
        <v>44656</v>
      </c>
      <c r="L172" s="37">
        <v>1.0999999999999999E-2</v>
      </c>
    </row>
    <row r="173" spans="7:12" ht="18" customHeight="1" x14ac:dyDescent="0.4">
      <c r="G173" s="32">
        <f t="shared" si="16"/>
        <v>44657</v>
      </c>
      <c r="H173" s="37">
        <v>1.43E-2</v>
      </c>
      <c r="I173" s="32">
        <f t="shared" si="17"/>
        <v>44657</v>
      </c>
      <c r="J173" s="37">
        <v>1.2E-2</v>
      </c>
      <c r="K173" s="32">
        <f t="shared" si="18"/>
        <v>44657</v>
      </c>
      <c r="L173" s="37">
        <v>1.0999999999999999E-2</v>
      </c>
    </row>
    <row r="174" spans="7:12" ht="18" customHeight="1" x14ac:dyDescent="0.4">
      <c r="G174" s="32">
        <f t="shared" si="16"/>
        <v>44658</v>
      </c>
      <c r="H174" s="37">
        <v>1.43E-2</v>
      </c>
      <c r="I174" s="32">
        <f t="shared" si="17"/>
        <v>44658</v>
      </c>
      <c r="J174" s="37">
        <v>1.2E-2</v>
      </c>
      <c r="K174" s="32">
        <f t="shared" si="18"/>
        <v>44658</v>
      </c>
      <c r="L174" s="37">
        <v>1.0999999999999999E-2</v>
      </c>
    </row>
    <row r="175" spans="7:12" ht="18" customHeight="1" x14ac:dyDescent="0.4">
      <c r="G175" s="32">
        <f t="shared" si="16"/>
        <v>44659</v>
      </c>
      <c r="H175" s="37">
        <v>1.43E-2</v>
      </c>
      <c r="I175" s="32">
        <f t="shared" si="17"/>
        <v>44659</v>
      </c>
      <c r="J175" s="37">
        <v>1.2E-2</v>
      </c>
      <c r="K175" s="32">
        <f t="shared" si="18"/>
        <v>44659</v>
      </c>
      <c r="L175" s="37">
        <v>1.0999999999999999E-2</v>
      </c>
    </row>
    <row r="176" spans="7:12" ht="18" customHeight="1" x14ac:dyDescent="0.4">
      <c r="G176" s="32">
        <f t="shared" si="16"/>
        <v>44660</v>
      </c>
      <c r="H176" s="37">
        <v>1.43E-2</v>
      </c>
      <c r="I176" s="32">
        <f t="shared" si="17"/>
        <v>44660</v>
      </c>
      <c r="J176" s="37">
        <v>1.2E-2</v>
      </c>
      <c r="K176" s="32">
        <f t="shared" si="18"/>
        <v>44660</v>
      </c>
      <c r="L176" s="37">
        <v>1.0999999999999999E-2</v>
      </c>
    </row>
    <row r="177" spans="7:12" ht="18" customHeight="1" x14ac:dyDescent="0.4">
      <c r="G177" s="32">
        <f t="shared" si="16"/>
        <v>44661</v>
      </c>
      <c r="H177" s="37">
        <v>1.43E-2</v>
      </c>
      <c r="I177" s="32">
        <f t="shared" si="17"/>
        <v>44661</v>
      </c>
      <c r="J177" s="37">
        <v>1.2E-2</v>
      </c>
      <c r="K177" s="32">
        <f t="shared" si="18"/>
        <v>44661</v>
      </c>
      <c r="L177" s="37">
        <v>1.0999999999999999E-2</v>
      </c>
    </row>
    <row r="178" spans="7:12" ht="18" customHeight="1" x14ac:dyDescent="0.4">
      <c r="G178" s="32">
        <f t="shared" si="16"/>
        <v>44662</v>
      </c>
      <c r="H178" s="37">
        <v>1.43E-2</v>
      </c>
      <c r="I178" s="32">
        <f t="shared" si="17"/>
        <v>44662</v>
      </c>
      <c r="J178" s="37">
        <v>1.2E-2</v>
      </c>
      <c r="K178" s="32">
        <f t="shared" si="18"/>
        <v>44662</v>
      </c>
      <c r="L178" s="37">
        <v>1.0999999999999999E-2</v>
      </c>
    </row>
    <row r="179" spans="7:12" ht="18" customHeight="1" x14ac:dyDescent="0.4">
      <c r="G179" s="32">
        <f t="shared" si="16"/>
        <v>44663</v>
      </c>
      <c r="H179" s="37">
        <v>1.43E-2</v>
      </c>
      <c r="I179" s="32">
        <f t="shared" si="17"/>
        <v>44663</v>
      </c>
      <c r="J179" s="37">
        <v>1.2E-2</v>
      </c>
      <c r="K179" s="32">
        <f t="shared" si="18"/>
        <v>44663</v>
      </c>
      <c r="L179" s="37">
        <v>1.0999999999999999E-2</v>
      </c>
    </row>
    <row r="180" spans="7:12" ht="18" customHeight="1" x14ac:dyDescent="0.4">
      <c r="G180" s="32">
        <f t="shared" si="16"/>
        <v>44664</v>
      </c>
      <c r="H180" s="37">
        <v>1.43E-2</v>
      </c>
      <c r="I180" s="32">
        <f t="shared" si="17"/>
        <v>44664</v>
      </c>
      <c r="J180" s="37">
        <v>1.2E-2</v>
      </c>
      <c r="K180" s="32">
        <f t="shared" si="18"/>
        <v>44664</v>
      </c>
      <c r="L180" s="37">
        <v>1.0999999999999999E-2</v>
      </c>
    </row>
    <row r="181" spans="7:12" ht="18" customHeight="1" x14ac:dyDescent="0.4">
      <c r="G181" s="32">
        <f t="shared" si="16"/>
        <v>44665</v>
      </c>
      <c r="H181" s="37">
        <v>1.43E-2</v>
      </c>
      <c r="I181" s="32">
        <f t="shared" si="17"/>
        <v>44665</v>
      </c>
      <c r="J181" s="37">
        <v>1.2E-2</v>
      </c>
      <c r="K181" s="32">
        <f t="shared" si="18"/>
        <v>44665</v>
      </c>
      <c r="L181" s="37">
        <v>1.0999999999999999E-2</v>
      </c>
    </row>
    <row r="182" spans="7:12" ht="18" customHeight="1" x14ac:dyDescent="0.4">
      <c r="G182" s="32">
        <f t="shared" si="16"/>
        <v>44666</v>
      </c>
      <c r="H182" s="37">
        <v>1.43E-2</v>
      </c>
      <c r="I182" s="32">
        <f t="shared" si="17"/>
        <v>44666</v>
      </c>
      <c r="J182" s="37">
        <v>1.2E-2</v>
      </c>
      <c r="K182" s="32">
        <f t="shared" si="18"/>
        <v>44666</v>
      </c>
      <c r="L182" s="37">
        <v>1.0999999999999999E-2</v>
      </c>
    </row>
    <row r="183" spans="7:12" ht="18" customHeight="1" x14ac:dyDescent="0.4">
      <c r="G183" s="32">
        <f t="shared" si="16"/>
        <v>44667</v>
      </c>
      <c r="H183" s="37">
        <v>1.43E-2</v>
      </c>
      <c r="I183" s="32">
        <f t="shared" si="17"/>
        <v>44667</v>
      </c>
      <c r="J183" s="37">
        <v>1.2E-2</v>
      </c>
      <c r="K183" s="32">
        <f t="shared" si="18"/>
        <v>44667</v>
      </c>
      <c r="L183" s="37">
        <v>1.0999999999999999E-2</v>
      </c>
    </row>
    <row r="184" spans="7:12" ht="18" customHeight="1" x14ac:dyDescent="0.4">
      <c r="G184" s="32">
        <f t="shared" si="16"/>
        <v>44668</v>
      </c>
      <c r="H184" s="37">
        <v>1.43E-2</v>
      </c>
      <c r="I184" s="32">
        <f t="shared" si="17"/>
        <v>44668</v>
      </c>
      <c r="J184" s="37">
        <v>1.2E-2</v>
      </c>
      <c r="K184" s="32">
        <f t="shared" si="18"/>
        <v>44668</v>
      </c>
      <c r="L184" s="37">
        <v>1.0999999999999999E-2</v>
      </c>
    </row>
    <row r="185" spans="7:12" ht="18" customHeight="1" x14ac:dyDescent="0.4">
      <c r="G185" s="32">
        <f t="shared" si="16"/>
        <v>44669</v>
      </c>
      <c r="H185" s="37">
        <v>1.43E-2</v>
      </c>
      <c r="I185" s="32">
        <f t="shared" si="17"/>
        <v>44669</v>
      </c>
      <c r="J185" s="37">
        <v>1.2E-2</v>
      </c>
      <c r="K185" s="32">
        <f t="shared" si="18"/>
        <v>44669</v>
      </c>
      <c r="L185" s="37">
        <v>1.0999999999999999E-2</v>
      </c>
    </row>
    <row r="186" spans="7:12" ht="18" customHeight="1" x14ac:dyDescent="0.4">
      <c r="G186" s="32">
        <f t="shared" si="16"/>
        <v>44670</v>
      </c>
      <c r="H186" s="37">
        <v>1.43E-2</v>
      </c>
      <c r="I186" s="32">
        <f t="shared" si="17"/>
        <v>44670</v>
      </c>
      <c r="J186" s="37">
        <v>1.2E-2</v>
      </c>
      <c r="K186" s="32">
        <f t="shared" si="18"/>
        <v>44670</v>
      </c>
      <c r="L186" s="37">
        <v>1.0999999999999999E-2</v>
      </c>
    </row>
    <row r="187" spans="7:12" ht="18" customHeight="1" x14ac:dyDescent="0.4">
      <c r="G187" s="32">
        <f t="shared" si="16"/>
        <v>44671</v>
      </c>
      <c r="H187" s="37">
        <v>1.43E-2</v>
      </c>
      <c r="I187" s="32">
        <f t="shared" si="17"/>
        <v>44671</v>
      </c>
      <c r="J187" s="37">
        <v>1.2E-2</v>
      </c>
      <c r="K187" s="32">
        <f t="shared" si="18"/>
        <v>44671</v>
      </c>
      <c r="L187" s="37">
        <v>1.0999999999999999E-2</v>
      </c>
    </row>
    <row r="188" spans="7:12" ht="18" customHeight="1" x14ac:dyDescent="0.4">
      <c r="G188" s="32">
        <f t="shared" si="16"/>
        <v>44672</v>
      </c>
      <c r="H188" s="37">
        <v>1.43E-2</v>
      </c>
      <c r="I188" s="32">
        <f t="shared" si="17"/>
        <v>44672</v>
      </c>
      <c r="J188" s="37">
        <v>1.2E-2</v>
      </c>
      <c r="K188" s="32">
        <f t="shared" si="18"/>
        <v>44672</v>
      </c>
      <c r="L188" s="37">
        <v>1.0999999999999999E-2</v>
      </c>
    </row>
    <row r="189" spans="7:12" ht="18" customHeight="1" x14ac:dyDescent="0.4">
      <c r="G189" s="32">
        <f t="shared" si="16"/>
        <v>44673</v>
      </c>
      <c r="H189" s="37">
        <v>1.43E-2</v>
      </c>
      <c r="I189" s="32">
        <f t="shared" si="17"/>
        <v>44673</v>
      </c>
      <c r="J189" s="37">
        <v>1.2E-2</v>
      </c>
      <c r="K189" s="32">
        <f t="shared" si="18"/>
        <v>44673</v>
      </c>
      <c r="L189" s="37">
        <v>1.0999999999999999E-2</v>
      </c>
    </row>
    <row r="190" spans="7:12" ht="18" customHeight="1" x14ac:dyDescent="0.4">
      <c r="G190" s="32">
        <f t="shared" si="16"/>
        <v>44674</v>
      </c>
      <c r="H190" s="37">
        <v>1.43E-2</v>
      </c>
      <c r="I190" s="32">
        <f t="shared" si="17"/>
        <v>44674</v>
      </c>
      <c r="J190" s="37">
        <v>1.2E-2</v>
      </c>
      <c r="K190" s="32">
        <f t="shared" si="18"/>
        <v>44674</v>
      </c>
      <c r="L190" s="37">
        <v>1.0999999999999999E-2</v>
      </c>
    </row>
    <row r="191" spans="7:12" ht="18" customHeight="1" x14ac:dyDescent="0.4">
      <c r="G191" s="32">
        <f t="shared" si="16"/>
        <v>44675</v>
      </c>
      <c r="H191" s="37">
        <v>1.43E-2</v>
      </c>
      <c r="I191" s="32">
        <f t="shared" si="17"/>
        <v>44675</v>
      </c>
      <c r="J191" s="37">
        <v>1.2E-2</v>
      </c>
      <c r="K191" s="32">
        <f t="shared" si="18"/>
        <v>44675</v>
      </c>
      <c r="L191" s="37">
        <v>1.0999999999999999E-2</v>
      </c>
    </row>
    <row r="192" spans="7:12" ht="18" customHeight="1" x14ac:dyDescent="0.4">
      <c r="G192" s="32">
        <f t="shared" si="16"/>
        <v>44676</v>
      </c>
      <c r="H192" s="37">
        <v>1.43E-2</v>
      </c>
      <c r="I192" s="32">
        <f t="shared" si="17"/>
        <v>44676</v>
      </c>
      <c r="J192" s="37">
        <v>1.2E-2</v>
      </c>
      <c r="K192" s="32">
        <f t="shared" si="18"/>
        <v>44676</v>
      </c>
      <c r="L192" s="37">
        <v>1.0999999999999999E-2</v>
      </c>
    </row>
    <row r="193" spans="7:12" ht="18" customHeight="1" x14ac:dyDescent="0.4">
      <c r="G193" s="32">
        <f t="shared" si="16"/>
        <v>44677</v>
      </c>
      <c r="H193" s="37">
        <v>1.43E-2</v>
      </c>
      <c r="I193" s="32">
        <f t="shared" si="17"/>
        <v>44677</v>
      </c>
      <c r="J193" s="37">
        <v>1.2E-2</v>
      </c>
      <c r="K193" s="32">
        <f t="shared" si="18"/>
        <v>44677</v>
      </c>
      <c r="L193" s="37">
        <v>1.0999999999999999E-2</v>
      </c>
    </row>
    <row r="194" spans="7:12" ht="18" customHeight="1" x14ac:dyDescent="0.4">
      <c r="G194" s="32">
        <f t="shared" si="16"/>
        <v>44678</v>
      </c>
      <c r="H194" s="37">
        <v>1.43E-2</v>
      </c>
      <c r="I194" s="32">
        <f t="shared" si="17"/>
        <v>44678</v>
      </c>
      <c r="J194" s="37">
        <v>1.2E-2</v>
      </c>
      <c r="K194" s="32">
        <f t="shared" si="18"/>
        <v>44678</v>
      </c>
      <c r="L194" s="37">
        <v>1.0999999999999999E-2</v>
      </c>
    </row>
    <row r="195" spans="7:12" ht="18" customHeight="1" x14ac:dyDescent="0.4">
      <c r="G195" s="32">
        <f t="shared" si="16"/>
        <v>44679</v>
      </c>
      <c r="H195" s="37">
        <v>1.43E-2</v>
      </c>
      <c r="I195" s="32">
        <f t="shared" si="17"/>
        <v>44679</v>
      </c>
      <c r="J195" s="37">
        <v>1.2E-2</v>
      </c>
      <c r="K195" s="32">
        <f t="shared" si="18"/>
        <v>44679</v>
      </c>
      <c r="L195" s="37">
        <v>1.0999999999999999E-2</v>
      </c>
    </row>
    <row r="196" spans="7:12" ht="18" customHeight="1" x14ac:dyDescent="0.4">
      <c r="G196" s="32">
        <f t="shared" si="16"/>
        <v>44680</v>
      </c>
      <c r="H196" s="37">
        <v>1.43E-2</v>
      </c>
      <c r="I196" s="32">
        <f t="shared" si="17"/>
        <v>44680</v>
      </c>
      <c r="J196" s="37">
        <v>1.2E-2</v>
      </c>
      <c r="K196" s="32">
        <f t="shared" si="18"/>
        <v>44680</v>
      </c>
      <c r="L196" s="37">
        <v>1.0999999999999999E-2</v>
      </c>
    </row>
    <row r="197" spans="7:12" ht="18" customHeight="1" x14ac:dyDescent="0.4">
      <c r="G197" s="32">
        <f t="shared" si="16"/>
        <v>44681</v>
      </c>
      <c r="H197" s="37">
        <v>1.43E-2</v>
      </c>
      <c r="I197" s="32">
        <f t="shared" si="17"/>
        <v>44681</v>
      </c>
      <c r="J197" s="37">
        <v>1.2E-2</v>
      </c>
      <c r="K197" s="32">
        <f t="shared" si="18"/>
        <v>44681</v>
      </c>
      <c r="L197" s="37">
        <v>1.0999999999999999E-2</v>
      </c>
    </row>
    <row r="198" spans="7:12" ht="18" customHeight="1" x14ac:dyDescent="0.4">
      <c r="G198" s="32">
        <f t="shared" si="16"/>
        <v>44682</v>
      </c>
      <c r="H198" s="37">
        <v>1.43E-2</v>
      </c>
      <c r="I198" s="32">
        <f t="shared" si="17"/>
        <v>44682</v>
      </c>
      <c r="J198" s="37">
        <v>1.2E-2</v>
      </c>
      <c r="K198" s="32">
        <f t="shared" si="18"/>
        <v>44682</v>
      </c>
      <c r="L198" s="37">
        <v>1.0999999999999999E-2</v>
      </c>
    </row>
    <row r="199" spans="7:12" ht="18" customHeight="1" x14ac:dyDescent="0.4">
      <c r="G199" s="32">
        <f t="shared" si="16"/>
        <v>44683</v>
      </c>
      <c r="H199" s="37">
        <v>1.43E-2</v>
      </c>
      <c r="I199" s="32">
        <f t="shared" si="17"/>
        <v>44683</v>
      </c>
      <c r="J199" s="37">
        <v>1.2E-2</v>
      </c>
      <c r="K199" s="32">
        <f t="shared" si="18"/>
        <v>44683</v>
      </c>
      <c r="L199" s="37">
        <v>1.0999999999999999E-2</v>
      </c>
    </row>
    <row r="200" spans="7:12" ht="18" customHeight="1" x14ac:dyDescent="0.4">
      <c r="G200" s="32">
        <f t="shared" si="16"/>
        <v>44684</v>
      </c>
      <c r="H200" s="37">
        <v>1.43E-2</v>
      </c>
      <c r="I200" s="32">
        <f t="shared" si="17"/>
        <v>44684</v>
      </c>
      <c r="J200" s="37">
        <v>1.2E-2</v>
      </c>
      <c r="K200" s="32">
        <f t="shared" si="18"/>
        <v>44684</v>
      </c>
      <c r="L200" s="37">
        <v>1.0999999999999999E-2</v>
      </c>
    </row>
    <row r="201" spans="7:12" ht="18" customHeight="1" x14ac:dyDescent="0.4">
      <c r="G201" s="32">
        <f t="shared" ref="G201:G217" si="19">G200+1</f>
        <v>44685</v>
      </c>
      <c r="H201" s="37">
        <v>1.43E-2</v>
      </c>
      <c r="I201" s="32">
        <f t="shared" ref="I201:I217" si="20">I200+1</f>
        <v>44685</v>
      </c>
      <c r="J201" s="37">
        <v>1.2E-2</v>
      </c>
      <c r="K201" s="32">
        <f t="shared" ref="K201:K217" si="21">K200+1</f>
        <v>44685</v>
      </c>
      <c r="L201" s="37">
        <v>1.0999999999999999E-2</v>
      </c>
    </row>
    <row r="202" spans="7:12" ht="18" customHeight="1" x14ac:dyDescent="0.4">
      <c r="G202" s="32">
        <f t="shared" si="19"/>
        <v>44686</v>
      </c>
      <c r="H202" s="37">
        <v>1.43E-2</v>
      </c>
      <c r="I202" s="32">
        <f t="shared" si="20"/>
        <v>44686</v>
      </c>
      <c r="J202" s="37">
        <v>1.2E-2</v>
      </c>
      <c r="K202" s="32">
        <f t="shared" si="21"/>
        <v>44686</v>
      </c>
      <c r="L202" s="37">
        <v>1.0999999999999999E-2</v>
      </c>
    </row>
    <row r="203" spans="7:12" ht="18" customHeight="1" x14ac:dyDescent="0.4">
      <c r="G203" s="32">
        <f t="shared" si="19"/>
        <v>44687</v>
      </c>
      <c r="H203" s="37">
        <v>1.43E-2</v>
      </c>
      <c r="I203" s="32">
        <f t="shared" si="20"/>
        <v>44687</v>
      </c>
      <c r="J203" s="37">
        <v>1.2E-2</v>
      </c>
      <c r="K203" s="32">
        <f t="shared" si="21"/>
        <v>44687</v>
      </c>
      <c r="L203" s="37">
        <v>1.0999999999999999E-2</v>
      </c>
    </row>
    <row r="204" spans="7:12" ht="18" customHeight="1" x14ac:dyDescent="0.4">
      <c r="G204" s="32">
        <f t="shared" si="19"/>
        <v>44688</v>
      </c>
      <c r="H204" s="37">
        <v>1.43E-2</v>
      </c>
      <c r="I204" s="32">
        <f t="shared" si="20"/>
        <v>44688</v>
      </c>
      <c r="J204" s="37">
        <v>1.2E-2</v>
      </c>
      <c r="K204" s="32">
        <f t="shared" si="21"/>
        <v>44688</v>
      </c>
      <c r="L204" s="37">
        <v>1.0999999999999999E-2</v>
      </c>
    </row>
    <row r="205" spans="7:12" ht="18" customHeight="1" x14ac:dyDescent="0.4">
      <c r="G205" s="32">
        <f t="shared" si="19"/>
        <v>44689</v>
      </c>
      <c r="H205" s="37">
        <v>1.43E-2</v>
      </c>
      <c r="I205" s="32">
        <f t="shared" si="20"/>
        <v>44689</v>
      </c>
      <c r="J205" s="37">
        <v>1.2E-2</v>
      </c>
      <c r="K205" s="32">
        <f t="shared" si="21"/>
        <v>44689</v>
      </c>
      <c r="L205" s="37">
        <v>1.0999999999999999E-2</v>
      </c>
    </row>
    <row r="206" spans="7:12" ht="18" customHeight="1" x14ac:dyDescent="0.4">
      <c r="G206" s="32">
        <f t="shared" si="19"/>
        <v>44690</v>
      </c>
      <c r="H206" s="37">
        <v>1.43E-2</v>
      </c>
      <c r="I206" s="32">
        <f t="shared" si="20"/>
        <v>44690</v>
      </c>
      <c r="J206" s="37">
        <v>1.2E-2</v>
      </c>
      <c r="K206" s="32">
        <f t="shared" si="21"/>
        <v>44690</v>
      </c>
      <c r="L206" s="37">
        <v>1.0999999999999999E-2</v>
      </c>
    </row>
    <row r="207" spans="7:12" ht="18" customHeight="1" x14ac:dyDescent="0.4">
      <c r="G207" s="32">
        <f t="shared" si="19"/>
        <v>44691</v>
      </c>
      <c r="H207" s="37">
        <v>1.43E-2</v>
      </c>
      <c r="I207" s="32">
        <f t="shared" si="20"/>
        <v>44691</v>
      </c>
      <c r="J207" s="37">
        <v>1.2E-2</v>
      </c>
      <c r="K207" s="32">
        <f t="shared" si="21"/>
        <v>44691</v>
      </c>
      <c r="L207" s="37">
        <v>1.0999999999999999E-2</v>
      </c>
    </row>
    <row r="208" spans="7:12" ht="18" customHeight="1" x14ac:dyDescent="0.4">
      <c r="G208" s="32">
        <f t="shared" si="19"/>
        <v>44692</v>
      </c>
      <c r="H208" s="37">
        <v>1.43E-2</v>
      </c>
      <c r="I208" s="32">
        <f t="shared" si="20"/>
        <v>44692</v>
      </c>
      <c r="J208" s="37">
        <v>1.2E-2</v>
      </c>
      <c r="K208" s="32">
        <f t="shared" si="21"/>
        <v>44692</v>
      </c>
      <c r="L208" s="37">
        <v>1.0999999999999999E-2</v>
      </c>
    </row>
    <row r="209" spans="7:12" ht="18" customHeight="1" x14ac:dyDescent="0.4">
      <c r="G209" s="32">
        <f t="shared" si="19"/>
        <v>44693</v>
      </c>
      <c r="H209" s="37">
        <v>1.43E-2</v>
      </c>
      <c r="I209" s="32">
        <f t="shared" si="20"/>
        <v>44693</v>
      </c>
      <c r="J209" s="37">
        <v>1.2E-2</v>
      </c>
      <c r="K209" s="32">
        <f t="shared" si="21"/>
        <v>44693</v>
      </c>
      <c r="L209" s="37">
        <v>1.0999999999999999E-2</v>
      </c>
    </row>
    <row r="210" spans="7:12" ht="18" customHeight="1" x14ac:dyDescent="0.4">
      <c r="G210" s="32">
        <f t="shared" si="19"/>
        <v>44694</v>
      </c>
      <c r="H210" s="37">
        <v>1.43E-2</v>
      </c>
      <c r="I210" s="32">
        <f t="shared" si="20"/>
        <v>44694</v>
      </c>
      <c r="J210" s="37">
        <v>1.2E-2</v>
      </c>
      <c r="K210" s="32">
        <f t="shared" si="21"/>
        <v>44694</v>
      </c>
      <c r="L210" s="37">
        <v>1.0999999999999999E-2</v>
      </c>
    </row>
    <row r="211" spans="7:12" ht="18" customHeight="1" x14ac:dyDescent="0.4">
      <c r="G211" s="32">
        <f t="shared" si="19"/>
        <v>44695</v>
      </c>
      <c r="H211" s="37">
        <v>1.43E-2</v>
      </c>
      <c r="I211" s="32">
        <f t="shared" si="20"/>
        <v>44695</v>
      </c>
      <c r="J211" s="37">
        <v>1.2E-2</v>
      </c>
      <c r="K211" s="32">
        <f t="shared" si="21"/>
        <v>44695</v>
      </c>
      <c r="L211" s="37">
        <v>1.0999999999999999E-2</v>
      </c>
    </row>
    <row r="212" spans="7:12" ht="18" customHeight="1" x14ac:dyDescent="0.4">
      <c r="G212" s="32">
        <f t="shared" si="19"/>
        <v>44696</v>
      </c>
      <c r="H212" s="37">
        <v>1.43E-2</v>
      </c>
      <c r="I212" s="32">
        <f t="shared" si="20"/>
        <v>44696</v>
      </c>
      <c r="J212" s="37">
        <v>1.2E-2</v>
      </c>
      <c r="K212" s="32">
        <f t="shared" si="21"/>
        <v>44696</v>
      </c>
      <c r="L212" s="37">
        <v>1.0999999999999999E-2</v>
      </c>
    </row>
    <row r="213" spans="7:12" ht="18" customHeight="1" x14ac:dyDescent="0.4">
      <c r="G213" s="32">
        <f t="shared" si="19"/>
        <v>44697</v>
      </c>
      <c r="H213" s="37">
        <v>1.43E-2</v>
      </c>
      <c r="I213" s="32">
        <f t="shared" si="20"/>
        <v>44697</v>
      </c>
      <c r="J213" s="37">
        <v>1.2E-2</v>
      </c>
      <c r="K213" s="32">
        <f t="shared" si="21"/>
        <v>44697</v>
      </c>
      <c r="L213" s="37">
        <v>1.0999999999999999E-2</v>
      </c>
    </row>
    <row r="214" spans="7:12" ht="18" customHeight="1" x14ac:dyDescent="0.4">
      <c r="G214" s="32">
        <f t="shared" si="19"/>
        <v>44698</v>
      </c>
      <c r="H214" s="37">
        <v>1.43E-2</v>
      </c>
      <c r="I214" s="32">
        <f t="shared" si="20"/>
        <v>44698</v>
      </c>
      <c r="J214" s="37">
        <v>1.2E-2</v>
      </c>
      <c r="K214" s="32">
        <f t="shared" si="21"/>
        <v>44698</v>
      </c>
      <c r="L214" s="37">
        <v>1.0999999999999999E-2</v>
      </c>
    </row>
    <row r="215" spans="7:12" ht="18" customHeight="1" x14ac:dyDescent="0.4">
      <c r="G215" s="32">
        <f t="shared" si="19"/>
        <v>44699</v>
      </c>
      <c r="H215" s="37">
        <v>1.43E-2</v>
      </c>
      <c r="I215" s="32">
        <f t="shared" si="20"/>
        <v>44699</v>
      </c>
      <c r="J215" s="37">
        <v>1.2E-2</v>
      </c>
      <c r="K215" s="32">
        <f t="shared" si="21"/>
        <v>44699</v>
      </c>
      <c r="L215" s="37">
        <v>1.0999999999999999E-2</v>
      </c>
    </row>
    <row r="216" spans="7:12" ht="18" customHeight="1" x14ac:dyDescent="0.4">
      <c r="G216" s="32">
        <f t="shared" si="19"/>
        <v>44700</v>
      </c>
      <c r="H216" s="37">
        <v>1.43E-2</v>
      </c>
      <c r="I216" s="32">
        <f t="shared" si="20"/>
        <v>44700</v>
      </c>
      <c r="J216" s="37">
        <v>1.2E-2</v>
      </c>
      <c r="K216" s="32">
        <f t="shared" si="21"/>
        <v>44700</v>
      </c>
      <c r="L216" s="37">
        <v>1.0999999999999999E-2</v>
      </c>
    </row>
    <row r="217" spans="7:12" ht="18" customHeight="1" x14ac:dyDescent="0.4">
      <c r="G217" s="32">
        <f t="shared" si="19"/>
        <v>44701</v>
      </c>
      <c r="H217" s="37">
        <v>1.43E-2</v>
      </c>
      <c r="I217" s="32">
        <f t="shared" si="20"/>
        <v>44701</v>
      </c>
      <c r="J217" s="37">
        <v>1.2E-2</v>
      </c>
      <c r="K217" s="32">
        <f t="shared" si="21"/>
        <v>44701</v>
      </c>
      <c r="L217" s="37">
        <v>1.0999999999999999E-2</v>
      </c>
    </row>
    <row r="218" spans="7:12" ht="18" customHeight="1" x14ac:dyDescent="0.4">
      <c r="G218" s="32"/>
      <c r="H218" s="37"/>
      <c r="I218" s="32"/>
      <c r="J218" s="37"/>
      <c r="K218" s="32"/>
      <c r="L218" s="37"/>
    </row>
    <row r="219" spans="7:12" ht="18" customHeight="1" x14ac:dyDescent="0.4">
      <c r="G219" s="32"/>
      <c r="H219" s="37"/>
      <c r="I219" s="32"/>
      <c r="J219" s="37"/>
      <c r="K219" s="32"/>
      <c r="L219" s="37"/>
    </row>
    <row r="220" spans="7:12" ht="18" customHeight="1" x14ac:dyDescent="0.4">
      <c r="G220" s="32"/>
      <c r="H220" s="37"/>
      <c r="I220" s="32"/>
      <c r="J220" s="37"/>
      <c r="K220" s="32"/>
      <c r="L220" s="37"/>
    </row>
    <row r="221" spans="7:12" ht="18" customHeight="1" x14ac:dyDescent="0.4">
      <c r="G221" s="32"/>
      <c r="H221" s="37"/>
      <c r="I221" s="32"/>
      <c r="J221" s="37"/>
      <c r="K221" s="32"/>
      <c r="L221" s="37"/>
    </row>
    <row r="222" spans="7:12" ht="18" customHeight="1" x14ac:dyDescent="0.4">
      <c r="G222" s="32"/>
      <c r="H222" s="37"/>
      <c r="I222" s="32"/>
      <c r="J222" s="37"/>
      <c r="K222" s="32"/>
      <c r="L222" s="37"/>
    </row>
    <row r="223" spans="7:12" ht="18" customHeight="1" x14ac:dyDescent="0.4">
      <c r="G223" s="32"/>
      <c r="H223" s="37"/>
      <c r="I223" s="32"/>
      <c r="J223" s="37"/>
      <c r="K223" s="32"/>
      <c r="L223" s="37"/>
    </row>
    <row r="224" spans="7:12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3"/>
  <sheetViews>
    <sheetView workbookViewId="0">
      <selection activeCell="D5" sqref="D5:E5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57"/>
    <col min="3" max="5" width="13.8984375" style="58"/>
    <col min="6" max="8" width="13.8984375" style="59"/>
    <col min="9" max="9" width="13.8984375" style="57"/>
    <col min="10" max="12" width="13.8984375" style="58"/>
    <col min="13" max="15" width="13.8984375" style="59"/>
    <col min="16" max="16384" width="13.8984375" style="21"/>
  </cols>
  <sheetData>
    <row r="1" spans="1:15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/>
      <c r="N1" s="21"/>
      <c r="O1" s="21"/>
    </row>
    <row r="2" spans="1:15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</row>
    <row r="4" spans="1:15" x14ac:dyDescent="0.4">
      <c r="B4" s="178" t="s">
        <v>58</v>
      </c>
      <c r="C4" s="178"/>
      <c r="D4" s="179">
        <v>1000</v>
      </c>
      <c r="E4" s="179"/>
      <c r="F4" s="21"/>
      <c r="G4" s="180" t="s">
        <v>79</v>
      </c>
      <c r="H4" s="181"/>
      <c r="I4" s="182">
        <v>10088.753002857153</v>
      </c>
      <c r="J4" s="183"/>
      <c r="K4" s="21"/>
      <c r="L4" s="31">
        <v>44662.562962962962</v>
      </c>
      <c r="M4" s="1" t="s">
        <v>5</v>
      </c>
      <c r="N4" s="90" t="s">
        <v>6</v>
      </c>
      <c r="O4" s="90"/>
    </row>
    <row r="5" spans="1:15" x14ac:dyDescent="0.4">
      <c r="B5" s="178" t="s">
        <v>30</v>
      </c>
      <c r="C5" s="178"/>
      <c r="D5" s="179">
        <v>0</v>
      </c>
      <c r="E5" s="179"/>
      <c r="F5" s="21"/>
      <c r="G5" s="180" t="s">
        <v>80</v>
      </c>
      <c r="H5" s="181"/>
      <c r="I5" s="182">
        <v>9940.9990497947183</v>
      </c>
      <c r="J5" s="183"/>
      <c r="K5" s="21"/>
      <c r="L5" s="31">
        <v>44662.562974537039</v>
      </c>
      <c r="M5" s="21"/>
      <c r="N5" s="90"/>
      <c r="O5" s="90"/>
    </row>
    <row r="6" spans="1:15" x14ac:dyDescent="0.4">
      <c r="B6" s="21"/>
      <c r="C6" s="21"/>
      <c r="D6" s="21"/>
      <c r="E6" s="21"/>
      <c r="F6" s="21"/>
      <c r="G6" s="180" t="s">
        <v>64</v>
      </c>
      <c r="H6" s="181"/>
      <c r="I6" s="182">
        <v>73.972925512518302</v>
      </c>
      <c r="J6" s="183"/>
      <c r="K6" s="21"/>
      <c r="L6" s="31"/>
      <c r="M6" s="21"/>
      <c r="N6" s="90"/>
      <c r="O6" s="90"/>
    </row>
    <row r="7" spans="1:15" x14ac:dyDescent="0.4">
      <c r="B7" s="21"/>
      <c r="C7" s="21"/>
      <c r="D7" s="21">
        <v>1</v>
      </c>
      <c r="E7" s="21"/>
      <c r="F7" s="21"/>
      <c r="G7" s="180" t="s">
        <v>94</v>
      </c>
      <c r="H7" s="181"/>
      <c r="I7" s="182">
        <v>73.781027549916146</v>
      </c>
      <c r="J7" s="183"/>
      <c r="K7" s="21"/>
      <c r="L7" s="21"/>
      <c r="M7" s="21"/>
      <c r="N7" s="21"/>
      <c r="O7" s="21"/>
    </row>
    <row r="8" spans="1:15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</row>
    <row r="9" spans="1:15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</row>
    <row r="10" spans="1:15" x14ac:dyDescent="0.4">
      <c r="A10" s="69"/>
      <c r="B10" s="177" t="s">
        <v>65</v>
      </c>
      <c r="C10" s="177"/>
      <c r="D10" s="177"/>
      <c r="E10" s="177"/>
      <c r="F10" s="177"/>
      <c r="G10" s="177"/>
      <c r="H10" s="177"/>
      <c r="I10" s="177" t="s">
        <v>68</v>
      </c>
      <c r="J10" s="177"/>
      <c r="K10" s="177"/>
      <c r="L10" s="177"/>
      <c r="M10" s="177"/>
      <c r="N10" s="177"/>
      <c r="O10" s="177"/>
    </row>
    <row r="11" spans="1:15" x14ac:dyDescent="0.4">
      <c r="B11" s="60" t="s">
        <v>66</v>
      </c>
      <c r="C11" s="61" t="str">
        <f>IF(발행정보!E14=0, "금리1", "Spread1")</f>
        <v>금리1</v>
      </c>
      <c r="D11" s="62" t="str">
        <f>IF(발행정보!E23=0, "금리2", "Spread2")</f>
        <v>금리2</v>
      </c>
      <c r="E11" s="63" t="str">
        <f>IF(발행정보!E32=0, "금리3", "Spread3")</f>
        <v>금리3</v>
      </c>
      <c r="F11" s="63" t="s">
        <v>81</v>
      </c>
      <c r="G11" s="62" t="s">
        <v>70</v>
      </c>
      <c r="H11" s="63" t="s">
        <v>69</v>
      </c>
      <c r="I11" s="60" t="s">
        <v>66</v>
      </c>
      <c r="J11" s="61" t="str">
        <f>IF(발행정보!AG14=0, "금리1", "Spread1")</f>
        <v>금리1</v>
      </c>
      <c r="K11" s="62" t="str">
        <f>IF(발행정보!AG23=0, "금리2", "Spread2")</f>
        <v>금리2</v>
      </c>
      <c r="L11" s="63" t="str">
        <f>IF(발행정보!AG32=0, "금리3", "Spread3")</f>
        <v>금리3</v>
      </c>
      <c r="M11" s="63" t="s">
        <v>67</v>
      </c>
      <c r="N11" s="62" t="s">
        <v>70</v>
      </c>
      <c r="O11" s="63" t="s">
        <v>69</v>
      </c>
    </row>
    <row r="12" spans="1:15" x14ac:dyDescent="0.4">
      <c r="B12" s="64">
        <v>44603</v>
      </c>
      <c r="C12" s="65">
        <v>1.4927785739915057E-2</v>
      </c>
      <c r="D12" s="65">
        <v>1.0019124674635234E-2</v>
      </c>
      <c r="E12" s="65"/>
      <c r="F12" s="66"/>
      <c r="G12" s="67">
        <v>163.65359693348219</v>
      </c>
      <c r="H12" s="66">
        <v>0.99611034049981761</v>
      </c>
      <c r="I12" s="64">
        <v>44603</v>
      </c>
      <c r="J12" s="65">
        <v>1.4932769236829128E-2</v>
      </c>
      <c r="K12" s="65"/>
      <c r="L12" s="65"/>
      <c r="M12" s="66"/>
      <c r="N12" s="67">
        <v>50.410958904109322</v>
      </c>
      <c r="O12" s="66">
        <v>0.99611034049981761</v>
      </c>
    </row>
    <row r="13" spans="1:15" x14ac:dyDescent="0.4">
      <c r="B13" s="64">
        <v>44692</v>
      </c>
      <c r="C13" s="65">
        <v>1.61216091146229E-2</v>
      </c>
      <c r="D13" s="65">
        <v>1.0770687778849113E-2</v>
      </c>
      <c r="E13" s="65"/>
      <c r="F13" s="66"/>
      <c r="G13" s="67">
        <v>160.8829111852944</v>
      </c>
      <c r="H13" s="66">
        <v>0.99214101477461747</v>
      </c>
      <c r="I13" s="64">
        <v>44692</v>
      </c>
      <c r="J13" s="65">
        <v>1.6098206669096279E-2</v>
      </c>
      <c r="K13" s="65"/>
      <c r="L13" s="65"/>
      <c r="M13" s="66"/>
      <c r="N13" s="67">
        <v>48.767123287670181</v>
      </c>
      <c r="O13" s="66">
        <v>0.99214101477461747</v>
      </c>
    </row>
    <row r="14" spans="1:15" x14ac:dyDescent="0.4">
      <c r="B14" s="64">
        <v>44784</v>
      </c>
      <c r="C14" s="65">
        <v>1.8681378692441651E-2</v>
      </c>
      <c r="D14" s="65">
        <v>1.0885185022384655E-2</v>
      </c>
      <c r="E14" s="65"/>
      <c r="F14" s="66"/>
      <c r="G14" s="67">
        <v>128.01346110690471</v>
      </c>
      <c r="H14" s="66">
        <v>0.98738686771605633</v>
      </c>
      <c r="I14" s="64">
        <v>44784</v>
      </c>
      <c r="J14" s="65">
        <v>1.8690785232839065E-2</v>
      </c>
      <c r="K14" s="65"/>
      <c r="L14" s="65"/>
      <c r="M14" s="66"/>
      <c r="N14" s="67">
        <v>50.410958904109322</v>
      </c>
      <c r="O14" s="66">
        <v>0.98738686771605633</v>
      </c>
    </row>
    <row r="15" spans="1:15" x14ac:dyDescent="0.4">
      <c r="B15" s="64">
        <v>44876</v>
      </c>
      <c r="C15" s="65">
        <v>2.1580348984605251E-2</v>
      </c>
      <c r="D15" s="65">
        <v>1.125242313398186E-2</v>
      </c>
      <c r="E15" s="65"/>
      <c r="F15" s="66"/>
      <c r="G15" s="67">
        <v>46.478691977430252</v>
      </c>
      <c r="H15" s="66">
        <v>0.9819588634917148</v>
      </c>
      <c r="I15" s="64">
        <v>44876</v>
      </c>
      <c r="J15" s="65">
        <v>2.1591258914752536E-2</v>
      </c>
      <c r="K15" s="65"/>
      <c r="L15" s="65"/>
      <c r="M15" s="66"/>
      <c r="N15" s="67">
        <v>50.410958904109322</v>
      </c>
      <c r="O15" s="66">
        <v>0.9819588634917148</v>
      </c>
    </row>
    <row r="16" spans="1:15" x14ac:dyDescent="0.4">
      <c r="B16" s="64">
        <v>44968</v>
      </c>
      <c r="C16" s="65">
        <v>2.1422467386676702E-2</v>
      </c>
      <c r="D16" s="65">
        <v>1.229873485434865E-2</v>
      </c>
      <c r="E16" s="65"/>
      <c r="F16" s="66"/>
      <c r="G16" s="67">
        <v>53.788933969763207</v>
      </c>
      <c r="H16" s="66">
        <v>0.97657103278178314</v>
      </c>
      <c r="I16" s="64">
        <v>44968</v>
      </c>
      <c r="J16" s="65">
        <v>2.14288903324251E-2</v>
      </c>
      <c r="K16" s="65"/>
      <c r="L16" s="65"/>
      <c r="M16" s="66"/>
      <c r="N16" s="67">
        <v>50.410958904109322</v>
      </c>
      <c r="O16" s="66">
        <v>0.97657103278178314</v>
      </c>
    </row>
    <row r="17" spans="2:15" x14ac:dyDescent="0.4">
      <c r="B17" s="64">
        <v>45057</v>
      </c>
      <c r="C17" s="65">
        <v>2.2965750368789391E-2</v>
      </c>
      <c r="D17" s="65">
        <v>1.2920367384366851E-2</v>
      </c>
      <c r="E17" s="65"/>
      <c r="F17" s="66"/>
      <c r="G17" s="67">
        <v>29.273709806300818</v>
      </c>
      <c r="H17" s="66">
        <v>0.97101700934959556</v>
      </c>
      <c r="I17" s="64">
        <v>45057</v>
      </c>
      <c r="J17" s="65">
        <v>2.294626498356097E-2</v>
      </c>
      <c r="K17" s="65"/>
      <c r="L17" s="65"/>
      <c r="M17" s="66"/>
      <c r="N17" s="67">
        <v>48.767123287670181</v>
      </c>
      <c r="O17" s="66">
        <v>0.97101700934959556</v>
      </c>
    </row>
    <row r="18" spans="2:15" x14ac:dyDescent="0.4">
      <c r="B18" s="64">
        <v>45149</v>
      </c>
      <c r="C18" s="65">
        <v>2.434049842912607E-2</v>
      </c>
      <c r="D18" s="65">
        <v>1.3330556865556731E-2</v>
      </c>
      <c r="E18" s="65"/>
      <c r="F18" s="66"/>
      <c r="G18" s="67">
        <v>19.13113928535245</v>
      </c>
      <c r="H18" s="66">
        <v>0.96498275384668331</v>
      </c>
      <c r="I18" s="64">
        <v>45149</v>
      </c>
      <c r="J18" s="65">
        <v>2.4347065914681373E-2</v>
      </c>
      <c r="K18" s="65"/>
      <c r="L18" s="65"/>
      <c r="M18" s="66"/>
      <c r="N18" s="67">
        <v>50.410958904109322</v>
      </c>
      <c r="O18" s="66">
        <v>0.96498275384668331</v>
      </c>
    </row>
    <row r="19" spans="2:15" x14ac:dyDescent="0.4">
      <c r="B19" s="64">
        <v>45241</v>
      </c>
      <c r="C19" s="65">
        <v>2.5807027375151084E-2</v>
      </c>
      <c r="D19" s="65">
        <v>1.3952265556033723E-2</v>
      </c>
      <c r="E19" s="65"/>
      <c r="F19" s="66"/>
      <c r="G19" s="67">
        <v>11.21506988290127</v>
      </c>
      <c r="H19" s="66">
        <v>0.95873801152427884</v>
      </c>
      <c r="I19" s="64">
        <v>45241</v>
      </c>
      <c r="J19" s="65">
        <v>2.5813674176502262E-2</v>
      </c>
      <c r="K19" s="65"/>
      <c r="L19" s="65"/>
      <c r="M19" s="66"/>
      <c r="N19" s="67">
        <v>50.410958904109322</v>
      </c>
      <c r="O19" s="66">
        <v>0.95873801152427884</v>
      </c>
    </row>
    <row r="20" spans="2:15" x14ac:dyDescent="0.4">
      <c r="B20" s="64">
        <v>45333</v>
      </c>
      <c r="C20" s="65">
        <v>2.2949381821168981E-2</v>
      </c>
      <c r="D20" s="65">
        <v>1.4712303351124424E-2</v>
      </c>
      <c r="E20" s="65"/>
      <c r="F20" s="66"/>
      <c r="G20" s="68">
        <v>36.405456952048986</v>
      </c>
      <c r="H20" s="66">
        <v>0.95313348251216645</v>
      </c>
      <c r="I20" s="64">
        <v>45333</v>
      </c>
      <c r="J20" s="65">
        <v>2.2951975430955934E-2</v>
      </c>
      <c r="K20" s="65"/>
      <c r="L20" s="65"/>
      <c r="M20" s="66"/>
      <c r="N20" s="68">
        <v>50.410958904109322</v>
      </c>
      <c r="O20" s="66">
        <v>0.95313348251216645</v>
      </c>
    </row>
    <row r="21" spans="2:15" x14ac:dyDescent="0.4">
      <c r="B21" s="64">
        <v>45423</v>
      </c>
      <c r="C21" s="65">
        <v>2.3360388076037419E-2</v>
      </c>
      <c r="D21" s="65">
        <v>1.5364366650791259E-2</v>
      </c>
      <c r="E21" s="65"/>
      <c r="F21" s="66"/>
      <c r="G21" s="68">
        <v>34.069572559097537</v>
      </c>
      <c r="H21" s="66">
        <v>0.94757710892047431</v>
      </c>
      <c r="I21" s="64">
        <v>45423</v>
      </c>
      <c r="J21" s="65">
        <v>2.3356027730079755E-2</v>
      </c>
      <c r="K21" s="65"/>
      <c r="L21" s="65"/>
      <c r="M21" s="66"/>
      <c r="N21" s="68">
        <v>49.315068493150697</v>
      </c>
      <c r="O21" s="66">
        <v>0.94757710892047431</v>
      </c>
    </row>
    <row r="22" spans="2:15" x14ac:dyDescent="0.4">
      <c r="B22" s="64">
        <v>45515</v>
      </c>
      <c r="C22" s="65">
        <v>2.3822322691539711E-2</v>
      </c>
      <c r="D22" s="65">
        <v>1.6040735183302159E-2</v>
      </c>
      <c r="E22" s="65"/>
      <c r="F22" s="66"/>
      <c r="G22" s="68">
        <v>30.676402725581351</v>
      </c>
      <c r="H22" s="66">
        <v>0.94179644438241628</v>
      </c>
      <c r="I22" s="64">
        <v>45515</v>
      </c>
      <c r="J22" s="65">
        <v>2.3824963725407409E-2</v>
      </c>
      <c r="K22" s="65"/>
      <c r="L22" s="65"/>
      <c r="M22" s="66"/>
      <c r="N22" s="68">
        <v>50.410958904109322</v>
      </c>
      <c r="O22" s="66">
        <v>0.94179644438241628</v>
      </c>
    </row>
    <row r="23" spans="2:15" x14ac:dyDescent="0.4">
      <c r="B23" s="64">
        <v>45607</v>
      </c>
      <c r="C23" s="65">
        <v>2.4339047821042941E-2</v>
      </c>
      <c r="D23" s="65">
        <v>1.6712216877338832E-2</v>
      </c>
      <c r="E23" s="65"/>
      <c r="F23" s="66"/>
      <c r="G23" s="68">
        <v>29.412468848856197</v>
      </c>
      <c r="H23" s="66">
        <v>0.93601231624817305</v>
      </c>
      <c r="I23" s="64">
        <v>45607</v>
      </c>
      <c r="J23" s="65">
        <v>2.4325469317282324E-2</v>
      </c>
      <c r="K23" s="65"/>
      <c r="L23" s="65"/>
      <c r="M23" s="66"/>
      <c r="N23" s="68">
        <v>50.410958904109322</v>
      </c>
      <c r="O23" s="66">
        <v>0.93601231624817305</v>
      </c>
    </row>
    <row r="24" spans="2:15" x14ac:dyDescent="0.4">
      <c r="B24" s="64"/>
      <c r="C24" s="65"/>
      <c r="D24" s="65"/>
      <c r="E24" s="65"/>
      <c r="F24" s="66"/>
      <c r="G24" s="68"/>
      <c r="H24" s="66"/>
      <c r="I24" s="64"/>
      <c r="J24" s="65"/>
      <c r="K24" s="65"/>
      <c r="L24" s="65"/>
      <c r="M24" s="66"/>
      <c r="N24" s="68"/>
      <c r="O24" s="66"/>
    </row>
    <row r="25" spans="2:15" x14ac:dyDescent="0.4">
      <c r="B25" s="64"/>
      <c r="C25" s="65"/>
      <c r="D25" s="65"/>
      <c r="E25" s="65"/>
      <c r="F25" s="66"/>
      <c r="G25" s="68"/>
      <c r="H25" s="66"/>
      <c r="I25" s="64"/>
      <c r="J25" s="65"/>
      <c r="K25" s="65"/>
      <c r="L25" s="65"/>
      <c r="M25" s="66"/>
      <c r="N25" s="68"/>
      <c r="O25" s="66"/>
    </row>
    <row r="26" spans="2:15" x14ac:dyDescent="0.4">
      <c r="B26" s="64"/>
      <c r="C26" s="65"/>
      <c r="D26" s="65"/>
      <c r="E26" s="65"/>
      <c r="F26" s="66"/>
      <c r="G26" s="68"/>
      <c r="H26" s="66"/>
      <c r="I26" s="64"/>
      <c r="J26" s="65"/>
      <c r="K26" s="65"/>
      <c r="L26" s="65"/>
      <c r="M26" s="66"/>
      <c r="N26" s="68"/>
      <c r="O26" s="66"/>
    </row>
    <row r="27" spans="2:15" x14ac:dyDescent="0.4">
      <c r="B27" s="64"/>
      <c r="C27" s="65"/>
      <c r="D27" s="65"/>
      <c r="E27" s="65"/>
      <c r="F27" s="66"/>
      <c r="G27" s="68"/>
      <c r="H27" s="66"/>
      <c r="I27" s="64"/>
      <c r="J27" s="65"/>
      <c r="K27" s="65"/>
      <c r="L27" s="65"/>
      <c r="M27" s="66"/>
      <c r="N27" s="68"/>
      <c r="O27" s="66"/>
    </row>
    <row r="28" spans="2:15" x14ac:dyDescent="0.4">
      <c r="B28" s="64"/>
      <c r="C28" s="65"/>
      <c r="D28" s="65"/>
      <c r="E28" s="65"/>
      <c r="F28" s="66"/>
      <c r="G28" s="68"/>
      <c r="H28" s="66"/>
      <c r="I28" s="64"/>
      <c r="J28" s="65"/>
      <c r="K28" s="65"/>
      <c r="L28" s="65"/>
      <c r="M28" s="66"/>
      <c r="N28" s="68"/>
      <c r="O28" s="66"/>
    </row>
    <row r="29" spans="2:15" x14ac:dyDescent="0.4">
      <c r="B29" s="64"/>
      <c r="C29" s="65"/>
      <c r="D29" s="65"/>
      <c r="E29" s="65"/>
      <c r="F29" s="66"/>
      <c r="G29" s="68"/>
      <c r="H29" s="66"/>
      <c r="I29" s="64"/>
      <c r="J29" s="65"/>
      <c r="K29" s="65"/>
      <c r="L29" s="65"/>
      <c r="M29" s="66"/>
      <c r="N29" s="68"/>
      <c r="O29" s="66"/>
    </row>
    <row r="30" spans="2:15" x14ac:dyDescent="0.4">
      <c r="B30" s="64"/>
      <c r="C30" s="65"/>
      <c r="D30" s="65"/>
      <c r="E30" s="65"/>
      <c r="F30" s="66"/>
      <c r="G30" s="68"/>
      <c r="H30" s="66"/>
      <c r="I30" s="64"/>
      <c r="J30" s="65"/>
      <c r="K30" s="65"/>
      <c r="L30" s="65"/>
      <c r="M30" s="66"/>
      <c r="N30" s="68"/>
      <c r="O30" s="66"/>
    </row>
    <row r="31" spans="2:15" x14ac:dyDescent="0.4">
      <c r="B31" s="64"/>
      <c r="C31" s="65"/>
      <c r="D31" s="65"/>
      <c r="E31" s="65"/>
      <c r="F31" s="66"/>
      <c r="G31" s="68"/>
      <c r="H31" s="66"/>
      <c r="I31" s="64"/>
      <c r="J31" s="65"/>
      <c r="K31" s="65"/>
      <c r="L31" s="65"/>
      <c r="M31" s="66"/>
      <c r="N31" s="68"/>
      <c r="O31" s="66"/>
    </row>
    <row r="32" spans="2:15" x14ac:dyDescent="0.4">
      <c r="B32" s="64"/>
      <c r="C32" s="65"/>
      <c r="D32" s="65"/>
      <c r="E32" s="65"/>
      <c r="F32" s="66"/>
      <c r="G32" s="68"/>
      <c r="H32" s="66"/>
      <c r="I32" s="64"/>
      <c r="J32" s="65"/>
      <c r="K32" s="65"/>
      <c r="L32" s="65"/>
      <c r="M32" s="66"/>
      <c r="N32" s="68"/>
      <c r="O32" s="66"/>
    </row>
    <row r="33" spans="2:15" x14ac:dyDescent="0.4">
      <c r="B33" s="64"/>
      <c r="C33" s="65"/>
      <c r="D33" s="65"/>
      <c r="E33" s="65"/>
      <c r="F33" s="66"/>
      <c r="G33" s="68"/>
      <c r="H33" s="66"/>
      <c r="I33" s="64"/>
      <c r="J33" s="65"/>
      <c r="K33" s="65"/>
      <c r="L33" s="65"/>
      <c r="M33" s="66"/>
      <c r="N33" s="68"/>
      <c r="O33" s="66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2022-08-30T12:54:43Z</dcterms:modified>
</cp:coreProperties>
</file>