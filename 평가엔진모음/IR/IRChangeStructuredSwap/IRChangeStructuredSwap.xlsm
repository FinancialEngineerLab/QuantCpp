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평가엔진모음\IR\IRChangeStructuredSwap\"/>
    </mc:Choice>
  </mc:AlternateContent>
  <bookViews>
    <workbookView xWindow="0" yWindow="0" windowWidth="28800" windowHeight="10020" activeTab="1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5" i="2" l="1"/>
  <c r="I45" i="2"/>
  <c r="H45" i="2"/>
  <c r="G45" i="2"/>
  <c r="F45" i="2"/>
  <c r="B44" i="2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<sst xmlns="http://schemas.openxmlformats.org/spreadsheetml/2006/main" count="202" uniqueCount="97">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</sst>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3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219075</xdr:colOff>
          <xdr:row>8</xdr:row>
          <xdr:rowOff>152400</xdr:rowOff>
        </xdr:from>
        <xdr:to>
          <xdr:col>3</xdr:col>
          <xdr:colOff>438150</xdr:colOff>
          <xdr:row>11</xdr:row>
          <xdr:rowOff>28575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676275</xdr:colOff>
          <xdr:row>5</xdr:row>
          <xdr:rowOff>171450</xdr:rowOff>
        </xdr:from>
        <xdr:to>
          <xdr:col>2</xdr:col>
          <xdr:colOff>447675</xdr:colOff>
          <xdr:row>8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opLeftCell="A9" zoomScale="90" zoomScaleNormal="90" workbookViewId="0">
      <selection activeCell="N38" sqref="N38"/>
    </sheetView>
  </sheetViews>
  <sheetFormatPr defaultColWidth="9" defaultRowHeight="13.5" x14ac:dyDescent="0.3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125" style="14" customWidth="1"/>
    <col min="31" max="31" width="9" style="14" customWidth="1"/>
    <col min="32" max="16384" width="9" style="14"/>
  </cols>
  <sheetData>
    <row r="1" spans="1:45" x14ac:dyDescent="0.3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3">
      <c r="A2" s="77" t="s">
        <v>0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</row>
    <row r="3" spans="1:45" x14ac:dyDescent="0.3">
      <c r="A3" s="77"/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</row>
    <row r="4" spans="1:45" x14ac:dyDescent="0.3">
      <c r="A4" s="14">
        <f>4</f>
        <v>4</v>
      </c>
      <c r="B4" s="78" t="s">
        <v>2</v>
      </c>
      <c r="C4" s="78"/>
      <c r="D4" s="79">
        <v>4</v>
      </c>
      <c r="E4" s="79"/>
    </row>
    <row r="5" spans="1:45" x14ac:dyDescent="0.3">
      <c r="A5" s="14">
        <f>A4+1</f>
        <v>5</v>
      </c>
      <c r="G5" s="84" t="s">
        <v>22</v>
      </c>
      <c r="H5" s="86" t="s">
        <v>21</v>
      </c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</row>
    <row r="6" spans="1:45" x14ac:dyDescent="0.3">
      <c r="A6" s="14">
        <f t="shared" ref="A6:A69" si="1">A5+1</f>
        <v>6</v>
      </c>
      <c r="B6" s="78" t="s">
        <v>3</v>
      </c>
      <c r="C6" s="78"/>
      <c r="D6" s="79">
        <v>1</v>
      </c>
      <c r="E6" s="79"/>
      <c r="G6" s="85"/>
      <c r="H6" s="87" t="s">
        <v>7</v>
      </c>
      <c r="I6" s="88"/>
      <c r="L6" s="81" t="s">
        <v>11</v>
      </c>
      <c r="M6" s="81"/>
      <c r="N6" s="81"/>
      <c r="Q6" s="81" t="s">
        <v>12</v>
      </c>
      <c r="R6" s="81"/>
      <c r="S6" s="81"/>
      <c r="V6" s="81" t="s">
        <v>13</v>
      </c>
      <c r="W6" s="81"/>
      <c r="X6" s="81"/>
    </row>
    <row r="7" spans="1:45" x14ac:dyDescent="0.3">
      <c r="A7" s="14">
        <f t="shared" si="1"/>
        <v>7</v>
      </c>
      <c r="B7" s="78" t="s">
        <v>4</v>
      </c>
      <c r="C7" s="78"/>
      <c r="D7" s="79">
        <v>0</v>
      </c>
      <c r="E7" s="79"/>
      <c r="G7" s="85"/>
      <c r="H7" s="89"/>
      <c r="I7" s="90"/>
      <c r="L7" s="81"/>
      <c r="M7" s="81"/>
      <c r="N7" s="81"/>
      <c r="Q7" s="81"/>
      <c r="R7" s="81"/>
      <c r="S7" s="81"/>
      <c r="V7" s="81"/>
      <c r="W7" s="81"/>
      <c r="X7" s="81"/>
    </row>
    <row r="8" spans="1:45" x14ac:dyDescent="0.3">
      <c r="A8" s="14">
        <f t="shared" si="1"/>
        <v>8</v>
      </c>
      <c r="B8" s="78" t="s">
        <v>1</v>
      </c>
      <c r="C8" s="78"/>
      <c r="D8" s="79">
        <v>0.01</v>
      </c>
      <c r="E8" s="79"/>
      <c r="G8" s="85"/>
      <c r="V8" s="81" t="s">
        <v>14</v>
      </c>
      <c r="W8" s="81"/>
      <c r="X8" s="5">
        <v>3</v>
      </c>
    </row>
    <row r="9" spans="1:45" x14ac:dyDescent="0.3">
      <c r="A9" s="14">
        <f t="shared" si="1"/>
        <v>9</v>
      </c>
      <c r="G9" s="85"/>
      <c r="H9" s="2" t="s">
        <v>8</v>
      </c>
      <c r="I9" s="3">
        <v>1.3516666666666666E-2</v>
      </c>
      <c r="Q9" s="81" t="s">
        <v>15</v>
      </c>
      <c r="R9" s="81"/>
      <c r="S9" s="5">
        <v>3</v>
      </c>
      <c r="V9" s="82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3">
      <c r="A10" s="14">
        <f t="shared" si="1"/>
        <v>10</v>
      </c>
      <c r="G10" s="85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3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25">
      <c r="A11" s="14">
        <f t="shared" si="1"/>
        <v>11</v>
      </c>
      <c r="G11" s="85"/>
      <c r="H11" s="1"/>
      <c r="I11" s="4"/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8.3333333333333329E-2</v>
      </c>
      <c r="W11" s="13">
        <v>0.11</v>
      </c>
      <c r="X11" s="13">
        <v>0.13300000000000001</v>
      </c>
      <c r="Y11" s="13">
        <v>0.14099999999999999</v>
      </c>
      <c r="Z11" s="13">
        <v>0.1525</v>
      </c>
      <c r="AA11" s="13">
        <v>0.16550000000000001</v>
      </c>
      <c r="AB11" s="13">
        <v>0.16750000000000001</v>
      </c>
      <c r="AC11" s="13">
        <v>0.16550000000000001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25">
      <c r="A12" s="14">
        <f t="shared" si="1"/>
        <v>12</v>
      </c>
      <c r="G12" s="85"/>
      <c r="H12" s="1"/>
      <c r="I12" s="4"/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0.25</v>
      </c>
      <c r="W12" s="13">
        <v>0.12</v>
      </c>
      <c r="X12" s="13">
        <v>0.13150000000000001</v>
      </c>
      <c r="Y12" s="13">
        <v>0.14699999999999999</v>
      </c>
      <c r="Z12" s="13">
        <v>0.16</v>
      </c>
      <c r="AA12" s="13">
        <v>0.17399999999999999</v>
      </c>
      <c r="AB12" s="13">
        <v>0.16800000000000001</v>
      </c>
      <c r="AC12" s="13">
        <v>0.161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25">
      <c r="A13" s="14">
        <f t="shared" si="1"/>
        <v>13</v>
      </c>
      <c r="C13" s="1" t="s">
        <v>5</v>
      </c>
      <c r="D13" s="80" t="s">
        <v>6</v>
      </c>
      <c r="E13" s="80"/>
      <c r="G13" s="85"/>
      <c r="H13" s="1"/>
      <c r="I13" s="4"/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0.5</v>
      </c>
      <c r="W13" s="13">
        <v>0.13150000000000001</v>
      </c>
      <c r="X13" s="13">
        <v>0.14050000000000001</v>
      </c>
      <c r="Y13" s="13">
        <v>0.14899999999999999</v>
      </c>
      <c r="Z13" s="13">
        <v>0.159</v>
      </c>
      <c r="AA13" s="13">
        <v>0.16800000000000001</v>
      </c>
      <c r="AB13" s="13">
        <v>0.16300000000000001</v>
      </c>
      <c r="AC13" s="13">
        <v>0.159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25">
      <c r="A14" s="14">
        <f t="shared" si="1"/>
        <v>14</v>
      </c>
      <c r="D14" s="80"/>
      <c r="E14" s="80"/>
      <c r="G14" s="85"/>
      <c r="H14" s="1"/>
      <c r="I14" s="4"/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0.75</v>
      </c>
      <c r="W14" s="13">
        <v>0.13350000000000001</v>
      </c>
      <c r="X14" s="13">
        <v>0.14050000000000001</v>
      </c>
      <c r="Y14" s="13">
        <v>0.14899999999999999</v>
      </c>
      <c r="Z14" s="13">
        <v>0.156</v>
      </c>
      <c r="AA14" s="13">
        <v>0.16500000000000001</v>
      </c>
      <c r="AB14" s="13">
        <v>0.158</v>
      </c>
      <c r="AC14" s="13">
        <v>0.152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25">
      <c r="A15" s="14">
        <f t="shared" si="1"/>
        <v>15</v>
      </c>
      <c r="D15" s="80"/>
      <c r="E15" s="80"/>
      <c r="G15" s="85"/>
      <c r="H15" s="1"/>
      <c r="I15" s="4"/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1</v>
      </c>
      <c r="W15" s="13">
        <v>0.13550000000000001</v>
      </c>
      <c r="X15" s="13">
        <v>0.14150000000000001</v>
      </c>
      <c r="Y15" s="13">
        <v>0.14800000000000002</v>
      </c>
      <c r="Z15" s="13">
        <v>0.154</v>
      </c>
      <c r="AA15" s="13">
        <v>0.16200000000000001</v>
      </c>
      <c r="AB15" s="13">
        <v>0.1565</v>
      </c>
      <c r="AC15" s="13">
        <v>0.15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25">
      <c r="A16" s="14">
        <f t="shared" si="1"/>
        <v>16</v>
      </c>
      <c r="G16" s="85"/>
      <c r="H16" s="1"/>
      <c r="I16" s="4"/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1.5</v>
      </c>
      <c r="W16" s="13">
        <v>0.14300000000000002</v>
      </c>
      <c r="X16" s="13">
        <v>0.14800000000000002</v>
      </c>
      <c r="Y16" s="13">
        <v>0.14949999999999999</v>
      </c>
      <c r="Z16" s="13">
        <v>0.153</v>
      </c>
      <c r="AA16" s="13">
        <v>0.157</v>
      </c>
      <c r="AB16" s="13">
        <v>0.151</v>
      </c>
      <c r="AC16" s="13">
        <v>0.14599999999999999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25">
      <c r="A17" s="14">
        <f t="shared" si="1"/>
        <v>17</v>
      </c>
      <c r="G17" s="85"/>
      <c r="H17" s="1"/>
      <c r="I17" s="4"/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2</v>
      </c>
      <c r="W17" s="13">
        <v>0.154</v>
      </c>
      <c r="X17" s="13">
        <v>0.1555</v>
      </c>
      <c r="Y17" s="13">
        <v>0.152</v>
      </c>
      <c r="Z17" s="13">
        <v>0.1525</v>
      </c>
      <c r="AA17" s="13">
        <v>0.153</v>
      </c>
      <c r="AB17" s="13">
        <v>0.14699999999999999</v>
      </c>
      <c r="AC17" s="13">
        <v>0.14199999999999999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25">
      <c r="A18" s="14">
        <f t="shared" si="1"/>
        <v>18</v>
      </c>
      <c r="G18" s="85"/>
      <c r="H18" s="1"/>
      <c r="I18" s="4"/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3</v>
      </c>
      <c r="W18" s="13">
        <v>0.16250000000000001</v>
      </c>
      <c r="X18" s="13">
        <v>0.1565</v>
      </c>
      <c r="Y18" s="13">
        <v>0.1525</v>
      </c>
      <c r="Z18" s="13">
        <v>0.14899999999999999</v>
      </c>
      <c r="AA18" s="13">
        <v>0.14550000000000002</v>
      </c>
      <c r="AB18" s="13">
        <v>0.14199999999999999</v>
      </c>
      <c r="AC18" s="13">
        <v>0.14000000000000001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25">
      <c r="A19" s="14">
        <f t="shared" si="1"/>
        <v>19</v>
      </c>
      <c r="G19" s="85"/>
      <c r="H19" s="1"/>
      <c r="I19" s="4"/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4</v>
      </c>
      <c r="W19" s="13">
        <v>0.159</v>
      </c>
      <c r="X19" s="13">
        <v>0.1555</v>
      </c>
      <c r="Y19" s="13">
        <v>0.15049999999999999</v>
      </c>
      <c r="Z19" s="13">
        <v>0.14599999999999999</v>
      </c>
      <c r="AA19" s="13">
        <v>0.14199999999999999</v>
      </c>
      <c r="AB19" s="13">
        <v>0.14000000000000001</v>
      </c>
      <c r="AC19" s="13">
        <v>0.13800000000000001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25">
      <c r="A20" s="14">
        <f t="shared" si="1"/>
        <v>20</v>
      </c>
      <c r="G20" s="85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>
        <v>5</v>
      </c>
      <c r="W20" s="13">
        <v>0.16300000000000001</v>
      </c>
      <c r="X20" s="13">
        <v>0.1555</v>
      </c>
      <c r="Y20" s="13">
        <v>0.152</v>
      </c>
      <c r="Z20" s="13">
        <v>0.14749999999999999</v>
      </c>
      <c r="AA20" s="13">
        <v>0.14300000000000002</v>
      </c>
      <c r="AB20" s="13">
        <v>0.14199999999999999</v>
      </c>
      <c r="AC20" s="13">
        <v>0.13900000000000001</v>
      </c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25">
      <c r="A21" s="14">
        <f t="shared" si="1"/>
        <v>21</v>
      </c>
      <c r="G21" s="85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>
        <v>7</v>
      </c>
      <c r="W21" s="13">
        <v>0.151</v>
      </c>
      <c r="X21" s="13">
        <v>0.14849999999999999</v>
      </c>
      <c r="Y21" s="13">
        <v>0.14599999999999999</v>
      </c>
      <c r="Z21" s="13">
        <v>0.14349999999999999</v>
      </c>
      <c r="AA21" s="13">
        <v>0.14000000000000001</v>
      </c>
      <c r="AB21" s="13">
        <v>0.13800000000000001</v>
      </c>
      <c r="AC21" s="13">
        <v>0.13400000000000001</v>
      </c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25">
      <c r="A22" s="14">
        <f t="shared" si="1"/>
        <v>22</v>
      </c>
      <c r="G22" s="85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>
        <v>10</v>
      </c>
      <c r="W22" s="13">
        <v>0.151</v>
      </c>
      <c r="X22" s="13">
        <v>0.14949999999999999</v>
      </c>
      <c r="Y22" s="13">
        <v>0.14599999999999999</v>
      </c>
      <c r="Z22" s="13">
        <v>0.14349999999999999</v>
      </c>
      <c r="AA22" s="13">
        <v>0.14000000000000001</v>
      </c>
      <c r="AB22" s="13">
        <v>0.13699999999999998</v>
      </c>
      <c r="AC22" s="13">
        <v>0.128</v>
      </c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25">
      <c r="A23" s="14">
        <f t="shared" si="1"/>
        <v>23</v>
      </c>
      <c r="G23" s="85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25">
      <c r="A24" s="14">
        <f t="shared" si="1"/>
        <v>24</v>
      </c>
      <c r="G24" s="85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25">
      <c r="A25" s="14">
        <f t="shared" si="1"/>
        <v>25</v>
      </c>
      <c r="G25" s="85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25">
      <c r="A26" s="14">
        <f t="shared" si="1"/>
        <v>26</v>
      </c>
      <c r="G26" s="85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25">
      <c r="A27" s="14">
        <f t="shared" si="1"/>
        <v>27</v>
      </c>
      <c r="G27" s="85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25">
      <c r="A28" s="14">
        <f t="shared" si="1"/>
        <v>28</v>
      </c>
      <c r="G28" s="85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25">
      <c r="A29" s="14">
        <f t="shared" si="1"/>
        <v>29</v>
      </c>
      <c r="G29" s="85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25">
      <c r="A30" s="14">
        <f t="shared" si="1"/>
        <v>30</v>
      </c>
      <c r="G30" s="85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25">
      <c r="A31" s="14">
        <f t="shared" si="1"/>
        <v>31</v>
      </c>
      <c r="G31" s="85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25">
      <c r="A32" s="14">
        <f t="shared" si="1"/>
        <v>32</v>
      </c>
      <c r="G32" s="85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25">
      <c r="A33" s="14">
        <f t="shared" si="1"/>
        <v>33</v>
      </c>
      <c r="G33" s="85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25">
      <c r="A34" s="14">
        <f t="shared" si="1"/>
        <v>34</v>
      </c>
      <c r="G34" s="85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25">
      <c r="A35" s="14">
        <f t="shared" si="1"/>
        <v>35</v>
      </c>
      <c r="G35" s="85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25">
      <c r="A36" s="14">
        <f t="shared" si="1"/>
        <v>36</v>
      </c>
      <c r="G36" s="85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25">
      <c r="A37" s="14">
        <f t="shared" si="1"/>
        <v>37</v>
      </c>
      <c r="G37" s="85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25">
      <c r="A38" s="14">
        <f t="shared" si="1"/>
        <v>38</v>
      </c>
      <c r="G38" s="85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25">
      <c r="A39" s="14">
        <f t="shared" si="1"/>
        <v>39</v>
      </c>
      <c r="G39" s="85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25">
      <c r="A40" s="14">
        <f t="shared" si="1"/>
        <v>40</v>
      </c>
      <c r="G40" s="85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3">
      <c r="A41" s="14">
        <f t="shared" si="1"/>
        <v>41</v>
      </c>
    </row>
    <row r="42" spans="1:40" x14ac:dyDescent="0.3">
      <c r="A42" s="14">
        <f t="shared" si="1"/>
        <v>42</v>
      </c>
      <c r="G42" s="84" t="s">
        <v>24</v>
      </c>
      <c r="H42" s="86" t="s">
        <v>23</v>
      </c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</row>
    <row r="43" spans="1:40" x14ac:dyDescent="0.3">
      <c r="A43" s="14">
        <f t="shared" si="1"/>
        <v>43</v>
      </c>
      <c r="B43" s="78" t="s">
        <v>3</v>
      </c>
      <c r="C43" s="78"/>
      <c r="D43" s="79">
        <v>1</v>
      </c>
      <c r="E43" s="79"/>
      <c r="G43" s="85"/>
      <c r="H43" s="87" t="s">
        <v>7</v>
      </c>
      <c r="I43" s="88"/>
      <c r="L43" s="81" t="s">
        <v>11</v>
      </c>
      <c r="M43" s="81"/>
      <c r="N43" s="81"/>
      <c r="Q43" s="81" t="s">
        <v>12</v>
      </c>
      <c r="R43" s="81"/>
      <c r="S43" s="81"/>
      <c r="V43" s="81" t="s">
        <v>13</v>
      </c>
      <c r="W43" s="81"/>
      <c r="X43" s="81"/>
    </row>
    <row r="44" spans="1:40" x14ac:dyDescent="0.3">
      <c r="A44" s="14">
        <f t="shared" si="1"/>
        <v>44</v>
      </c>
      <c r="B44" s="78" t="s">
        <v>4</v>
      </c>
      <c r="C44" s="78"/>
      <c r="D44" s="79">
        <v>0</v>
      </c>
      <c r="E44" s="79"/>
      <c r="G44" s="85"/>
      <c r="H44" s="89"/>
      <c r="I44" s="90"/>
      <c r="L44" s="81"/>
      <c r="M44" s="81"/>
      <c r="N44" s="81"/>
      <c r="Q44" s="81"/>
      <c r="R44" s="81"/>
      <c r="S44" s="81"/>
      <c r="V44" s="81"/>
      <c r="W44" s="81"/>
      <c r="X44" s="81"/>
    </row>
    <row r="45" spans="1:40" x14ac:dyDescent="0.3">
      <c r="A45" s="14">
        <f t="shared" si="1"/>
        <v>45</v>
      </c>
      <c r="B45" s="78" t="s">
        <v>1</v>
      </c>
      <c r="C45" s="78"/>
      <c r="D45" s="79">
        <v>0.01</v>
      </c>
      <c r="E45" s="79"/>
      <c r="G45" s="85"/>
      <c r="V45" s="81" t="s">
        <v>14</v>
      </c>
      <c r="W45" s="81"/>
      <c r="X45" s="5">
        <v>3</v>
      </c>
    </row>
    <row r="46" spans="1:40" x14ac:dyDescent="0.3">
      <c r="A46" s="14">
        <f t="shared" si="1"/>
        <v>46</v>
      </c>
      <c r="G46" s="85"/>
      <c r="H46" s="2" t="s">
        <v>8</v>
      </c>
      <c r="I46" s="3">
        <v>1.0566666666666667E-2</v>
      </c>
      <c r="Q46" s="81" t="s">
        <v>15</v>
      </c>
      <c r="R46" s="81"/>
      <c r="S46" s="5">
        <v>3</v>
      </c>
      <c r="V46" s="82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3">
      <c r="A47" s="14">
        <f t="shared" si="1"/>
        <v>47</v>
      </c>
      <c r="G47" s="85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3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25">
      <c r="A48" s="14">
        <f t="shared" si="1"/>
        <v>48</v>
      </c>
      <c r="G48" s="85"/>
      <c r="H48" s="1">
        <v>8.3333333333333329E-2</v>
      </c>
      <c r="I48" s="4">
        <v>2.9000000000000002E-3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8.3333333333333329E-2</v>
      </c>
      <c r="W48" s="13">
        <v>0.11304237476372155</v>
      </c>
      <c r="X48" s="13">
        <v>0.13464429343659959</v>
      </c>
      <c r="Y48" s="13">
        <v>0.14504533410134779</v>
      </c>
      <c r="Z48" s="13">
        <v>0.15610666343750768</v>
      </c>
      <c r="AA48" s="13">
        <v>0.17037605862414723</v>
      </c>
      <c r="AB48" s="13">
        <v>0.16768307913856589</v>
      </c>
      <c r="AC48" s="13">
        <v>0.16940632500195452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25">
      <c r="A49" s="14">
        <f t="shared" si="1"/>
        <v>49</v>
      </c>
      <c r="G49" s="85"/>
      <c r="H49" s="1">
        <v>0.25</v>
      </c>
      <c r="I49" s="4">
        <v>2.9000000000000002E-3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0.25</v>
      </c>
      <c r="W49" s="13">
        <v>0.120174799238647</v>
      </c>
      <c r="X49" s="13">
        <v>0.13181117013923607</v>
      </c>
      <c r="Y49" s="13">
        <v>0.15127710534654057</v>
      </c>
      <c r="Z49" s="13">
        <v>0.16204288276789375</v>
      </c>
      <c r="AA49" s="13">
        <v>0.17569778327801119</v>
      </c>
      <c r="AB49" s="13">
        <v>0.16893635638862106</v>
      </c>
      <c r="AC49" s="13">
        <v>0.16375494832054791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25">
      <c r="A50" s="14">
        <f t="shared" si="1"/>
        <v>50</v>
      </c>
      <c r="C50" s="1" t="s">
        <v>5</v>
      </c>
      <c r="D50" s="80" t="s">
        <v>6</v>
      </c>
      <c r="E50" s="80"/>
      <c r="G50" s="85"/>
      <c r="H50" s="1">
        <v>0.5</v>
      </c>
      <c r="I50" s="4">
        <v>2.9000000000000002E-3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0.5</v>
      </c>
      <c r="W50" s="13">
        <v>0.13434168787402886</v>
      </c>
      <c r="X50" s="13">
        <v>0.14331660541725327</v>
      </c>
      <c r="Y50" s="13">
        <v>0.15389227153588408</v>
      </c>
      <c r="Z50" s="13">
        <v>0.15957177711912104</v>
      </c>
      <c r="AA50" s="13">
        <v>0.16868827273125536</v>
      </c>
      <c r="AB50" s="13">
        <v>0.1633608468774079</v>
      </c>
      <c r="AC50" s="13">
        <v>0.15988942222162261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25">
      <c r="A51" s="14">
        <f t="shared" si="1"/>
        <v>51</v>
      </c>
      <c r="D51" s="80"/>
      <c r="E51" s="80"/>
      <c r="G51" s="85"/>
      <c r="H51" s="1">
        <v>0.75</v>
      </c>
      <c r="I51" s="4">
        <v>2.9000000000000002E-3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0.75</v>
      </c>
      <c r="W51" s="13">
        <v>0.1371505794182665</v>
      </c>
      <c r="X51" s="13">
        <v>0.14192793564088352</v>
      </c>
      <c r="Y51" s="13">
        <v>0.1530676288993133</v>
      </c>
      <c r="Z51" s="13">
        <v>0.16087802418551594</v>
      </c>
      <c r="AA51" s="13">
        <v>0.16911005646203731</v>
      </c>
      <c r="AB51" s="13">
        <v>0.1604794266414519</v>
      </c>
      <c r="AC51" s="13">
        <v>0.15675185501959529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25">
      <c r="A52" s="14">
        <f t="shared" si="1"/>
        <v>52</v>
      </c>
      <c r="D52" s="80"/>
      <c r="E52" s="80"/>
      <c r="G52" s="85"/>
      <c r="H52" s="1">
        <v>1</v>
      </c>
      <c r="I52" s="4">
        <v>2.9000000000000002E-3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1</v>
      </c>
      <c r="W52" s="13">
        <v>0.13711575189940856</v>
      </c>
      <c r="X52" s="13">
        <v>0.14223277511673557</v>
      </c>
      <c r="Y52" s="13">
        <v>0.15247552214154234</v>
      </c>
      <c r="Z52" s="13">
        <v>0.1577944614164018</v>
      </c>
      <c r="AA52" s="13">
        <v>0.16299640749308345</v>
      </c>
      <c r="AB52" s="13">
        <v>0.15876406981026001</v>
      </c>
      <c r="AC52" s="13">
        <v>0.1501238010687459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25">
      <c r="A53" s="14">
        <f t="shared" si="1"/>
        <v>53</v>
      </c>
      <c r="G53" s="85"/>
      <c r="H53" s="1">
        <v>1.5</v>
      </c>
      <c r="I53" s="4">
        <v>2.9000000000000002E-3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1.5</v>
      </c>
      <c r="W53" s="13">
        <v>0.14404080130561936</v>
      </c>
      <c r="X53" s="13">
        <v>0.15227136749713319</v>
      </c>
      <c r="Y53" s="13">
        <v>0.15348104392010717</v>
      </c>
      <c r="Z53" s="13">
        <v>0.15666375929734186</v>
      </c>
      <c r="AA53" s="13">
        <v>0.16090004504473471</v>
      </c>
      <c r="AB53" s="13">
        <v>0.15131869380597596</v>
      </c>
      <c r="AC53" s="13">
        <v>0.15058935792856598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25">
      <c r="A54" s="14">
        <f t="shared" si="1"/>
        <v>54</v>
      </c>
      <c r="G54" s="85"/>
      <c r="H54" s="1">
        <v>2</v>
      </c>
      <c r="I54" s="4">
        <v>2.9000000000000002E-3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2</v>
      </c>
      <c r="W54" s="13">
        <v>0.15702682763852729</v>
      </c>
      <c r="X54" s="13">
        <v>0.15951491183930222</v>
      </c>
      <c r="Y54" s="13">
        <v>0.15644310169676806</v>
      </c>
      <c r="Z54" s="13">
        <v>0.15438544513377153</v>
      </c>
      <c r="AA54" s="13">
        <v>0.15541479871739408</v>
      </c>
      <c r="AB54" s="13">
        <v>0.14717613046935257</v>
      </c>
      <c r="AC54" s="13">
        <v>0.14649021678069085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25">
      <c r="A55" s="14">
        <f t="shared" si="1"/>
        <v>55</v>
      </c>
      <c r="G55" s="85"/>
      <c r="H55" s="1">
        <v>3</v>
      </c>
      <c r="I55" s="4">
        <v>3.0999999999999999E-3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3</v>
      </c>
      <c r="W55" s="13">
        <v>0.1640371677881321</v>
      </c>
      <c r="X55" s="13">
        <v>0.16137681677497567</v>
      </c>
      <c r="Y55" s="13">
        <v>0.1571749862507337</v>
      </c>
      <c r="Z55" s="13">
        <v>0.14937257030241843</v>
      </c>
      <c r="AA55" s="13">
        <v>0.15040069342335544</v>
      </c>
      <c r="AB55" s="13">
        <v>0.14492963240514573</v>
      </c>
      <c r="AC55" s="13">
        <v>0.14240863276377219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25">
      <c r="A56" s="14">
        <f t="shared" si="1"/>
        <v>56</v>
      </c>
      <c r="G56" s="85"/>
      <c r="H56" s="1">
        <v>4</v>
      </c>
      <c r="I56" s="4">
        <v>3.0999999999999999E-3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4</v>
      </c>
      <c r="W56" s="13">
        <v>0.16178449024457578</v>
      </c>
      <c r="X56" s="13">
        <v>0.15923573548596104</v>
      </c>
      <c r="Y56" s="13">
        <v>0.15229896126040593</v>
      </c>
      <c r="Z56" s="13">
        <v>0.14636830666588851</v>
      </c>
      <c r="AA56" s="13">
        <v>0.14493709045267392</v>
      </c>
      <c r="AB56" s="13">
        <v>0.14379388192157058</v>
      </c>
      <c r="AC56" s="13">
        <v>0.13980706636998824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25">
      <c r="A57" s="14">
        <f t="shared" si="1"/>
        <v>57</v>
      </c>
      <c r="G57" s="85"/>
      <c r="H57" s="1">
        <v>5</v>
      </c>
      <c r="I57" s="4">
        <v>4.0000000000000001E-3</v>
      </c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>
        <v>5</v>
      </c>
      <c r="W57" s="13">
        <v>0.16618510737204301</v>
      </c>
      <c r="X57" s="13">
        <v>0.15703133289981455</v>
      </c>
      <c r="Y57" s="13">
        <v>0.15348739345452553</v>
      </c>
      <c r="Z57" s="13">
        <v>0.15064634905996188</v>
      </c>
      <c r="AA57" s="13">
        <v>0.14762985175765875</v>
      </c>
      <c r="AB57" s="13">
        <v>0.14244843792577588</v>
      </c>
      <c r="AC57" s="13">
        <v>0.14044120852128711</v>
      </c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25">
      <c r="A58" s="14">
        <f t="shared" si="1"/>
        <v>58</v>
      </c>
      <c r="G58" s="85"/>
      <c r="H58" s="1">
        <v>7</v>
      </c>
      <c r="I58" s="4">
        <v>3.0999999999999999E-3</v>
      </c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>
        <v>7</v>
      </c>
      <c r="W58" s="13">
        <v>0.15244163544637693</v>
      </c>
      <c r="X58" s="13">
        <v>0.15081390154370894</v>
      </c>
      <c r="Y58" s="13">
        <v>0.1491603800827547</v>
      </c>
      <c r="Z58" s="13">
        <v>0.14763947086819354</v>
      </c>
      <c r="AA58" s="13">
        <v>0.14099732722068076</v>
      </c>
      <c r="AB58" s="13">
        <v>0.14156800987879536</v>
      </c>
      <c r="AC58" s="13">
        <v>0.13650085643237639</v>
      </c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25">
      <c r="A59" s="14">
        <f t="shared" si="1"/>
        <v>59</v>
      </c>
      <c r="G59" s="85"/>
      <c r="H59" s="1">
        <v>10</v>
      </c>
      <c r="I59" s="4">
        <v>2.9000000000000002E-3</v>
      </c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>
        <v>10</v>
      </c>
      <c r="W59" s="13">
        <v>0.15404621830526616</v>
      </c>
      <c r="X59" s="13">
        <v>0.15337116082562099</v>
      </c>
      <c r="Y59" s="13">
        <v>0.1484132449421624</v>
      </c>
      <c r="Z59" s="13">
        <v>0.14657200821606189</v>
      </c>
      <c r="AA59" s="13">
        <v>0.14293319162819595</v>
      </c>
      <c r="AB59" s="13">
        <v>0.13733549492199806</v>
      </c>
      <c r="AC59" s="13">
        <v>0.13242134733632341</v>
      </c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25">
      <c r="A60" s="14">
        <f t="shared" si="1"/>
        <v>60</v>
      </c>
      <c r="G60" s="85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25">
      <c r="A61" s="14">
        <f t="shared" si="1"/>
        <v>61</v>
      </c>
      <c r="G61" s="85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25">
      <c r="A62" s="14">
        <f t="shared" si="1"/>
        <v>62</v>
      </c>
      <c r="G62" s="85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25">
      <c r="A63" s="14">
        <f t="shared" si="1"/>
        <v>63</v>
      </c>
      <c r="G63" s="85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25">
      <c r="A64" s="14">
        <f t="shared" si="1"/>
        <v>64</v>
      </c>
      <c r="G64" s="85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25">
      <c r="A65" s="14">
        <f t="shared" si="1"/>
        <v>65</v>
      </c>
      <c r="G65" s="85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25">
      <c r="A66" s="14">
        <f t="shared" si="1"/>
        <v>66</v>
      </c>
      <c r="G66" s="85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25">
      <c r="A67" s="14">
        <f t="shared" si="1"/>
        <v>67</v>
      </c>
      <c r="G67" s="85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25">
      <c r="A68" s="14">
        <f t="shared" si="1"/>
        <v>68</v>
      </c>
      <c r="G68" s="85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25">
      <c r="A69" s="14">
        <f t="shared" si="1"/>
        <v>69</v>
      </c>
      <c r="G69" s="85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25">
      <c r="A70" s="14">
        <f t="shared" ref="A70:A100" si="6">A69+1</f>
        <v>70</v>
      </c>
      <c r="G70" s="85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25">
      <c r="A71" s="14">
        <f t="shared" si="6"/>
        <v>71</v>
      </c>
      <c r="G71" s="85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25">
      <c r="A72" s="14">
        <f t="shared" si="6"/>
        <v>72</v>
      </c>
      <c r="G72" s="85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25">
      <c r="A73" s="14">
        <f t="shared" si="6"/>
        <v>73</v>
      </c>
      <c r="G73" s="85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25">
      <c r="A74" s="14">
        <f t="shared" si="6"/>
        <v>74</v>
      </c>
      <c r="G74" s="85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25">
      <c r="A75" s="14">
        <f t="shared" si="6"/>
        <v>75</v>
      </c>
      <c r="G75" s="85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25">
      <c r="A76" s="14">
        <f t="shared" si="6"/>
        <v>76</v>
      </c>
      <c r="G76" s="85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25">
      <c r="A77" s="14">
        <f t="shared" si="6"/>
        <v>77</v>
      </c>
      <c r="G77" s="85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3">
      <c r="A78" s="14">
        <f t="shared" si="6"/>
        <v>78</v>
      </c>
    </row>
    <row r="79" spans="1:40" x14ac:dyDescent="0.3">
      <c r="A79" s="14">
        <f t="shared" si="6"/>
        <v>79</v>
      </c>
      <c r="G79" s="84" t="s">
        <v>26</v>
      </c>
      <c r="H79" s="86" t="s">
        <v>25</v>
      </c>
      <c r="I79" s="86"/>
      <c r="J79" s="86"/>
      <c r="K79" s="86"/>
      <c r="L79" s="86"/>
      <c r="M79" s="86"/>
      <c r="N79" s="86"/>
      <c r="O79" s="86"/>
      <c r="P79" s="86"/>
      <c r="Q79" s="86"/>
      <c r="R79" s="86"/>
      <c r="S79" s="86"/>
      <c r="T79" s="86"/>
      <c r="U79" s="86"/>
      <c r="V79" s="86"/>
      <c r="W79" s="86"/>
      <c r="X79" s="86"/>
    </row>
    <row r="80" spans="1:40" x14ac:dyDescent="0.3">
      <c r="A80" s="14">
        <f t="shared" si="6"/>
        <v>80</v>
      </c>
      <c r="B80" s="78" t="s">
        <v>3</v>
      </c>
      <c r="C80" s="78"/>
      <c r="D80" s="79">
        <v>1</v>
      </c>
      <c r="E80" s="79"/>
      <c r="G80" s="85"/>
      <c r="H80" s="87" t="s">
        <v>7</v>
      </c>
      <c r="I80" s="88"/>
      <c r="L80" s="81" t="s">
        <v>11</v>
      </c>
      <c r="M80" s="81"/>
      <c r="N80" s="81"/>
      <c r="Q80" s="81" t="s">
        <v>12</v>
      </c>
      <c r="R80" s="81"/>
      <c r="S80" s="81"/>
      <c r="V80" s="81" t="s">
        <v>13</v>
      </c>
      <c r="W80" s="81"/>
      <c r="X80" s="81"/>
    </row>
    <row r="81" spans="1:40" x14ac:dyDescent="0.3">
      <c r="A81" s="14">
        <f t="shared" si="6"/>
        <v>81</v>
      </c>
      <c r="B81" s="78" t="s">
        <v>4</v>
      </c>
      <c r="C81" s="78"/>
      <c r="D81" s="79">
        <v>0</v>
      </c>
      <c r="E81" s="79"/>
      <c r="G81" s="85"/>
      <c r="H81" s="89"/>
      <c r="I81" s="90"/>
      <c r="L81" s="81"/>
      <c r="M81" s="81"/>
      <c r="N81" s="81"/>
      <c r="Q81" s="81"/>
      <c r="R81" s="81"/>
      <c r="S81" s="81"/>
      <c r="V81" s="81"/>
      <c r="W81" s="81"/>
      <c r="X81" s="81"/>
    </row>
    <row r="82" spans="1:40" x14ac:dyDescent="0.3">
      <c r="A82" s="14">
        <f t="shared" si="6"/>
        <v>82</v>
      </c>
      <c r="B82" s="78" t="s">
        <v>1</v>
      </c>
      <c r="C82" s="78"/>
      <c r="D82" s="79">
        <v>0.01</v>
      </c>
      <c r="E82" s="79"/>
      <c r="G82" s="85"/>
      <c r="V82" s="81" t="s">
        <v>14</v>
      </c>
      <c r="W82" s="81"/>
      <c r="X82" s="5">
        <v>3</v>
      </c>
    </row>
    <row r="83" spans="1:40" x14ac:dyDescent="0.3">
      <c r="A83" s="14">
        <f t="shared" si="6"/>
        <v>83</v>
      </c>
      <c r="G83" s="85"/>
      <c r="H83" s="2" t="s">
        <v>8</v>
      </c>
      <c r="I83" s="3">
        <v>6.6333333333333331E-3</v>
      </c>
      <c r="Q83" s="81" t="s">
        <v>15</v>
      </c>
      <c r="R83" s="81"/>
      <c r="S83" s="5">
        <v>3</v>
      </c>
      <c r="V83" s="82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3">
      <c r="A84" s="14">
        <f t="shared" si="6"/>
        <v>84</v>
      </c>
      <c r="G84" s="85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3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25">
      <c r="A85" s="14">
        <f t="shared" si="6"/>
        <v>85</v>
      </c>
      <c r="G85" s="85"/>
      <c r="H85" s="1">
        <v>8.3333333333333329E-2</v>
      </c>
      <c r="I85" s="4">
        <v>3.0000000000000001E-3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8.3333333333333329E-2</v>
      </c>
      <c r="W85" s="13">
        <v>0.11716487070408881</v>
      </c>
      <c r="X85" s="13">
        <v>0.13697209610431285</v>
      </c>
      <c r="Y85" s="13">
        <v>0.15000351934788755</v>
      </c>
      <c r="Z85" s="13">
        <v>0.15864102333871841</v>
      </c>
      <c r="AA85" s="13">
        <v>0.17397940854622365</v>
      </c>
      <c r="AB85" s="13">
        <v>0.16965308853262612</v>
      </c>
      <c r="AC85" s="13">
        <v>0.17134739996990903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25">
      <c r="A86" s="14">
        <f t="shared" si="6"/>
        <v>86</v>
      </c>
      <c r="G86" s="85"/>
      <c r="H86" s="1">
        <v>0.25</v>
      </c>
      <c r="I86" s="4">
        <v>3.0999999999999999E-3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0.25</v>
      </c>
      <c r="W86" s="13">
        <v>0.12319996394762284</v>
      </c>
      <c r="X86" s="13">
        <v>0.13610272828108075</v>
      </c>
      <c r="Y86" s="13">
        <v>0.15282406729994788</v>
      </c>
      <c r="Z86" s="13">
        <v>0.16603206857239211</v>
      </c>
      <c r="AA86" s="13">
        <v>0.17789978920831845</v>
      </c>
      <c r="AB86" s="13">
        <v>0.17027009462004383</v>
      </c>
      <c r="AC86" s="13">
        <v>0.16480531196368711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25">
      <c r="A87" s="14">
        <f t="shared" si="6"/>
        <v>87</v>
      </c>
      <c r="C87" s="1" t="s">
        <v>5</v>
      </c>
      <c r="D87" s="80" t="s">
        <v>6</v>
      </c>
      <c r="E87" s="80"/>
      <c r="G87" s="85"/>
      <c r="H87" s="1">
        <v>0.5</v>
      </c>
      <c r="I87" s="4">
        <v>3.0000000000000001E-3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0.5</v>
      </c>
      <c r="W87" s="13">
        <v>0.1384926171182437</v>
      </c>
      <c r="X87" s="13">
        <v>0.14761163721770634</v>
      </c>
      <c r="Y87" s="13">
        <v>0.15539780400383685</v>
      </c>
      <c r="Z87" s="13">
        <v>0.1631096088487676</v>
      </c>
      <c r="AA87" s="13">
        <v>0.16961076375315337</v>
      </c>
      <c r="AB87" s="13">
        <v>0.16646469259116742</v>
      </c>
      <c r="AC87" s="13">
        <v>0.16336780983229174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25">
      <c r="A88" s="14">
        <f t="shared" si="6"/>
        <v>88</v>
      </c>
      <c r="D88" s="80"/>
      <c r="E88" s="80"/>
      <c r="G88" s="85"/>
      <c r="H88" s="1">
        <v>0.75</v>
      </c>
      <c r="I88" s="4">
        <v>2.9000000000000002E-3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0.75</v>
      </c>
      <c r="W88" s="13">
        <v>0.14151081039493207</v>
      </c>
      <c r="X88" s="13">
        <v>0.14268369874984449</v>
      </c>
      <c r="Y88" s="13">
        <v>0.15483386655124379</v>
      </c>
      <c r="Z88" s="13">
        <v>0.16145303066132613</v>
      </c>
      <c r="AA88" s="13">
        <v>0.1705347099024177</v>
      </c>
      <c r="AB88" s="13">
        <v>0.160835916397078</v>
      </c>
      <c r="AC88" s="13">
        <v>0.15838312517803266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25">
      <c r="A89" s="14">
        <f t="shared" si="6"/>
        <v>89</v>
      </c>
      <c r="D89" s="80"/>
      <c r="E89" s="80"/>
      <c r="G89" s="85"/>
      <c r="H89" s="1">
        <v>1</v>
      </c>
      <c r="I89" s="4">
        <v>2.9000000000000002E-3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1</v>
      </c>
      <c r="W89" s="13">
        <v>0.14040057981470888</v>
      </c>
      <c r="X89" s="13">
        <v>0.14632666205134551</v>
      </c>
      <c r="Y89" s="13">
        <v>0.15543022337463921</v>
      </c>
      <c r="Z89" s="13">
        <v>0.15785275519807879</v>
      </c>
      <c r="AA89" s="13">
        <v>0.16308967009957046</v>
      </c>
      <c r="AB89" s="13">
        <v>0.15954804642315323</v>
      </c>
      <c r="AC89" s="13">
        <v>0.15105843675710656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25">
      <c r="A90" s="14">
        <f t="shared" si="6"/>
        <v>90</v>
      </c>
      <c r="G90" s="85"/>
      <c r="H90" s="1">
        <v>1.5</v>
      </c>
      <c r="I90" s="4">
        <v>3.2000000000000002E-3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1.5</v>
      </c>
      <c r="W90" s="13">
        <v>0.14867838499611513</v>
      </c>
      <c r="X90" s="13">
        <v>0.15594323469063806</v>
      </c>
      <c r="Y90" s="13">
        <v>0.15373874638360399</v>
      </c>
      <c r="Z90" s="13">
        <v>0.16148796990508402</v>
      </c>
      <c r="AA90" s="13">
        <v>0.16262826059881971</v>
      </c>
      <c r="AB90" s="13">
        <v>0.15460711266034871</v>
      </c>
      <c r="AC90" s="13">
        <v>0.15421386590513125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25">
      <c r="A91" s="14">
        <f t="shared" si="6"/>
        <v>91</v>
      </c>
      <c r="G91" s="85"/>
      <c r="H91" s="1">
        <v>2</v>
      </c>
      <c r="I91" s="4">
        <v>3.0999999999999999E-3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2</v>
      </c>
      <c r="W91" s="13">
        <v>0.16121864439147726</v>
      </c>
      <c r="X91" s="13">
        <v>0.16053635199165964</v>
      </c>
      <c r="Y91" s="13">
        <v>0.15736933692690278</v>
      </c>
      <c r="Z91" s="13">
        <v>0.15800328343197115</v>
      </c>
      <c r="AA91" s="13">
        <v>0.15892692041421808</v>
      </c>
      <c r="AB91" s="13">
        <v>0.15134526839467008</v>
      </c>
      <c r="AC91" s="13">
        <v>0.14901771251662804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25">
      <c r="A92" s="14">
        <f t="shared" si="6"/>
        <v>92</v>
      </c>
      <c r="G92" s="85"/>
      <c r="H92" s="1">
        <v>3</v>
      </c>
      <c r="I92" s="4">
        <v>4.0000000000000001E-3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3</v>
      </c>
      <c r="W92" s="13">
        <v>0.16541051318262792</v>
      </c>
      <c r="X92" s="13">
        <v>0.1660830439979728</v>
      </c>
      <c r="Y92" s="13">
        <v>0.15902347969061983</v>
      </c>
      <c r="Z92" s="13">
        <v>0.15329416202884838</v>
      </c>
      <c r="AA92" s="13">
        <v>0.15054749157879738</v>
      </c>
      <c r="AB92" s="13">
        <v>0.14554512012573781</v>
      </c>
      <c r="AC92" s="13">
        <v>0.14304469755409441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25">
      <c r="A93" s="14">
        <f t="shared" si="6"/>
        <v>93</v>
      </c>
      <c r="G93" s="85"/>
      <c r="H93" s="1">
        <v>4</v>
      </c>
      <c r="I93" s="4">
        <v>2.9000000000000002E-3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4</v>
      </c>
      <c r="W93" s="13">
        <v>0.16571355883609359</v>
      </c>
      <c r="X93" s="13">
        <v>0.16043784832858055</v>
      </c>
      <c r="Y93" s="13">
        <v>0.15385665589690289</v>
      </c>
      <c r="Z93" s="13">
        <v>0.14935620752451784</v>
      </c>
      <c r="AA93" s="13">
        <v>0.14646149655214519</v>
      </c>
      <c r="AB93" s="13">
        <v>0.14695190421678975</v>
      </c>
      <c r="AC93" s="13">
        <v>0.14403394176004788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25">
      <c r="A94" s="14">
        <f t="shared" si="6"/>
        <v>94</v>
      </c>
      <c r="G94" s="85"/>
      <c r="H94" s="1">
        <v>5</v>
      </c>
      <c r="I94" s="4">
        <v>3.0999999999999999E-3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>
        <v>5</v>
      </c>
      <c r="W94" s="13">
        <v>0.16726334298435172</v>
      </c>
      <c r="X94" s="13">
        <v>0.1612655591185379</v>
      </c>
      <c r="Y94" s="13">
        <v>0.15610325772866515</v>
      </c>
      <c r="Z94" s="13">
        <v>0.15198229026153823</v>
      </c>
      <c r="AA94" s="13">
        <v>0.1501992428744624</v>
      </c>
      <c r="AB94" s="13">
        <v>0.14479366571507052</v>
      </c>
      <c r="AC94" s="13">
        <v>0.14381254572824181</v>
      </c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25">
      <c r="A95" s="14">
        <f t="shared" si="6"/>
        <v>95</v>
      </c>
      <c r="G95" s="85"/>
      <c r="H95" s="1">
        <v>7</v>
      </c>
      <c r="I95" s="4">
        <v>3.0999999999999999E-3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>
        <v>7</v>
      </c>
      <c r="W95" s="13">
        <v>0.15365898592959146</v>
      </c>
      <c r="X95" s="13">
        <v>0.15156817792569124</v>
      </c>
      <c r="Y95" s="13">
        <v>0.15173965385614124</v>
      </c>
      <c r="Z95" s="13">
        <v>0.15263485175206262</v>
      </c>
      <c r="AA95" s="13">
        <v>0.1413006769229472</v>
      </c>
      <c r="AB95" s="13">
        <v>0.1448818531521979</v>
      </c>
      <c r="AC95" s="13">
        <v>0.13975968160245669</v>
      </c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25">
      <c r="A96" s="14">
        <f t="shared" si="6"/>
        <v>96</v>
      </c>
      <c r="G96" s="85"/>
      <c r="H96" s="1">
        <v>10</v>
      </c>
      <c r="I96" s="4">
        <v>2.9000000000000002E-3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>
        <v>10</v>
      </c>
      <c r="W96" s="13">
        <v>0.15429364170184443</v>
      </c>
      <c r="X96" s="13">
        <v>0.15655757595465852</v>
      </c>
      <c r="Y96" s="13">
        <v>0.15230380437456112</v>
      </c>
      <c r="Z96" s="13">
        <v>0.14828138188985771</v>
      </c>
      <c r="AA96" s="13">
        <v>0.14547451624609753</v>
      </c>
      <c r="AB96" s="13">
        <v>0.14166601969580189</v>
      </c>
      <c r="AC96" s="13">
        <v>0.13402708173569783</v>
      </c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25">
      <c r="A97" s="14">
        <f t="shared" si="6"/>
        <v>97</v>
      </c>
      <c r="G97" s="85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25">
      <c r="A98" s="14">
        <f t="shared" si="6"/>
        <v>98</v>
      </c>
      <c r="G98" s="85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25">
      <c r="A99" s="14">
        <f t="shared" si="6"/>
        <v>99</v>
      </c>
      <c r="G99" s="85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25">
      <c r="A100" s="14">
        <f t="shared" si="6"/>
        <v>100</v>
      </c>
      <c r="G100" s="85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25">
      <c r="G101" s="85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25">
      <c r="G102" s="85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25">
      <c r="G103" s="85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25">
      <c r="G104" s="85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25">
      <c r="G105" s="85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25">
      <c r="G106" s="85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25">
      <c r="G107" s="85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25">
      <c r="G108" s="85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25">
      <c r="G109" s="85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25">
      <c r="G110" s="85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25">
      <c r="G111" s="85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25">
      <c r="G112" s="85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25">
      <c r="G113" s="85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25">
      <c r="G114" s="85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3">
      <c r="G116" s="84" t="s">
        <v>28</v>
      </c>
      <c r="H116" s="86" t="s">
        <v>27</v>
      </c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</row>
    <row r="117" spans="2:40" x14ac:dyDescent="0.3">
      <c r="B117" s="78" t="s">
        <v>3</v>
      </c>
      <c r="C117" s="78"/>
      <c r="D117" s="79">
        <v>1</v>
      </c>
      <c r="E117" s="79"/>
      <c r="G117" s="85"/>
      <c r="H117" s="87" t="s">
        <v>7</v>
      </c>
      <c r="I117" s="88"/>
      <c r="L117" s="81" t="s">
        <v>11</v>
      </c>
      <c r="M117" s="81"/>
      <c r="N117" s="81"/>
      <c r="Q117" s="81" t="s">
        <v>12</v>
      </c>
      <c r="R117" s="81"/>
      <c r="S117" s="81"/>
      <c r="V117" s="81" t="s">
        <v>13</v>
      </c>
      <c r="W117" s="81"/>
      <c r="X117" s="81"/>
    </row>
    <row r="118" spans="2:40" x14ac:dyDescent="0.3">
      <c r="B118" s="78" t="s">
        <v>4</v>
      </c>
      <c r="C118" s="78"/>
      <c r="D118" s="79">
        <v>0</v>
      </c>
      <c r="E118" s="79"/>
      <c r="G118" s="85"/>
      <c r="H118" s="89"/>
      <c r="I118" s="90"/>
      <c r="L118" s="81"/>
      <c r="M118" s="81"/>
      <c r="N118" s="81"/>
      <c r="Q118" s="81"/>
      <c r="R118" s="81"/>
      <c r="S118" s="81"/>
      <c r="V118" s="81"/>
      <c r="W118" s="81"/>
      <c r="X118" s="81"/>
    </row>
    <row r="119" spans="2:40" x14ac:dyDescent="0.3">
      <c r="B119" s="78" t="s">
        <v>1</v>
      </c>
      <c r="C119" s="78"/>
      <c r="D119" s="79">
        <v>0.01</v>
      </c>
      <c r="E119" s="79"/>
      <c r="G119" s="85"/>
      <c r="V119" s="81" t="s">
        <v>14</v>
      </c>
      <c r="W119" s="81"/>
      <c r="X119" s="5">
        <v>3</v>
      </c>
    </row>
    <row r="120" spans="2:40" x14ac:dyDescent="0.3">
      <c r="G120" s="85"/>
      <c r="H120" s="2" t="s">
        <v>8</v>
      </c>
      <c r="I120" s="3">
        <v>8.5500000000000003E-3</v>
      </c>
      <c r="Q120" s="81" t="s">
        <v>15</v>
      </c>
      <c r="R120" s="81"/>
      <c r="S120" s="5">
        <v>3</v>
      </c>
      <c r="V120" s="82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3">
      <c r="G121" s="85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3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25">
      <c r="G122" s="85"/>
      <c r="H122" s="1">
        <v>8.3333333333333329E-2</v>
      </c>
      <c r="I122" s="4">
        <v>3.0999999999999999E-3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8.3333333333333329E-2</v>
      </c>
      <c r="W122" s="13">
        <v>0.120209838092543</v>
      </c>
      <c r="X122" s="13">
        <v>0.13851298109855029</v>
      </c>
      <c r="Y122" s="13">
        <v>0.15180847410954645</v>
      </c>
      <c r="Z122" s="13">
        <v>0.1617033898544199</v>
      </c>
      <c r="AA122" s="13">
        <v>0.1774739591221004</v>
      </c>
      <c r="AB122" s="13">
        <v>0.17350491979950017</v>
      </c>
      <c r="AC122" s="13">
        <v>0.17550962373839607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25">
      <c r="G123" s="85"/>
      <c r="H123" s="1">
        <v>0.25</v>
      </c>
      <c r="I123" s="4">
        <v>3.2000000000000002E-3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0.25</v>
      </c>
      <c r="W123" s="13">
        <v>0.1261468915296117</v>
      </c>
      <c r="X123" s="13">
        <v>0.13759496894230316</v>
      </c>
      <c r="Y123" s="13">
        <v>0.15323065736561287</v>
      </c>
      <c r="Z123" s="13">
        <v>0.16960433140093384</v>
      </c>
      <c r="AA123" s="13">
        <v>0.18144087260175307</v>
      </c>
      <c r="AB123" s="13">
        <v>0.17509715921227625</v>
      </c>
      <c r="AC123" s="13">
        <v>0.1695360123450606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25">
      <c r="C124" s="1" t="s">
        <v>5</v>
      </c>
      <c r="D124" s="80" t="s">
        <v>6</v>
      </c>
      <c r="E124" s="80"/>
      <c r="G124" s="85"/>
      <c r="H124" s="1">
        <v>0.5</v>
      </c>
      <c r="I124" s="4">
        <v>3.0999999999999999E-3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0.5</v>
      </c>
      <c r="W124" s="13">
        <v>0.13897671938610195</v>
      </c>
      <c r="X124" s="13">
        <v>0.15092062269831474</v>
      </c>
      <c r="Y124" s="13">
        <v>0.1559973749070592</v>
      </c>
      <c r="Z124" s="13">
        <v>0.16630923987698532</v>
      </c>
      <c r="AA124" s="13">
        <v>0.174160916608498</v>
      </c>
      <c r="AB124" s="13">
        <v>0.1692372470784102</v>
      </c>
      <c r="AC124" s="13">
        <v>0.1644239476786947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25">
      <c r="D125" s="80"/>
      <c r="E125" s="80"/>
      <c r="G125" s="85"/>
      <c r="H125" s="1">
        <v>0.75</v>
      </c>
      <c r="I125" s="4">
        <v>2.9000000000000002E-3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0.75</v>
      </c>
      <c r="W125" s="13">
        <v>0.14410032788389415</v>
      </c>
      <c r="X125" s="13">
        <v>0.14686720867420597</v>
      </c>
      <c r="Y125" s="13">
        <v>0.15600192009063191</v>
      </c>
      <c r="Z125" s="13">
        <v>0.16199698827806425</v>
      </c>
      <c r="AA125" s="13">
        <v>0.17301441866307929</v>
      </c>
      <c r="AB125" s="13">
        <v>0.16177479258312882</v>
      </c>
      <c r="AC125" s="13">
        <v>0.15988125133959205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25">
      <c r="D126" s="80"/>
      <c r="E126" s="80"/>
      <c r="G126" s="85"/>
      <c r="H126" s="1">
        <v>1</v>
      </c>
      <c r="I126" s="4">
        <v>3.2000000000000002E-3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1</v>
      </c>
      <c r="W126" s="13">
        <v>0.14416196920823851</v>
      </c>
      <c r="X126" s="13">
        <v>0.14719508505591927</v>
      </c>
      <c r="Y126" s="13">
        <v>0.15919579256625782</v>
      </c>
      <c r="Z126" s="13">
        <v>0.15810816045978396</v>
      </c>
      <c r="AA126" s="13">
        <v>0.16719234566275756</v>
      </c>
      <c r="AB126" s="13">
        <v>0.163020389995474</v>
      </c>
      <c r="AC126" s="13">
        <v>0.15242615535912449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25">
      <c r="G127" s="85"/>
      <c r="H127" s="1">
        <v>1.5</v>
      </c>
      <c r="I127" s="4">
        <v>3.0999999999999999E-3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1.5</v>
      </c>
      <c r="W127" s="13">
        <v>0.14892168855304375</v>
      </c>
      <c r="X127" s="13">
        <v>0.15711064446863182</v>
      </c>
      <c r="Y127" s="13">
        <v>0.15737295457677644</v>
      </c>
      <c r="Z127" s="13">
        <v>0.16529437025646773</v>
      </c>
      <c r="AA127" s="13">
        <v>0.16411473899089804</v>
      </c>
      <c r="AB127" s="13">
        <v>0.15620156600799054</v>
      </c>
      <c r="AC127" s="13">
        <v>0.1544122491922835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25">
      <c r="G128" s="85"/>
      <c r="H128" s="1">
        <v>2</v>
      </c>
      <c r="I128" s="4">
        <v>3.9000000000000003E-3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2</v>
      </c>
      <c r="W128" s="13">
        <v>0.16144368842833856</v>
      </c>
      <c r="X128" s="13">
        <v>0.16306673372038621</v>
      </c>
      <c r="Y128" s="13">
        <v>0.16148421974283506</v>
      </c>
      <c r="Z128" s="13">
        <v>0.15824487451813951</v>
      </c>
      <c r="AA128" s="13">
        <v>0.16292368610205285</v>
      </c>
      <c r="AB128" s="13">
        <v>0.15581016265461484</v>
      </c>
      <c r="AC128" s="13">
        <v>0.15097949637018351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7:40" x14ac:dyDescent="0.25">
      <c r="G129" s="85"/>
      <c r="H129" s="1">
        <v>3</v>
      </c>
      <c r="I129" s="4">
        <v>2.9000000000000002E-3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3</v>
      </c>
      <c r="W129" s="13">
        <v>0.16583204913005625</v>
      </c>
      <c r="X129" s="13">
        <v>0.16654565890127171</v>
      </c>
      <c r="Y129" s="13">
        <v>0.16175696634586209</v>
      </c>
      <c r="Z129" s="13">
        <v>0.15536842349853694</v>
      </c>
      <c r="AA129" s="13">
        <v>0.15292907042486187</v>
      </c>
      <c r="AB129" s="13">
        <v>0.1502753076486836</v>
      </c>
      <c r="AC129" s="13">
        <v>0.14423328531268015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7:40" x14ac:dyDescent="0.25">
      <c r="G130" s="85"/>
      <c r="H130" s="1">
        <v>4</v>
      </c>
      <c r="I130" s="4">
        <v>3.9000000000000003E-3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4</v>
      </c>
      <c r="W130" s="13">
        <v>0.16612291180864996</v>
      </c>
      <c r="X130" s="13">
        <v>0.16194398449969211</v>
      </c>
      <c r="Y130" s="13">
        <v>0.15644155580690108</v>
      </c>
      <c r="Z130" s="13">
        <v>0.1543128438672404</v>
      </c>
      <c r="AA130" s="13">
        <v>0.15054253101001622</v>
      </c>
      <c r="AB130" s="13">
        <v>0.15054965709325172</v>
      </c>
      <c r="AC130" s="13">
        <v>0.14827650267074671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7:40" x14ac:dyDescent="0.25">
      <c r="G131" s="85"/>
      <c r="H131" s="1">
        <v>5</v>
      </c>
      <c r="I131" s="4">
        <v>4.0000000000000001E-3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>
        <v>5</v>
      </c>
      <c r="W131" s="13">
        <v>0.16750296688268065</v>
      </c>
      <c r="X131" s="13">
        <v>0.16221934078728109</v>
      </c>
      <c r="Y131" s="13">
        <v>0.15885461992980204</v>
      </c>
      <c r="Z131" s="13">
        <v>0.15383294258828084</v>
      </c>
      <c r="AA131" s="13">
        <v>0.15377576651517999</v>
      </c>
      <c r="AB131" s="13">
        <v>0.14609973348390001</v>
      </c>
      <c r="AC131" s="13">
        <v>0.14669478357309174</v>
      </c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7:40" x14ac:dyDescent="0.25">
      <c r="G132" s="85"/>
      <c r="H132" s="1">
        <v>7</v>
      </c>
      <c r="I132" s="4">
        <v>4.0999999999999995E-3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>
        <v>7</v>
      </c>
      <c r="W132" s="13">
        <v>0.1582072453652012</v>
      </c>
      <c r="X132" s="13">
        <v>0.15545062653971484</v>
      </c>
      <c r="Y132" s="13">
        <v>0.15246850687939051</v>
      </c>
      <c r="Z132" s="13">
        <v>0.15274996615326727</v>
      </c>
      <c r="AA132" s="13">
        <v>0.14298658761876706</v>
      </c>
      <c r="AB132" s="13">
        <v>0.148180350338671</v>
      </c>
      <c r="AC132" s="13">
        <v>0.14006328979838198</v>
      </c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7:40" x14ac:dyDescent="0.25">
      <c r="G133" s="85"/>
      <c r="H133" s="1">
        <v>10</v>
      </c>
      <c r="I133" s="4">
        <v>1.7000000000000001E-3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>
        <v>10</v>
      </c>
      <c r="W133" s="13">
        <v>0.15687723151672589</v>
      </c>
      <c r="X133" s="13">
        <v>0.15944147169923567</v>
      </c>
      <c r="Y133" s="13">
        <v>0.15554396777611321</v>
      </c>
      <c r="Z133" s="13">
        <v>0.15247786647944234</v>
      </c>
      <c r="AA133" s="13">
        <v>0.14736823351441977</v>
      </c>
      <c r="AB133" s="13">
        <v>0.14169063501094475</v>
      </c>
      <c r="AC133" s="13">
        <v>0.13821544950783426</v>
      </c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7:40" x14ac:dyDescent="0.25">
      <c r="G134" s="85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7:40" x14ac:dyDescent="0.25">
      <c r="G135" s="85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7:40" x14ac:dyDescent="0.25">
      <c r="G136" s="85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7:40" x14ac:dyDescent="0.25">
      <c r="G137" s="85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7:40" x14ac:dyDescent="0.25">
      <c r="G138" s="85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7:40" x14ac:dyDescent="0.25">
      <c r="G139" s="85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7:40" x14ac:dyDescent="0.25">
      <c r="G140" s="85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7:40" x14ac:dyDescent="0.25">
      <c r="G141" s="85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7:40" x14ac:dyDescent="0.25">
      <c r="G142" s="85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7:40" x14ac:dyDescent="0.25">
      <c r="G143" s="85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7:40" x14ac:dyDescent="0.25">
      <c r="G144" s="85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25">
      <c r="G145" s="85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25">
      <c r="G146" s="85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25">
      <c r="G147" s="85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25">
      <c r="G148" s="85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25">
      <c r="G149" s="85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25">
      <c r="G150" s="85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25">
      <c r="G151" s="85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67">
    <mergeCell ref="D50:E52"/>
    <mergeCell ref="D87:E89"/>
    <mergeCell ref="D124:E126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2</xdr:col>
                    <xdr:colOff>219075</xdr:colOff>
                    <xdr:row>8</xdr:row>
                    <xdr:rowOff>152400</xdr:rowOff>
                  </from>
                  <to>
                    <xdr:col>3</xdr:col>
                    <xdr:colOff>438150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abSelected="1" zoomScale="85" zoomScaleNormal="85" workbookViewId="0">
      <selection activeCell="D7" sqref="D7:E7"/>
    </sheetView>
  </sheetViews>
  <sheetFormatPr defaultColWidth="11.375" defaultRowHeight="16.149999999999999" customHeight="1" x14ac:dyDescent="0.3"/>
  <cols>
    <col min="1" max="1" width="11.375" style="42"/>
    <col min="2" max="2" width="11.375" style="51"/>
    <col min="3" max="3" width="11.375" style="71"/>
    <col min="4" max="9" width="11.375" style="48"/>
    <col min="10" max="11" width="11.375" style="76"/>
    <col min="12" max="12" width="11.375" style="74"/>
    <col min="13" max="13" width="11.375" style="43"/>
    <col min="14" max="21" width="11.375" style="52"/>
    <col min="22" max="26" width="11.375" style="43"/>
    <col min="27" max="28" width="0" style="43" hidden="1" customWidth="1"/>
    <col min="29" max="41" width="11.375" style="43"/>
    <col min="42" max="43" width="11.375" style="52"/>
    <col min="44" max="46" width="11.375" style="53"/>
    <col min="47" max="48" width="11.375" style="54"/>
    <col min="49" max="49" width="11.375" style="52"/>
    <col min="50" max="16384" width="11.375" style="43"/>
  </cols>
  <sheetData>
    <row r="1" spans="1:57" s="42" customFormat="1" ht="16.149999999999999" customHeight="1" x14ac:dyDescent="0.3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149999999999999" customHeight="1" x14ac:dyDescent="0.3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149999999999999" customHeight="1" x14ac:dyDescent="0.3">
      <c r="A3" s="42">
        <f t="shared" ref="A3:A61" si="1">A2+1</f>
        <v>3</v>
      </c>
      <c r="B3" s="142" t="s">
        <v>29</v>
      </c>
      <c r="C3" s="142"/>
      <c r="D3" s="143">
        <f>N13</f>
        <v>44509</v>
      </c>
      <c r="E3" s="115"/>
      <c r="F3" s="112" t="s">
        <v>31</v>
      </c>
      <c r="G3" s="112"/>
      <c r="H3" s="115">
        <v>1</v>
      </c>
      <c r="I3" s="115"/>
      <c r="J3" s="112" t="s">
        <v>71</v>
      </c>
      <c r="K3" s="112"/>
      <c r="L3" s="115">
        <v>10000</v>
      </c>
      <c r="M3" s="115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149999999999999" customHeight="1" x14ac:dyDescent="0.3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149999999999999" customHeight="1" x14ac:dyDescent="0.3">
      <c r="A5" s="42">
        <f t="shared" si="1"/>
        <v>5</v>
      </c>
      <c r="B5" s="146" t="s">
        <v>48</v>
      </c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D5" s="146" t="s">
        <v>49</v>
      </c>
      <c r="AE5" s="146"/>
      <c r="AF5" s="146"/>
      <c r="AG5" s="146"/>
      <c r="AH5" s="146"/>
      <c r="AI5" s="146"/>
      <c r="AJ5" s="146"/>
      <c r="AK5" s="146"/>
      <c r="AL5" s="146"/>
      <c r="AM5" s="146"/>
      <c r="AN5" s="146"/>
      <c r="AO5" s="146"/>
      <c r="AP5" s="146"/>
      <c r="AQ5" s="146"/>
      <c r="AR5" s="146"/>
      <c r="AS5" s="146"/>
      <c r="AT5" s="146"/>
      <c r="AU5" s="146"/>
      <c r="AV5" s="146"/>
      <c r="AW5" s="146"/>
      <c r="AX5" s="146"/>
      <c r="AY5" s="146"/>
      <c r="AZ5" s="146"/>
      <c r="BA5" s="146"/>
      <c r="BB5" s="146"/>
    </row>
    <row r="6" spans="1:57" ht="16.149999999999999" customHeight="1" x14ac:dyDescent="0.3">
      <c r="A6" s="42">
        <f t="shared" si="1"/>
        <v>6</v>
      </c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D6" s="146"/>
      <c r="AE6" s="146"/>
      <c r="AF6" s="146"/>
      <c r="AG6" s="146"/>
      <c r="AH6" s="146"/>
      <c r="AI6" s="146"/>
      <c r="AJ6" s="146"/>
      <c r="AK6" s="146"/>
      <c r="AL6" s="146"/>
      <c r="AM6" s="146"/>
      <c r="AN6" s="146"/>
      <c r="AO6" s="146"/>
      <c r="AP6" s="146"/>
      <c r="AQ6" s="146"/>
      <c r="AR6" s="146"/>
      <c r="AS6" s="146"/>
      <c r="AT6" s="146"/>
      <c r="AU6" s="146"/>
      <c r="AV6" s="146"/>
      <c r="AW6" s="146"/>
      <c r="AX6" s="146"/>
      <c r="AY6" s="146"/>
      <c r="AZ6" s="146"/>
      <c r="BA6" s="146"/>
      <c r="BB6" s="146"/>
    </row>
    <row r="7" spans="1:57" ht="16.149999999999999" customHeight="1" x14ac:dyDescent="0.3">
      <c r="A7" s="42">
        <f t="shared" si="1"/>
        <v>7</v>
      </c>
      <c r="B7" s="142" t="s">
        <v>75</v>
      </c>
      <c r="C7" s="142"/>
      <c r="D7" s="114">
        <v>2</v>
      </c>
      <c r="E7" s="114"/>
      <c r="F7" s="130" t="s">
        <v>32</v>
      </c>
      <c r="G7" s="131"/>
      <c r="H7" s="115">
        <v>1</v>
      </c>
      <c r="I7" s="115"/>
      <c r="J7" s="112" t="s">
        <v>39</v>
      </c>
      <c r="K7" s="112"/>
      <c r="L7" s="115">
        <v>0</v>
      </c>
      <c r="M7" s="115"/>
      <c r="N7" s="43"/>
      <c r="O7" s="43"/>
      <c r="P7" s="43"/>
      <c r="Q7" s="43"/>
      <c r="R7" s="43"/>
      <c r="S7" s="43"/>
      <c r="T7" s="43"/>
      <c r="U7" s="43"/>
      <c r="AD7" s="142" t="s">
        <v>75</v>
      </c>
      <c r="AE7" s="142"/>
      <c r="AF7" s="114">
        <v>1</v>
      </c>
      <c r="AG7" s="114"/>
      <c r="AH7" s="130" t="s">
        <v>32</v>
      </c>
      <c r="AI7" s="131"/>
      <c r="AJ7" s="115">
        <v>1</v>
      </c>
      <c r="AK7" s="115"/>
      <c r="AL7" s="112" t="s">
        <v>39</v>
      </c>
      <c r="AM7" s="112"/>
      <c r="AN7" s="115">
        <v>0</v>
      </c>
      <c r="AO7" s="115"/>
      <c r="AP7" s="43"/>
      <c r="AQ7" s="43"/>
      <c r="AR7" s="43"/>
      <c r="AS7" s="43"/>
      <c r="AT7" s="43"/>
      <c r="AU7" s="43"/>
      <c r="AV7" s="43"/>
      <c r="AW7" s="43"/>
    </row>
    <row r="8" spans="1:57" ht="16.149999999999999" customHeight="1" x14ac:dyDescent="0.3">
      <c r="A8" s="42">
        <f t="shared" si="1"/>
        <v>8</v>
      </c>
      <c r="B8" s="112" t="s">
        <v>53</v>
      </c>
      <c r="C8" s="112"/>
      <c r="D8" s="113">
        <v>1</v>
      </c>
      <c r="E8" s="114"/>
      <c r="F8" s="112" t="s">
        <v>54</v>
      </c>
      <c r="G8" s="112"/>
      <c r="H8" s="113">
        <v>1</v>
      </c>
      <c r="I8" s="114"/>
      <c r="J8" s="112" t="s">
        <v>43</v>
      </c>
      <c r="K8" s="112"/>
      <c r="L8" s="115">
        <v>0</v>
      </c>
      <c r="M8" s="115"/>
      <c r="N8" s="43"/>
      <c r="O8" s="43"/>
      <c r="P8" s="43"/>
      <c r="Q8" s="43"/>
      <c r="R8" s="43"/>
      <c r="S8" s="43"/>
      <c r="T8" s="43"/>
      <c r="U8" s="43"/>
      <c r="AD8" s="112" t="s">
        <v>53</v>
      </c>
      <c r="AE8" s="112"/>
      <c r="AF8" s="113">
        <v>1</v>
      </c>
      <c r="AG8" s="114"/>
      <c r="AH8" s="112" t="s">
        <v>54</v>
      </c>
      <c r="AI8" s="112"/>
      <c r="AJ8" s="113">
        <v>1</v>
      </c>
      <c r="AK8" s="114"/>
      <c r="AL8" s="112" t="s">
        <v>43</v>
      </c>
      <c r="AM8" s="112"/>
      <c r="AN8" s="115">
        <v>0</v>
      </c>
      <c r="AO8" s="115"/>
      <c r="AP8" s="43"/>
      <c r="AQ8" s="43"/>
      <c r="AR8" s="43"/>
      <c r="AS8" s="43"/>
      <c r="AT8" s="43"/>
      <c r="AU8" s="43"/>
      <c r="AV8" s="43"/>
      <c r="AW8" s="43"/>
    </row>
    <row r="9" spans="1:57" ht="16.149999999999999" customHeight="1" x14ac:dyDescent="0.3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149999999999999" customHeight="1" x14ac:dyDescent="0.3">
      <c r="A10" s="42">
        <f t="shared" si="1"/>
        <v>10</v>
      </c>
      <c r="B10" s="128" t="str">
        <f>IF(D7&gt;=1,"기초금리1", "")</f>
        <v>기초금리1</v>
      </c>
      <c r="C10" s="144" t="str">
        <f>IF($D$7&gt;=1,"커브번호", "")</f>
        <v>커브번호</v>
      </c>
      <c r="D10" s="144"/>
      <c r="E10" s="145">
        <v>1</v>
      </c>
      <c r="F10" s="145"/>
      <c r="G10" s="45"/>
      <c r="H10" s="45"/>
      <c r="I10" s="169" t="str">
        <f>IF(OR(E11 = 0, E11 = 2, E11 = 4), "RefType = "&amp;E11&amp;" 이므로 Ref Swap 금리정보 사용안함", "사용")</f>
        <v>사용</v>
      </c>
      <c r="J10" s="169"/>
      <c r="K10" s="169"/>
      <c r="L10" s="170"/>
      <c r="N10" s="132" t="s">
        <v>34</v>
      </c>
      <c r="O10" s="132"/>
      <c r="P10" s="132"/>
      <c r="Q10" s="132"/>
      <c r="R10" s="42"/>
      <c r="S10" s="42"/>
      <c r="T10" s="42"/>
      <c r="U10" s="42"/>
      <c r="W10" s="132" t="s">
        <v>55</v>
      </c>
      <c r="X10" s="132"/>
      <c r="Y10" s="132"/>
      <c r="AD10" s="109" t="str">
        <f>IF($AF$7&gt;=1,"기초금리1", "")</f>
        <v>기초금리1</v>
      </c>
      <c r="AE10" s="97" t="str">
        <f>IF($AF$7&gt;=1,"커브번호", "")</f>
        <v>커브번호</v>
      </c>
      <c r="AF10" s="97"/>
      <c r="AG10" s="145">
        <v>1</v>
      </c>
      <c r="AH10" s="145"/>
      <c r="AI10" s="45"/>
      <c r="AJ10" s="45"/>
      <c r="AK10" s="162" t="str">
        <f>IF(OR(AG11 = 0, AG11 = 2, AG11 = 4), "RefType = "&amp;AG11&amp;" 이므로 Ref Swap 금리정보 사용안함", "사용")</f>
        <v>RefType = 0 이므로 Ref Swap 금리정보 사용안함</v>
      </c>
      <c r="AL10" s="162"/>
      <c r="AM10" s="162"/>
      <c r="AN10" s="163"/>
      <c r="AP10" s="132" t="s">
        <v>57</v>
      </c>
      <c r="AQ10" s="132"/>
      <c r="AR10" s="132"/>
      <c r="AS10" s="132"/>
      <c r="AT10" s="42"/>
      <c r="AU10" s="42"/>
      <c r="AV10" s="42"/>
      <c r="AW10" s="42"/>
      <c r="AY10" s="132" t="s">
        <v>56</v>
      </c>
      <c r="AZ10" s="132"/>
      <c r="BA10" s="132"/>
    </row>
    <row r="11" spans="1:57" ht="16.149999999999999" customHeight="1" x14ac:dyDescent="0.3">
      <c r="A11" s="42">
        <f t="shared" si="1"/>
        <v>11</v>
      </c>
      <c r="B11" s="129"/>
      <c r="C11" s="126" t="str">
        <f>IF($D$7&gt;=1,"Reference Rate Type", "")</f>
        <v>Reference Rate Type</v>
      </c>
      <c r="D11" s="127"/>
      <c r="E11" s="149">
        <v>1</v>
      </c>
      <c r="F11" s="149"/>
      <c r="G11" s="120" t="str">
        <f>IF(OR(E11 = 0, E11 = 2, E11 = 4), "", "Zero/Swap 레퍼런스금리정보")</f>
        <v>Zero/Swap 레퍼런스금리정보</v>
      </c>
      <c r="H11" s="120"/>
      <c r="I11" s="120" t="str">
        <f>IF(OR(E11 = 0, E11 = 2, E11 = 4), "", "연 지급횟수")</f>
        <v>연 지급횟수</v>
      </c>
      <c r="J11" s="121"/>
      <c r="K11" s="122">
        <v>4</v>
      </c>
      <c r="L11" s="123"/>
      <c r="M11" s="42"/>
      <c r="N11" s="133" t="str">
        <f>IF(OR(E11 = 0, E11 = 2, E11 = 4), "ForwardStart", "ResetStart")</f>
        <v>ResetStart</v>
      </c>
      <c r="O11" s="133" t="str">
        <f>IF(OR(E11 = 0, E11 = 2, E11 = 4), "ForwardEnd", "ResetEnd")</f>
        <v>ResetEnd</v>
      </c>
      <c r="P11" s="134" t="s">
        <v>35</v>
      </c>
      <c r="Q11" s="134" t="s">
        <v>36</v>
      </c>
      <c r="R11" s="134" t="s">
        <v>37</v>
      </c>
      <c r="S11" s="134" t="s">
        <v>38</v>
      </c>
      <c r="T11" s="134" t="s">
        <v>76</v>
      </c>
      <c r="U11" s="134" t="s">
        <v>77</v>
      </c>
      <c r="W11" s="46" t="s">
        <v>44</v>
      </c>
      <c r="X11" s="161">
        <v>0</v>
      </c>
      <c r="Y11" s="161"/>
      <c r="AD11" s="164"/>
      <c r="AE11" s="152" t="str">
        <f>IF($AF$7&gt;=1,"Reference Rate Type", "")</f>
        <v>Reference Rate Type</v>
      </c>
      <c r="AF11" s="153"/>
      <c r="AG11" s="149">
        <v>0</v>
      </c>
      <c r="AH11" s="149"/>
      <c r="AI11" s="154" t="str">
        <f>IF(OR(AG11 = 0, AG11 = 2, AG11 = 4), "", "Zero/Swap 레퍼런스금리정보")</f>
        <v/>
      </c>
      <c r="AJ11" s="154"/>
      <c r="AK11" s="154" t="str">
        <f>IF(OR(AG11 = 0, AG11 = 2, AG11 = 4), "", "연 지급횟수")</f>
        <v/>
      </c>
      <c r="AL11" s="155"/>
      <c r="AM11" s="122">
        <v>4</v>
      </c>
      <c r="AN11" s="123"/>
      <c r="AO11" s="42"/>
      <c r="AP11" s="134" t="str">
        <f>IF(OR(AG11 = 0, AG11 = 2, AG11 = 4), "ForwardStart", "ResetEnd")</f>
        <v>ForwardStart</v>
      </c>
      <c r="AQ11" s="134" t="str">
        <f>IF(OR(AG11 = 0, AG11 = 2, AG11 = 4), "ForwardEnd", "ResetEnd")</f>
        <v>ForwardEnd</v>
      </c>
      <c r="AR11" s="134" t="s">
        <v>35</v>
      </c>
      <c r="AS11" s="134" t="s">
        <v>36</v>
      </c>
      <c r="AT11" s="134" t="s">
        <v>37</v>
      </c>
      <c r="AU11" s="134" t="s">
        <v>38</v>
      </c>
      <c r="AV11" s="134" t="s">
        <v>76</v>
      </c>
      <c r="AW11" s="134" t="s">
        <v>77</v>
      </c>
      <c r="AY11" s="46" t="s">
        <v>44</v>
      </c>
      <c r="AZ11" s="161">
        <v>0</v>
      </c>
      <c r="BA11" s="161"/>
    </row>
    <row r="12" spans="1:57" ht="16.149999999999999" customHeight="1" x14ac:dyDescent="0.3">
      <c r="A12" s="42">
        <f t="shared" si="1"/>
        <v>12</v>
      </c>
      <c r="B12" s="129"/>
      <c r="C12" s="126" t="str">
        <f>IF($D$7&gt;=1,"DayCount", "")</f>
        <v>DayCount</v>
      </c>
      <c r="D12" s="126"/>
      <c r="E12" s="139">
        <v>0</v>
      </c>
      <c r="F12" s="139"/>
      <c r="G12" s="120"/>
      <c r="H12" s="120"/>
      <c r="I12" s="120" t="str">
        <f>IF(OR(E11 = 0, E11 = 2, E11 = 4,E14=1), "", "만기")</f>
        <v>만기</v>
      </c>
      <c r="J12" s="121"/>
      <c r="K12" s="147">
        <v>0.25</v>
      </c>
      <c r="L12" s="148"/>
      <c r="N12" s="134"/>
      <c r="O12" s="134"/>
      <c r="P12" s="134"/>
      <c r="Q12" s="134"/>
      <c r="R12" s="134"/>
      <c r="S12" s="134"/>
      <c r="T12" s="134"/>
      <c r="U12" s="134"/>
      <c r="W12" s="46" t="s">
        <v>45</v>
      </c>
      <c r="X12" s="161">
        <v>0</v>
      </c>
      <c r="Y12" s="161"/>
      <c r="AD12" s="164"/>
      <c r="AE12" s="152" t="str">
        <f>IF($AF$7&gt;=1,"DayCount", "")</f>
        <v>DayCount</v>
      </c>
      <c r="AF12" s="152"/>
      <c r="AG12" s="139">
        <v>0</v>
      </c>
      <c r="AH12" s="139"/>
      <c r="AI12" s="154"/>
      <c r="AJ12" s="154"/>
      <c r="AK12" s="120" t="str">
        <f>IF(OR(AG11 = 0, AG11 = 2, AG11 = 4,AG14=1), "", "만기")</f>
        <v/>
      </c>
      <c r="AL12" s="121"/>
      <c r="AM12" s="124">
        <v>0.25</v>
      </c>
      <c r="AN12" s="125"/>
      <c r="AP12" s="134"/>
      <c r="AQ12" s="134"/>
      <c r="AR12" s="134"/>
      <c r="AS12" s="134"/>
      <c r="AT12" s="134"/>
      <c r="AU12" s="134"/>
      <c r="AV12" s="134"/>
      <c r="AW12" s="134"/>
      <c r="AY12" s="46" t="s">
        <v>45</v>
      </c>
      <c r="AZ12" s="161">
        <v>0</v>
      </c>
      <c r="BA12" s="161"/>
    </row>
    <row r="13" spans="1:57" ht="16.149999999999999" customHeight="1" x14ac:dyDescent="0.3">
      <c r="A13" s="42">
        <f t="shared" si="1"/>
        <v>13</v>
      </c>
      <c r="B13" s="129"/>
      <c r="C13" s="126" t="str">
        <f>IF($D$7&gt;=1,"금리결정조건Multiple", "")</f>
        <v>금리결정조건Multiple</v>
      </c>
      <c r="D13" s="127"/>
      <c r="E13" s="116">
        <v>1</v>
      </c>
      <c r="F13" s="116"/>
      <c r="G13" s="140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140"/>
      <c r="I13" s="140"/>
      <c r="J13" s="140"/>
      <c r="K13" s="140"/>
      <c r="L13" s="141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61">
        <v>0</v>
      </c>
      <c r="Y13" s="161"/>
      <c r="AD13" s="164"/>
      <c r="AE13" s="152" t="str">
        <f>IF($AF$7&gt;=1,"금리결정조건Multiple", "")</f>
        <v>금리결정조건Multiple</v>
      </c>
      <c r="AF13" s="153"/>
      <c r="AG13" s="116">
        <v>1</v>
      </c>
      <c r="AH13" s="116"/>
      <c r="AI13" s="140" t="str">
        <f>IF(OR(AG11 = 0, AG11 = 2, AG11 = 4), "", "ex) Zero Rate 5년 -&gt; 연 지급횟수= 0, 만기= 5 // CD91일 -&gt; 연 지급횟수= 4, 만기= 0.25")</f>
        <v/>
      </c>
      <c r="AJ13" s="140"/>
      <c r="AK13" s="140"/>
      <c r="AL13" s="140"/>
      <c r="AM13" s="140"/>
      <c r="AN13" s="141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61">
        <v>0</v>
      </c>
      <c r="BA13" s="161"/>
    </row>
    <row r="14" spans="1:57" ht="16.149999999999999" customHeight="1" x14ac:dyDescent="0.3">
      <c r="A14" s="42">
        <f t="shared" si="1"/>
        <v>14</v>
      </c>
      <c r="B14" s="129"/>
      <c r="C14" s="156" t="str">
        <f>IF($D$7&gt;=1,"Power Spread Flag", "")</f>
        <v>Power Spread Flag</v>
      </c>
      <c r="D14" s="156"/>
      <c r="E14" s="139">
        <v>0</v>
      </c>
      <c r="F14" s="139"/>
      <c r="G14" s="117" t="str">
        <f>IF(E14&gt;0,"PowerSpreadFlag 1일때 입력","입력필요X")</f>
        <v>입력필요X</v>
      </c>
      <c r="H14" s="117"/>
      <c r="I14" s="117" t="str">
        <f>IF(E14&gt;0,"만기1","")</f>
        <v/>
      </c>
      <c r="J14" s="117"/>
      <c r="K14" s="118">
        <v>10</v>
      </c>
      <c r="L14" s="119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64"/>
      <c r="AE14" s="150" t="str">
        <f>IF($AF$7&gt;=1,"Power Spread Flag", "")</f>
        <v>Power Spread Flag</v>
      </c>
      <c r="AF14" s="150"/>
      <c r="AG14" s="139">
        <v>0</v>
      </c>
      <c r="AH14" s="139"/>
      <c r="AI14" s="151" t="str">
        <f>IF(AG14&gt;0,"PowerSpreadFlag 1일때 입력","입력필요X")</f>
        <v>입력필요X</v>
      </c>
      <c r="AJ14" s="151"/>
      <c r="AK14" s="151" t="str">
        <f>IF(AG14&gt;0,"만기1","")</f>
        <v/>
      </c>
      <c r="AL14" s="151"/>
      <c r="AM14" s="118">
        <v>10</v>
      </c>
      <c r="AN14" s="119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149999999999999" customHeight="1" x14ac:dyDescent="0.3">
      <c r="A15" s="42">
        <f t="shared" si="1"/>
        <v>15</v>
      </c>
      <c r="B15" s="129" t="str">
        <f>IF($D$7&gt;0, "사용", "커브개수"&amp;"="&amp;$D$7&amp;"이므로 사용안함")</f>
        <v>사용</v>
      </c>
      <c r="C15" s="156" t="str">
        <f>IF($D$7&gt;=1,"Range상한", "")</f>
        <v>Range상한</v>
      </c>
      <c r="D15" s="156"/>
      <c r="E15" s="159">
        <v>0.02</v>
      </c>
      <c r="F15" s="159"/>
      <c r="G15" s="117"/>
      <c r="H15" s="117"/>
      <c r="I15" s="117" t="str">
        <f>IF(E14&gt;0,"만기2","")</f>
        <v/>
      </c>
      <c r="J15" s="117"/>
      <c r="K15" s="118">
        <v>5</v>
      </c>
      <c r="L15" s="119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64" t="str">
        <f>IF($AF$7&gt;0, "사용", "커브개수"&amp;"="&amp;$AF$7&amp;"이므로 사용안함")</f>
        <v>사용</v>
      </c>
      <c r="AE15" s="150" t="str">
        <f>IF($AF$7&gt;=1,"Range상한", "")</f>
        <v>Range상한</v>
      </c>
      <c r="AF15" s="150"/>
      <c r="AG15" s="159">
        <v>0.5</v>
      </c>
      <c r="AH15" s="159"/>
      <c r="AI15" s="151"/>
      <c r="AJ15" s="151"/>
      <c r="AK15" s="151" t="str">
        <f>IF(AG14&gt;0,"만기2","")</f>
        <v/>
      </c>
      <c r="AL15" s="151"/>
      <c r="AM15" s="118">
        <v>5</v>
      </c>
      <c r="AN15" s="119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149999999999999" customHeight="1" x14ac:dyDescent="0.3">
      <c r="A16" s="42">
        <f t="shared" si="1"/>
        <v>16</v>
      </c>
      <c r="B16" s="129"/>
      <c r="C16" s="156" t="str">
        <f>IF($D$7&gt;=1,"Range하한", "")</f>
        <v>Range하한</v>
      </c>
      <c r="D16" s="126"/>
      <c r="E16" s="158">
        <v>0</v>
      </c>
      <c r="F16" s="158"/>
      <c r="G16" s="160"/>
      <c r="H16" s="160"/>
      <c r="I16" s="135" t="str">
        <f>IF(E14&gt;0,"Spread1","")</f>
        <v/>
      </c>
      <c r="J16" s="135"/>
      <c r="K16" s="136" t="str">
        <f>IF(E14&gt;0, I14&amp;"-"&amp;I15, "")</f>
        <v/>
      </c>
      <c r="L16" s="137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64"/>
      <c r="AE16" s="150" t="str">
        <f>IF($AF$7&gt;=1,"Range하한", "")</f>
        <v>Range하한</v>
      </c>
      <c r="AF16" s="152"/>
      <c r="AG16" s="158">
        <v>-0.1</v>
      </c>
      <c r="AH16" s="158"/>
      <c r="AI16" s="168"/>
      <c r="AJ16" s="168"/>
      <c r="AK16" s="165" t="str">
        <f>IF(AG14&gt;0,"Spread1","")</f>
        <v/>
      </c>
      <c r="AL16" s="165"/>
      <c r="AM16" s="166" t="str">
        <f>IF(AG14&gt;0, AK14&amp;"-"&amp;AK15, "")</f>
        <v/>
      </c>
      <c r="AN16" s="167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149999999999999" customHeight="1" x14ac:dyDescent="0.3">
      <c r="A17" s="42">
        <f t="shared" si="1"/>
        <v>17</v>
      </c>
      <c r="B17" s="41"/>
      <c r="C17" s="157" t="str">
        <f>IF($D$7&gt;=1,"Payoff조건Multiple", "")</f>
        <v>Payoff조건Multiple</v>
      </c>
      <c r="D17" s="157"/>
      <c r="E17" s="171">
        <v>1</v>
      </c>
      <c r="F17" s="171"/>
      <c r="G17" s="173" t="str">
        <f>IF(E14&gt;0,"예시) 10년-5년 스왑: 연 지급횟수=4, 만기1=10, 만기2=5 // 10년-5년 Zero: 연 지급횟수=0","")</f>
        <v/>
      </c>
      <c r="H17" s="173"/>
      <c r="I17" s="173"/>
      <c r="J17" s="173"/>
      <c r="K17" s="173"/>
      <c r="L17" s="174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98" t="str">
        <f>IF($AF$7&gt;=1,"Payoff조건Multiple", "")</f>
        <v>Payoff조건Multiple</v>
      </c>
      <c r="AF17" s="98"/>
      <c r="AG17" s="171">
        <v>0</v>
      </c>
      <c r="AH17" s="171"/>
      <c r="AI17" s="173" t="str">
        <f>IF(AG14&gt;0,"예시) 10년-5년 스왑: 연 지급횟수=4, 만기1=10, 만기2=5 // 10년-5년 Zero: 연 지급횟수=0","")</f>
        <v/>
      </c>
      <c r="AJ17" s="173"/>
      <c r="AK17" s="173"/>
      <c r="AL17" s="173"/>
      <c r="AM17" s="173"/>
      <c r="AN17" s="174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149999999999999" customHeight="1" x14ac:dyDescent="0.3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149999999999999" customHeight="1" thickBot="1" x14ac:dyDescent="0.35">
      <c r="A19" s="42">
        <f t="shared" si="1"/>
        <v>19</v>
      </c>
      <c r="B19" s="128" t="str">
        <f>IF(D7&gt;=2,"기초금리2", "")</f>
        <v>기초금리2</v>
      </c>
      <c r="C19" s="144" t="str">
        <f>IF($D$7&gt;=2,"커브번호", "")</f>
        <v>커브번호</v>
      </c>
      <c r="D19" s="144"/>
      <c r="E19" s="145">
        <v>2</v>
      </c>
      <c r="F19" s="145"/>
      <c r="G19" s="45"/>
      <c r="H19" s="45"/>
      <c r="I19" s="169" t="str">
        <f>IF(OR(E20 = 0, E20 = 2, E20 = 4), "RefType = "&amp;E20&amp;" 이므로 Ref Swap 금리정보 사용안함", "사용")</f>
        <v>RefType = 0 이므로 Ref Swap 금리정보 사용안함</v>
      </c>
      <c r="J19" s="169"/>
      <c r="K19" s="169"/>
      <c r="L19" s="170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09" t="str">
        <f>IF($AF$7&gt;=2,"기초금리2", "")</f>
        <v/>
      </c>
      <c r="AE19" s="97" t="str">
        <f>IF($AF$7&gt;=2,"커브번호", "")</f>
        <v/>
      </c>
      <c r="AF19" s="97"/>
      <c r="AG19" s="145">
        <v>2</v>
      </c>
      <c r="AH19" s="145"/>
      <c r="AI19" s="45"/>
      <c r="AJ19" s="45"/>
      <c r="AK19" s="162" t="str">
        <f>IF(OR(AG20 = 0, AG20 = 2, AG20 = 4), "RefType = "&amp;AG20&amp;" 이므로 Ref Swap 금리정보 사용안함", "사용")</f>
        <v>RefType = 0 이므로 Ref Swap 금리정보 사용안함</v>
      </c>
      <c r="AL19" s="162"/>
      <c r="AM19" s="162"/>
      <c r="AN19" s="163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149999999999999" customHeight="1" thickBot="1" x14ac:dyDescent="0.35">
      <c r="A20" s="42">
        <f t="shared" si="1"/>
        <v>20</v>
      </c>
      <c r="B20" s="129"/>
      <c r="C20" s="126" t="str">
        <f>IF($D$7&gt;=2,"Reference Rate Type", "")</f>
        <v>Reference Rate Type</v>
      </c>
      <c r="D20" s="127"/>
      <c r="E20" s="138">
        <v>0</v>
      </c>
      <c r="F20" s="138"/>
      <c r="G20" s="120" t="str">
        <f>IF(OR(E20 = 0, E20 = 2, E20 = 4), "", "Zero/Swap 레퍼런스금리정보")</f>
        <v/>
      </c>
      <c r="H20" s="120"/>
      <c r="I20" s="120" t="str">
        <f>IF(OR(E20 = 0, E20 = 2, E20 = 4), "", "연 지급횟수")</f>
        <v/>
      </c>
      <c r="J20" s="121"/>
      <c r="K20" s="122">
        <v>4</v>
      </c>
      <c r="L20" s="123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64"/>
      <c r="AE20" s="152" t="str">
        <f>IF($AF$7&gt;=2,"Reference Rate Type", "")</f>
        <v/>
      </c>
      <c r="AF20" s="153"/>
      <c r="AG20" s="138">
        <v>0</v>
      </c>
      <c r="AH20" s="138"/>
      <c r="AI20" s="154" t="str">
        <f>IF(OR(AG20 = 0, AG20 = 2, AG20 = 4), "", "Zero/Swap 레퍼런스금리정보")</f>
        <v/>
      </c>
      <c r="AJ20" s="154"/>
      <c r="AK20" s="154" t="str">
        <f>IF(OR(AG20 = 0, AG20 = 2, AG20 = 4), "", "연 지급횟수")</f>
        <v/>
      </c>
      <c r="AL20" s="155"/>
      <c r="AM20" s="122">
        <v>4</v>
      </c>
      <c r="AN20" s="123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149999999999999" customHeight="1" x14ac:dyDescent="0.3">
      <c r="A21" s="42">
        <f t="shared" si="1"/>
        <v>21</v>
      </c>
      <c r="B21" s="129"/>
      <c r="C21" s="126" t="str">
        <f>IF($D$7&gt;=2,"DayCount", "")</f>
        <v>DayCount</v>
      </c>
      <c r="D21" s="126"/>
      <c r="E21" s="139">
        <v>0</v>
      </c>
      <c r="F21" s="139"/>
      <c r="G21" s="120"/>
      <c r="H21" s="120"/>
      <c r="I21" s="120" t="str">
        <f>IF(OR(E20 = 0, E20 = 2, E20 = 4,E23=1), "", "만기")</f>
        <v/>
      </c>
      <c r="J21" s="121"/>
      <c r="K21" s="124">
        <v>1</v>
      </c>
      <c r="L21" s="125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64"/>
      <c r="AE21" s="152" t="str">
        <f>IF($AF$7&gt;=2,"DayCount", "")</f>
        <v/>
      </c>
      <c r="AF21" s="152"/>
      <c r="AG21" s="139">
        <v>0</v>
      </c>
      <c r="AH21" s="139"/>
      <c r="AI21" s="154"/>
      <c r="AJ21" s="154"/>
      <c r="AK21" s="120" t="str">
        <f>IF(OR(AG20 = 0, AG20 = 2, AG20 = 4,AG23=1), "", "만기")</f>
        <v/>
      </c>
      <c r="AL21" s="121"/>
      <c r="AM21" s="124">
        <v>5</v>
      </c>
      <c r="AN21" s="125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149999999999999" customHeight="1" x14ac:dyDescent="0.3">
      <c r="A22" s="42">
        <f t="shared" si="1"/>
        <v>22</v>
      </c>
      <c r="B22" s="129"/>
      <c r="C22" s="126" t="str">
        <f>IF($D$7&gt;=2,"금리결정조건Multiple", "")</f>
        <v>금리결정조건Multiple</v>
      </c>
      <c r="D22" s="127"/>
      <c r="E22" s="116">
        <v>1</v>
      </c>
      <c r="F22" s="116"/>
      <c r="G22" s="140" t="str">
        <f>IF(OR(E20 = 0, E20 = 2, E20 = 4), "", "ex) Zero Rate 5년 -&gt; 연 지급횟수= 0, 만기= 5 // CD91일 -&gt; 연 지급횟수= 4, 만기= 0.25")</f>
        <v/>
      </c>
      <c r="H22" s="140"/>
      <c r="I22" s="140"/>
      <c r="J22" s="140"/>
      <c r="K22" s="140"/>
      <c r="L22" s="141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64"/>
      <c r="AE22" s="152" t="str">
        <f>IF($AF$7&gt;=2,"금리결정조건Multiple", "")</f>
        <v/>
      </c>
      <c r="AF22" s="153"/>
      <c r="AG22" s="116">
        <v>1</v>
      </c>
      <c r="AH22" s="116"/>
      <c r="AI22" s="140" t="str">
        <f>IF(OR(AG20 = 0, AG20 = 2, AG20 = 4), "", "ex) Zero Rate 5년 -&gt; 연 지급횟수= 0, 만기= 5 // CD91일 -&gt; 연 지급횟수= 4, 만기= 0.25")</f>
        <v/>
      </c>
      <c r="AJ22" s="140"/>
      <c r="AK22" s="140"/>
      <c r="AL22" s="140"/>
      <c r="AM22" s="140"/>
      <c r="AN22" s="141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149999999999999" customHeight="1" x14ac:dyDescent="0.3">
      <c r="A23" s="42">
        <f t="shared" si="1"/>
        <v>23</v>
      </c>
      <c r="B23" s="129"/>
      <c r="C23" s="156" t="str">
        <f>IF($D$7&gt;=2,"Power Spread Flag", "")</f>
        <v>Power Spread Flag</v>
      </c>
      <c r="D23" s="156"/>
      <c r="E23" s="139">
        <v>0</v>
      </c>
      <c r="F23" s="139"/>
      <c r="G23" s="117" t="str">
        <f>IF(E23&gt;0,"PowerSpreadFlag 1일때 입력","입력필요X")</f>
        <v>입력필요X</v>
      </c>
      <c r="H23" s="117"/>
      <c r="I23" s="117" t="str">
        <f>IF(E23&gt;0,"만기1","")</f>
        <v/>
      </c>
      <c r="J23" s="117"/>
      <c r="K23" s="118">
        <v>10</v>
      </c>
      <c r="L23" s="119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64"/>
      <c r="AE23" s="150" t="str">
        <f>IF($AF$7&gt;=2,"Power Spread Flag", "")</f>
        <v/>
      </c>
      <c r="AF23" s="150"/>
      <c r="AG23" s="139">
        <v>0</v>
      </c>
      <c r="AH23" s="139"/>
      <c r="AI23" s="151" t="str">
        <f>IF(AG23&gt;0,"PowerSpreadFlag 1일때 입력","입력필요X")</f>
        <v>입력필요X</v>
      </c>
      <c r="AJ23" s="151"/>
      <c r="AK23" s="151" t="str">
        <f>IF(AG23&gt;0,"만기1","")</f>
        <v/>
      </c>
      <c r="AL23" s="151"/>
      <c r="AM23" s="118">
        <v>10</v>
      </c>
      <c r="AN23" s="119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149999999999999" customHeight="1" x14ac:dyDescent="0.3">
      <c r="A24" s="42">
        <f t="shared" si="1"/>
        <v>24</v>
      </c>
      <c r="B24" s="129" t="str">
        <f>IF($D$7&gt;1, "사용", "커브개수"&amp;"="&amp;$D$7&amp;"이므로 사용안함")</f>
        <v>사용</v>
      </c>
      <c r="C24" s="156" t="str">
        <f>IF($D$7&gt;=2,"Range상한", "")</f>
        <v>Range상한</v>
      </c>
      <c r="D24" s="156"/>
      <c r="E24" s="159">
        <v>0.03</v>
      </c>
      <c r="F24" s="159"/>
      <c r="G24" s="117"/>
      <c r="H24" s="117"/>
      <c r="I24" s="117" t="str">
        <f>IF(E23&gt;0,"만기2","")</f>
        <v/>
      </c>
      <c r="J24" s="117"/>
      <c r="K24" s="118">
        <v>5</v>
      </c>
      <c r="L24" s="119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64" t="str">
        <f>IF($AF$7&gt;1, "사용", "커브개수"&amp;"="&amp;$AF$7&amp;"이므로 사용안함")</f>
        <v>커브개수=1이므로 사용안함</v>
      </c>
      <c r="AE24" s="150" t="str">
        <f>IF($AF$7&gt;=2,"Range상한", "")</f>
        <v/>
      </c>
      <c r="AF24" s="150"/>
      <c r="AG24" s="159">
        <v>0.5</v>
      </c>
      <c r="AH24" s="159"/>
      <c r="AI24" s="151"/>
      <c r="AJ24" s="151"/>
      <c r="AK24" s="151" t="str">
        <f>IF(AG23&gt;0,"만기2","")</f>
        <v/>
      </c>
      <c r="AL24" s="151"/>
      <c r="AM24" s="118">
        <v>5</v>
      </c>
      <c r="AN24" s="119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149999999999999" customHeight="1" x14ac:dyDescent="0.3">
      <c r="A25" s="42">
        <f t="shared" si="1"/>
        <v>25</v>
      </c>
      <c r="B25" s="129"/>
      <c r="C25" s="156" t="str">
        <f>IF($D$7&gt;=2,"Range하한", "")</f>
        <v>Range하한</v>
      </c>
      <c r="D25" s="126"/>
      <c r="E25" s="158">
        <v>-0.01</v>
      </c>
      <c r="F25" s="158"/>
      <c r="G25" s="160"/>
      <c r="H25" s="160"/>
      <c r="I25" s="135" t="str">
        <f>IF(E23&gt;0,"Spread1","")</f>
        <v/>
      </c>
      <c r="J25" s="135"/>
      <c r="K25" s="136" t="str">
        <f>IF(E23&gt;0, I23&amp;"-"&amp;I24, "")</f>
        <v/>
      </c>
      <c r="L25" s="137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64"/>
      <c r="AE25" s="150" t="str">
        <f>IF($AF$7&gt;=2,"Range하한", "")</f>
        <v/>
      </c>
      <c r="AF25" s="152"/>
      <c r="AG25" s="158">
        <v>-0.1</v>
      </c>
      <c r="AH25" s="158"/>
      <c r="AI25" s="168"/>
      <c r="AJ25" s="168"/>
      <c r="AK25" s="165" t="str">
        <f>IF(AG23&gt;0,"Spread1","")</f>
        <v/>
      </c>
      <c r="AL25" s="165"/>
      <c r="AM25" s="166" t="str">
        <f>IF(AG23&gt;0, AK23&amp;"-"&amp;AK24, "")</f>
        <v/>
      </c>
      <c r="AN25" s="167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149999999999999" customHeight="1" x14ac:dyDescent="0.3">
      <c r="A26" s="42">
        <f t="shared" si="1"/>
        <v>26</v>
      </c>
      <c r="B26" s="41"/>
      <c r="C26" s="157" t="str">
        <f>IF($D$7&gt;=2,"Payoff조건Multiple", "")</f>
        <v>Payoff조건Multiple</v>
      </c>
      <c r="D26" s="157"/>
      <c r="E26" s="171">
        <v>0</v>
      </c>
      <c r="F26" s="171"/>
      <c r="G26" s="173" t="str">
        <f>IF(E23&gt;0,"예시) 10년-5년 스왑: 연 지급횟수=4, 만기1=10, 만기2=5 // 10년-5년 Zero: 연 지급횟수=0","")</f>
        <v/>
      </c>
      <c r="H26" s="173"/>
      <c r="I26" s="173"/>
      <c r="J26" s="173"/>
      <c r="K26" s="173"/>
      <c r="L26" s="174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98" t="str">
        <f>IF($AF$7&gt;=2,"Payoff조건Multiple", "")</f>
        <v/>
      </c>
      <c r="AF26" s="98"/>
      <c r="AG26" s="171">
        <v>0</v>
      </c>
      <c r="AH26" s="171"/>
      <c r="AI26" s="173" t="str">
        <f>IF(AG23&gt;0,"예시) 10년-5년 스왑: 연 지급횟수=4, 만기1=10, 만기2=5 // 10년-5년 Zero: 연 지급횟수=0","")</f>
        <v/>
      </c>
      <c r="AJ26" s="173"/>
      <c r="AK26" s="173"/>
      <c r="AL26" s="173"/>
      <c r="AM26" s="173"/>
      <c r="AN26" s="174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149999999999999" customHeight="1" x14ac:dyDescent="0.3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149999999999999" customHeight="1" thickBot="1" x14ac:dyDescent="0.35">
      <c r="A28" s="42">
        <f t="shared" si="1"/>
        <v>28</v>
      </c>
      <c r="B28" s="128" t="str">
        <f>IF($D$7&gt;=3,"기초금리3", "")</f>
        <v/>
      </c>
      <c r="C28" s="144" t="str">
        <f>IF($D$7&gt;=3,"커브번호", "")</f>
        <v/>
      </c>
      <c r="D28" s="144"/>
      <c r="E28" s="145">
        <v>3</v>
      </c>
      <c r="F28" s="145"/>
      <c r="G28" s="45"/>
      <c r="H28" s="45"/>
      <c r="I28" s="169" t="str">
        <f>IF(OR(E29 = 0, E29 = 2, E29 = 4), "RefType = "&amp;E29&amp;" 이므로 Ref Swap 금리정보 사용안함", "사용")</f>
        <v>RefType = 0 이므로 Ref Swap 금리정보 사용안함</v>
      </c>
      <c r="J28" s="169"/>
      <c r="K28" s="169"/>
      <c r="L28" s="170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09" t="str">
        <f>IF($AF$7&gt;=3,"기초금리3", "")</f>
        <v/>
      </c>
      <c r="AE28" s="97" t="str">
        <f>IF($AF$7&gt;=3,"커브번호", "")</f>
        <v/>
      </c>
      <c r="AF28" s="97"/>
      <c r="AG28" s="145">
        <v>3</v>
      </c>
      <c r="AH28" s="145"/>
      <c r="AI28" s="45"/>
      <c r="AJ28" s="45"/>
      <c r="AK28" s="162" t="str">
        <f>IF(OR(AG29 = 0, AG29 = 2, AG29 = 4), "RefType = "&amp;AG29&amp;" 이므로 Ref Swap 금리정보 사용안함", "사용")</f>
        <v>RefType = 0 이므로 Ref Swap 금리정보 사용안함</v>
      </c>
      <c r="AL28" s="162"/>
      <c r="AM28" s="162"/>
      <c r="AN28" s="163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149999999999999" customHeight="1" thickBot="1" x14ac:dyDescent="0.35">
      <c r="A29" s="42">
        <f t="shared" si="1"/>
        <v>29</v>
      </c>
      <c r="B29" s="129"/>
      <c r="C29" s="126" t="str">
        <f>IF($D$7&gt;=3,"Reference Rate Type", "")</f>
        <v/>
      </c>
      <c r="D29" s="127"/>
      <c r="E29" s="138">
        <v>0</v>
      </c>
      <c r="F29" s="138"/>
      <c r="G29" s="120" t="str">
        <f>IF(OR(E29 = 0, E29 = 2, E29 = 4), "", "Zero/Swap 레퍼런스금리정보")</f>
        <v/>
      </c>
      <c r="H29" s="120"/>
      <c r="I29" s="120" t="str">
        <f>IF(OR(E29 = 0, E29 = 2, E29 = 4), "", "연 지급횟수")</f>
        <v/>
      </c>
      <c r="J29" s="121"/>
      <c r="K29" s="122">
        <v>4</v>
      </c>
      <c r="L29" s="123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64"/>
      <c r="AE29" s="152" t="str">
        <f>IF($AF$7&gt;=3,"Reference Rate Type", "")</f>
        <v/>
      </c>
      <c r="AF29" s="153"/>
      <c r="AG29" s="138">
        <v>0</v>
      </c>
      <c r="AH29" s="138"/>
      <c r="AI29" s="154" t="str">
        <f>IF(OR(AG29 = 0, AG29 = 2, AG29 = 4), "", "Zero/Swap 레퍼런스금리정보")</f>
        <v/>
      </c>
      <c r="AJ29" s="154"/>
      <c r="AK29" s="154" t="str">
        <f>IF(OR(AG29 = 0, AG29 = 2, AG29 = 4), "", "연 지급횟수")</f>
        <v/>
      </c>
      <c r="AL29" s="155"/>
      <c r="AM29" s="122">
        <v>4</v>
      </c>
      <c r="AN29" s="123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149999999999999" customHeight="1" x14ac:dyDescent="0.3">
      <c r="A30" s="42">
        <f t="shared" si="1"/>
        <v>30</v>
      </c>
      <c r="B30" s="129"/>
      <c r="C30" s="126" t="str">
        <f>IF($D$7&gt;=3,"DayCount", "")</f>
        <v/>
      </c>
      <c r="D30" s="126"/>
      <c r="E30" s="139">
        <v>0</v>
      </c>
      <c r="F30" s="139"/>
      <c r="G30" s="120"/>
      <c r="H30" s="120"/>
      <c r="I30" s="120" t="str">
        <f>IF(OR(E29 = 0, E29 = 2, E29 = 4,E32=1), "", "만기")</f>
        <v/>
      </c>
      <c r="J30" s="121"/>
      <c r="K30" s="124">
        <v>5</v>
      </c>
      <c r="L30" s="125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64"/>
      <c r="AE30" s="152" t="str">
        <f>IF($AF$7&gt;=3,"DayCount", "")</f>
        <v/>
      </c>
      <c r="AF30" s="152"/>
      <c r="AG30" s="139">
        <v>0</v>
      </c>
      <c r="AH30" s="139"/>
      <c r="AI30" s="154"/>
      <c r="AJ30" s="154"/>
      <c r="AK30" s="120" t="str">
        <f>IF(OR(AG29 = 0, AG29 = 2, AG29 = 4,AG32=1), "", "만기")</f>
        <v/>
      </c>
      <c r="AL30" s="121"/>
      <c r="AM30" s="124">
        <v>5</v>
      </c>
      <c r="AN30" s="125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149999999999999" customHeight="1" x14ac:dyDescent="0.3">
      <c r="A31" s="42">
        <f t="shared" si="1"/>
        <v>31</v>
      </c>
      <c r="B31" s="129"/>
      <c r="C31" s="126" t="str">
        <f>IF($D$7&gt;=3,"금리결정조건Multiple", "")</f>
        <v/>
      </c>
      <c r="D31" s="127"/>
      <c r="E31" s="116">
        <v>1</v>
      </c>
      <c r="F31" s="116"/>
      <c r="G31" s="140" t="str">
        <f>IF(OR(E29 = 0, E29 = 2, E29 = 4), "", "ex) Zero Rate 5년 -&gt; 연 지급횟수= 0, 만기= 5 // CD91일 -&gt; 연 지급횟수= 4, 만기= 0.25")</f>
        <v/>
      </c>
      <c r="H31" s="140"/>
      <c r="I31" s="140"/>
      <c r="J31" s="140"/>
      <c r="K31" s="140"/>
      <c r="L31" s="141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64"/>
      <c r="AE31" s="152" t="str">
        <f>IF($AF$7&gt;=3,"금리결정조건Multiple", "")</f>
        <v/>
      </c>
      <c r="AF31" s="153"/>
      <c r="AG31" s="116">
        <v>1</v>
      </c>
      <c r="AH31" s="116"/>
      <c r="AI31" s="140" t="str">
        <f>IF(OR(AG29 = 0, AG29 = 2, AG29 = 4), "", "ex) Zero Rate 5년 -&gt; 연 지급횟수= 0, 만기= 5 // CD91일 -&gt; 연 지급횟수= 4, 만기= 0.25")</f>
        <v/>
      </c>
      <c r="AJ31" s="140"/>
      <c r="AK31" s="140"/>
      <c r="AL31" s="140"/>
      <c r="AM31" s="140"/>
      <c r="AN31" s="141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149999999999999" customHeight="1" x14ac:dyDescent="0.3">
      <c r="A32" s="42">
        <f t="shared" si="1"/>
        <v>32</v>
      </c>
      <c r="B32" s="129"/>
      <c r="C32" s="156" t="str">
        <f>IF($D$7&gt;=3,"Power Spread Flag", "")</f>
        <v/>
      </c>
      <c r="D32" s="156"/>
      <c r="E32" s="139">
        <v>0</v>
      </c>
      <c r="F32" s="139"/>
      <c r="G32" s="117" t="str">
        <f>IF(E32&gt;0,"PowerSpreadFlag 1일때 입력","입력필요X")</f>
        <v>입력필요X</v>
      </c>
      <c r="H32" s="117"/>
      <c r="I32" s="117" t="str">
        <f>IF(E32&gt;0,"만기1","")</f>
        <v/>
      </c>
      <c r="J32" s="117"/>
      <c r="K32" s="118">
        <v>10</v>
      </c>
      <c r="L32" s="119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64"/>
      <c r="AE32" s="150" t="str">
        <f>IF($AF$7&gt;=3,"Power Spread Flag", "")</f>
        <v/>
      </c>
      <c r="AF32" s="150"/>
      <c r="AG32" s="139">
        <v>0</v>
      </c>
      <c r="AH32" s="139"/>
      <c r="AI32" s="151" t="str">
        <f>IF(AG32&gt;0,"PowerSpreadFlag 1일때 입력","입력필요X")</f>
        <v>입력필요X</v>
      </c>
      <c r="AJ32" s="151"/>
      <c r="AK32" s="151" t="str">
        <f>IF(AG32&gt;0,"만기1","")</f>
        <v/>
      </c>
      <c r="AL32" s="151"/>
      <c r="AM32" s="118">
        <v>10</v>
      </c>
      <c r="AN32" s="119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149999999999999" customHeight="1" x14ac:dyDescent="0.3">
      <c r="A33" s="42">
        <f t="shared" si="1"/>
        <v>33</v>
      </c>
      <c r="B33" s="129" t="str">
        <f>IF($D$7&gt;2, "사용", "커브개수"&amp;"="&amp;$D$7&amp;"이므로 사용안함")</f>
        <v>커브개수=2이므로 사용안함</v>
      </c>
      <c r="C33" s="156" t="str">
        <f>IF($D$7&gt;=3,"Range상한", "")</f>
        <v/>
      </c>
      <c r="D33" s="156"/>
      <c r="E33" s="159">
        <v>0.5</v>
      </c>
      <c r="F33" s="159"/>
      <c r="G33" s="117"/>
      <c r="H33" s="117"/>
      <c r="I33" s="117" t="str">
        <f>IF(E32&gt;0,"만기2","")</f>
        <v/>
      </c>
      <c r="J33" s="117"/>
      <c r="K33" s="118">
        <v>5</v>
      </c>
      <c r="L33" s="119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64" t="str">
        <f>IF($AF$7&gt;2, "사용", "커브개수"&amp;"="&amp;$AF$7&amp;"이므로 사용안함")</f>
        <v>커브개수=1이므로 사용안함</v>
      </c>
      <c r="AE33" s="150" t="str">
        <f>IF($AF$7&gt;=3,"Range상한", "")</f>
        <v/>
      </c>
      <c r="AF33" s="150"/>
      <c r="AG33" s="159">
        <v>0.5</v>
      </c>
      <c r="AH33" s="159"/>
      <c r="AI33" s="151"/>
      <c r="AJ33" s="151"/>
      <c r="AK33" s="151" t="str">
        <f>IF(AG32&gt;0,"만기2","")</f>
        <v/>
      </c>
      <c r="AL33" s="151"/>
      <c r="AM33" s="118">
        <v>5</v>
      </c>
      <c r="AN33" s="119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149999999999999" customHeight="1" x14ac:dyDescent="0.3">
      <c r="A34" s="42">
        <f t="shared" si="1"/>
        <v>34</v>
      </c>
      <c r="B34" s="129"/>
      <c r="C34" s="156" t="str">
        <f>IF($D$7&gt;=3,"Range하한", "")</f>
        <v/>
      </c>
      <c r="D34" s="126"/>
      <c r="E34" s="158">
        <v>-0.1</v>
      </c>
      <c r="F34" s="158"/>
      <c r="G34" s="160"/>
      <c r="H34" s="160"/>
      <c r="I34" s="135" t="str">
        <f>IF(E32&gt;0,"Spread1","")</f>
        <v/>
      </c>
      <c r="J34" s="135"/>
      <c r="K34" s="136" t="str">
        <f>IF(E32&gt;0, I32&amp;"-"&amp;I33, "")</f>
        <v/>
      </c>
      <c r="L34" s="137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64"/>
      <c r="AE34" s="150" t="str">
        <f>IF($AF$7&gt;=3,"Range하한", "")</f>
        <v/>
      </c>
      <c r="AF34" s="152"/>
      <c r="AG34" s="158">
        <v>-0.1</v>
      </c>
      <c r="AH34" s="158"/>
      <c r="AI34" s="168"/>
      <c r="AJ34" s="168"/>
      <c r="AK34" s="165" t="str">
        <f>IF(AG32&gt;0,"Spread1","")</f>
        <v/>
      </c>
      <c r="AL34" s="165"/>
      <c r="AM34" s="166" t="str">
        <f>IF(AG32&gt;0, AK32&amp;"-"&amp;AK33, "")</f>
        <v/>
      </c>
      <c r="AN34" s="167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149999999999999" customHeight="1" x14ac:dyDescent="0.3">
      <c r="A35" s="42">
        <f t="shared" si="1"/>
        <v>35</v>
      </c>
      <c r="B35" s="41"/>
      <c r="C35" s="157" t="str">
        <f>IF($D$7&gt;=3,"Payoff조건Multiple", "")</f>
        <v/>
      </c>
      <c r="D35" s="157"/>
      <c r="E35" s="171">
        <v>0</v>
      </c>
      <c r="F35" s="171"/>
      <c r="G35" s="173" t="str">
        <f>IF(E32&gt;0,"예시) 10년-5년 스왑: 연 지급횟수=4, 만기1=10, 만기2=5 // 10년-5년 Zero: 연 지급횟수=0","")</f>
        <v/>
      </c>
      <c r="H35" s="173"/>
      <c r="I35" s="173"/>
      <c r="J35" s="173"/>
      <c r="K35" s="173"/>
      <c r="L35" s="174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98" t="str">
        <f>IF($AF$7&gt;=3,"Payoff조건Multiple", "")</f>
        <v/>
      </c>
      <c r="AF35" s="98"/>
      <c r="AG35" s="171">
        <v>0</v>
      </c>
      <c r="AH35" s="171"/>
      <c r="AI35" s="173" t="str">
        <f>IF(AG32&gt;0,"예시) 10년-5년 스왑: 연 지급횟수=4, 만기1=10, 만기2=5 // 10년-5년 Zero: 연 지급횟수=0","")</f>
        <v/>
      </c>
      <c r="AJ35" s="173"/>
      <c r="AK35" s="173"/>
      <c r="AL35" s="173"/>
      <c r="AM35" s="173"/>
      <c r="AN35" s="174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149999999999999" customHeight="1" x14ac:dyDescent="0.3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149999999999999" customHeight="1" x14ac:dyDescent="0.3">
      <c r="A37" s="42">
        <f t="shared" si="1"/>
        <v>37</v>
      </c>
      <c r="B37" s="94" t="s">
        <v>47</v>
      </c>
      <c r="C37" s="97" t="s">
        <v>33</v>
      </c>
      <c r="D37" s="97"/>
      <c r="E37" s="99">
        <v>1</v>
      </c>
      <c r="F37" s="100"/>
      <c r="G37" s="43"/>
      <c r="H37" s="109" t="s">
        <v>50</v>
      </c>
      <c r="I37" s="94"/>
      <c r="J37" s="110">
        <v>0</v>
      </c>
      <c r="K37" s="110"/>
      <c r="L37" s="111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94" t="s">
        <v>47</v>
      </c>
      <c r="AE37" s="97" t="s">
        <v>33</v>
      </c>
      <c r="AF37" s="97"/>
      <c r="AG37" s="99">
        <v>1</v>
      </c>
      <c r="AH37" s="100"/>
      <c r="AJ37" s="109" t="s">
        <v>50</v>
      </c>
      <c r="AK37" s="94"/>
      <c r="AL37" s="110">
        <v>0</v>
      </c>
      <c r="AM37" s="110"/>
      <c r="AN37" s="111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149999999999999" customHeight="1" x14ac:dyDescent="0.3">
      <c r="A38" s="42">
        <f t="shared" si="1"/>
        <v>38</v>
      </c>
      <c r="B38" s="95"/>
      <c r="C38" s="98"/>
      <c r="D38" s="98"/>
      <c r="E38" s="101"/>
      <c r="F38" s="102"/>
      <c r="G38" s="43"/>
      <c r="H38" s="91" t="s">
        <v>51</v>
      </c>
      <c r="I38" s="92"/>
      <c r="J38" s="92"/>
      <c r="K38" s="92"/>
      <c r="L38" s="93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95"/>
      <c r="AE38" s="98"/>
      <c r="AF38" s="98"/>
      <c r="AG38" s="101"/>
      <c r="AH38" s="102"/>
      <c r="AJ38" s="91" t="s">
        <v>51</v>
      </c>
      <c r="AK38" s="92"/>
      <c r="AL38" s="92"/>
      <c r="AM38" s="92"/>
      <c r="AN38" s="93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149999999999999" customHeight="1" x14ac:dyDescent="0.3">
      <c r="A39" s="42">
        <f t="shared" si="1"/>
        <v>39</v>
      </c>
      <c r="B39" s="95"/>
      <c r="C39" s="96"/>
      <c r="D39" s="96"/>
      <c r="E39" s="96"/>
      <c r="F39" s="96"/>
      <c r="G39" s="43"/>
      <c r="H39" s="106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07"/>
      <c r="J39" s="107"/>
      <c r="K39" s="107"/>
      <c r="L39" s="108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95"/>
      <c r="AE39" s="96"/>
      <c r="AF39" s="96"/>
      <c r="AG39" s="96"/>
      <c r="AH39" s="96"/>
      <c r="AJ39" s="103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04"/>
      <c r="AL39" s="104"/>
      <c r="AM39" s="104"/>
      <c r="AN39" s="105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149999999999999" customHeight="1" x14ac:dyDescent="0.3">
      <c r="A40" s="42">
        <f t="shared" si="1"/>
        <v>40</v>
      </c>
      <c r="B40" s="43"/>
      <c r="C40" s="43"/>
      <c r="D40" s="43"/>
      <c r="E40" s="43"/>
      <c r="F40" s="43"/>
      <c r="G40" s="43"/>
      <c r="H40" s="91" t="s">
        <v>52</v>
      </c>
      <c r="I40" s="92"/>
      <c r="J40" s="92"/>
      <c r="K40" s="92"/>
      <c r="L40" s="93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91" t="s">
        <v>52</v>
      </c>
      <c r="AK40" s="92"/>
      <c r="AL40" s="92"/>
      <c r="AM40" s="92"/>
      <c r="AN40" s="93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149999999999999" customHeight="1" x14ac:dyDescent="0.3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149999999999999" customHeight="1" x14ac:dyDescent="0.3">
      <c r="A42" s="42">
        <f t="shared" si="1"/>
        <v>42</v>
      </c>
      <c r="B42" s="172" t="s">
        <v>95</v>
      </c>
      <c r="C42" s="172"/>
      <c r="D42" s="172"/>
      <c r="E42" s="172"/>
      <c r="F42" s="172"/>
      <c r="G42" s="172"/>
      <c r="H42" s="172"/>
      <c r="I42" s="172"/>
      <c r="J42" s="172"/>
      <c r="K42" s="172"/>
      <c r="L42" s="172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149999999999999" customHeight="1" x14ac:dyDescent="0.3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149999999999999" customHeight="1" x14ac:dyDescent="0.3">
      <c r="A44" s="42">
        <f t="shared" si="1"/>
        <v>44</v>
      </c>
      <c r="B44" s="47">
        <f>N13+20</f>
        <v>44529</v>
      </c>
      <c r="C44" s="71">
        <v>1</v>
      </c>
      <c r="D44" s="48">
        <v>0.5</v>
      </c>
      <c r="E44" s="48">
        <v>-0.1</v>
      </c>
      <c r="F44" s="48">
        <v>0.5</v>
      </c>
      <c r="G44" s="48">
        <v>-0.1</v>
      </c>
      <c r="H44" s="48">
        <v>0.5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149999999999999" customHeight="1" x14ac:dyDescent="0.3">
      <c r="A45" s="42">
        <f t="shared" si="1"/>
        <v>45</v>
      </c>
      <c r="B45" s="47">
        <v>44796</v>
      </c>
      <c r="C45" s="71">
        <v>1</v>
      </c>
      <c r="D45" s="75">
        <v>0.5</v>
      </c>
      <c r="E45" s="75">
        <f t="shared" ref="E45:I45" si="16">E44</f>
        <v>-0.1</v>
      </c>
      <c r="F45" s="75">
        <f t="shared" si="16"/>
        <v>0.5</v>
      </c>
      <c r="G45" s="75">
        <f t="shared" si="16"/>
        <v>-0.1</v>
      </c>
      <c r="H45" s="75">
        <f t="shared" si="16"/>
        <v>0.5</v>
      </c>
      <c r="I45" s="75">
        <f t="shared" si="16"/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149999999999999" customHeight="1" x14ac:dyDescent="0.3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149999999999999" customHeight="1" x14ac:dyDescent="0.3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149999999999999" customHeight="1" x14ac:dyDescent="0.3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149999999999999" customHeight="1" x14ac:dyDescent="0.3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149999999999999" customHeight="1" x14ac:dyDescent="0.3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149999999999999" customHeight="1" x14ac:dyDescent="0.3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149999999999999" customHeight="1" x14ac:dyDescent="0.3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149999999999999" customHeight="1" x14ac:dyDescent="0.3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149999999999999" customHeight="1" x14ac:dyDescent="0.3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149999999999999" customHeight="1" x14ac:dyDescent="0.3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149999999999999" customHeight="1" x14ac:dyDescent="0.3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149999999999999" customHeight="1" x14ac:dyDescent="0.3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149999999999999" customHeight="1" x14ac:dyDescent="0.3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149999999999999" customHeight="1" x14ac:dyDescent="0.3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149999999999999" customHeight="1" x14ac:dyDescent="0.3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149999999999999" customHeight="1" x14ac:dyDescent="0.3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149999999999999" customHeight="1" x14ac:dyDescent="0.3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149999999999999" customHeight="1" x14ac:dyDescent="0.3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149999999999999" customHeight="1" x14ac:dyDescent="0.3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149999999999999" customHeight="1" x14ac:dyDescent="0.3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149999999999999" customHeight="1" x14ac:dyDescent="0.3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149999999999999" customHeight="1" x14ac:dyDescent="0.3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149999999999999" customHeight="1" x14ac:dyDescent="0.3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149999999999999" customHeight="1" x14ac:dyDescent="0.3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149999999999999" customHeight="1" x14ac:dyDescent="0.3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149999999999999" customHeight="1" x14ac:dyDescent="0.3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149999999999999" customHeight="1" x14ac:dyDescent="0.3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149999999999999" customHeight="1" x14ac:dyDescent="0.3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149999999999999" customHeight="1" x14ac:dyDescent="0.3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149999999999999" customHeight="1" x14ac:dyDescent="0.3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149999999999999" customHeight="1" x14ac:dyDescent="0.3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149999999999999" customHeight="1" x14ac:dyDescent="0.3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149999999999999" customHeight="1" x14ac:dyDescent="0.3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149999999999999" customHeight="1" x14ac:dyDescent="0.3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149999999999999" customHeight="1" x14ac:dyDescent="0.3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149999999999999" customHeight="1" x14ac:dyDescent="0.3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149999999999999" customHeight="1" x14ac:dyDescent="0.3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149999999999999" customHeight="1" x14ac:dyDescent="0.3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149999999999999" customHeight="1" x14ac:dyDescent="0.3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149999999999999" customHeight="1" x14ac:dyDescent="0.3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149999999999999" customHeight="1" x14ac:dyDescent="0.3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149999999999999" customHeight="1" x14ac:dyDescent="0.3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149999999999999" customHeight="1" x14ac:dyDescent="0.3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149999999999999" customHeight="1" x14ac:dyDescent="0.3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149999999999999" customHeight="1" x14ac:dyDescent="0.3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149999999999999" customHeight="1" x14ac:dyDescent="0.3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149999999999999" customHeight="1" x14ac:dyDescent="0.3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149999999999999" customHeight="1" x14ac:dyDescent="0.3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149999999999999" customHeight="1" x14ac:dyDescent="0.3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149999999999999" customHeight="1" x14ac:dyDescent="0.3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149999999999999" customHeight="1" x14ac:dyDescent="0.3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149999999999999" customHeight="1" x14ac:dyDescent="0.3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149999999999999" customHeight="1" x14ac:dyDescent="0.3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149999999999999" customHeight="1" x14ac:dyDescent="0.3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149999999999999" customHeight="1" x14ac:dyDescent="0.3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149999999999999" customHeight="1" x14ac:dyDescent="0.3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149999999999999" customHeight="1" x14ac:dyDescent="0.3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149999999999999" customHeight="1" x14ac:dyDescent="0.3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149999999999999" customHeight="1" x14ac:dyDescent="0.3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149999999999999" customHeight="1" x14ac:dyDescent="0.3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149999999999999" customHeight="1" x14ac:dyDescent="0.3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149999999999999" customHeight="1" x14ac:dyDescent="0.3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149999999999999" customHeight="1" x14ac:dyDescent="0.3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149999999999999" customHeight="1" x14ac:dyDescent="0.3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149999999999999" customHeight="1" x14ac:dyDescent="0.3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149999999999999" customHeight="1" x14ac:dyDescent="0.3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149999999999999" customHeight="1" x14ac:dyDescent="0.3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149999999999999" customHeight="1" x14ac:dyDescent="0.3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149999999999999" customHeight="1" x14ac:dyDescent="0.3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149999999999999" customHeight="1" x14ac:dyDescent="0.3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149999999999999" customHeight="1" x14ac:dyDescent="0.3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149999999999999" customHeight="1" x14ac:dyDescent="0.3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149999999999999" customHeight="1" x14ac:dyDescent="0.3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149999999999999" customHeight="1" x14ac:dyDescent="0.3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149999999999999" customHeight="1" x14ac:dyDescent="0.3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149999999999999" customHeight="1" x14ac:dyDescent="0.3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149999999999999" customHeight="1" x14ac:dyDescent="0.3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149999999999999" customHeight="1" x14ac:dyDescent="0.3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149999999999999" customHeight="1" x14ac:dyDescent="0.3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149999999999999" customHeight="1" x14ac:dyDescent="0.3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149999999999999" customHeight="1" x14ac:dyDescent="0.3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149999999999999" customHeight="1" x14ac:dyDescent="0.3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149999999999999" customHeight="1" x14ac:dyDescent="0.3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149999999999999" customHeight="1" x14ac:dyDescent="0.3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149999999999999" customHeight="1" x14ac:dyDescent="0.3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149999999999999" customHeight="1" x14ac:dyDescent="0.3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149999999999999" customHeight="1" x14ac:dyDescent="0.3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149999999999999" customHeight="1" x14ac:dyDescent="0.3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149999999999999" customHeight="1" x14ac:dyDescent="0.3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149999999999999" customHeight="1" x14ac:dyDescent="0.3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149999999999999" customHeight="1" x14ac:dyDescent="0.3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149999999999999" customHeight="1" x14ac:dyDescent="0.3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149999999999999" customHeight="1" x14ac:dyDescent="0.3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149999999999999" customHeight="1" x14ac:dyDescent="0.3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149999999999999" customHeight="1" x14ac:dyDescent="0.3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149999999999999" customHeight="1" x14ac:dyDescent="0.3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149999999999999" customHeight="1" x14ac:dyDescent="0.3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149999999999999" customHeight="1" x14ac:dyDescent="0.3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149999999999999" customHeight="1" x14ac:dyDescent="0.3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149999999999999" customHeight="1" x14ac:dyDescent="0.3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149999999999999" customHeight="1" x14ac:dyDescent="0.3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149999999999999" customHeight="1" x14ac:dyDescent="0.3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149999999999999" customHeight="1" x14ac:dyDescent="0.3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149999999999999" customHeight="1" x14ac:dyDescent="0.3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149999999999999" customHeight="1" x14ac:dyDescent="0.3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149999999999999" customHeight="1" x14ac:dyDescent="0.3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149999999999999" customHeight="1" x14ac:dyDescent="0.3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149999999999999" customHeight="1" x14ac:dyDescent="0.3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149999999999999" customHeight="1" x14ac:dyDescent="0.3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149999999999999" customHeight="1" x14ac:dyDescent="0.3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149999999999999" customHeight="1" x14ac:dyDescent="0.3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149999999999999" customHeight="1" x14ac:dyDescent="0.3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149999999999999" customHeight="1" x14ac:dyDescent="0.3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149999999999999" customHeight="1" x14ac:dyDescent="0.3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149999999999999" customHeight="1" x14ac:dyDescent="0.3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149999999999999" customHeight="1" x14ac:dyDescent="0.3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149999999999999" customHeight="1" x14ac:dyDescent="0.3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149999999999999" customHeight="1" x14ac:dyDescent="0.3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149999999999999" customHeight="1" x14ac:dyDescent="0.3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149999999999999" customHeight="1" x14ac:dyDescent="0.3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149999999999999" customHeight="1" x14ac:dyDescent="0.3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149999999999999" customHeight="1" x14ac:dyDescent="0.3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149999999999999" customHeight="1" x14ac:dyDescent="0.3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149999999999999" customHeight="1" x14ac:dyDescent="0.3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149999999999999" customHeight="1" x14ac:dyDescent="0.3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149999999999999" customHeight="1" x14ac:dyDescent="0.3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149999999999999" customHeight="1" x14ac:dyDescent="0.3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149999999999999" customHeight="1" x14ac:dyDescent="0.3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149999999999999" customHeight="1" x14ac:dyDescent="0.3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149999999999999" customHeight="1" x14ac:dyDescent="0.3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149999999999999" customHeight="1" x14ac:dyDescent="0.3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149999999999999" customHeight="1" x14ac:dyDescent="0.3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149999999999999" customHeight="1" x14ac:dyDescent="0.3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149999999999999" customHeight="1" x14ac:dyDescent="0.3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149999999999999" customHeight="1" x14ac:dyDescent="0.3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149999999999999" customHeight="1" x14ac:dyDescent="0.3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149999999999999" customHeight="1" x14ac:dyDescent="0.3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149999999999999" customHeight="1" x14ac:dyDescent="0.3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149999999999999" customHeight="1" x14ac:dyDescent="0.3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149999999999999" customHeight="1" x14ac:dyDescent="0.3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149999999999999" customHeight="1" x14ac:dyDescent="0.3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149999999999999" customHeight="1" x14ac:dyDescent="0.3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149999999999999" customHeight="1" x14ac:dyDescent="0.3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149999999999999" customHeight="1" x14ac:dyDescent="0.3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149999999999999" customHeight="1" x14ac:dyDescent="0.3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149999999999999" customHeight="1" x14ac:dyDescent="0.3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149999999999999" customHeight="1" x14ac:dyDescent="0.3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149999999999999" customHeight="1" x14ac:dyDescent="0.3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149999999999999" customHeight="1" x14ac:dyDescent="0.3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149999999999999" customHeight="1" x14ac:dyDescent="0.3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149999999999999" customHeight="1" x14ac:dyDescent="0.3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149999999999999" customHeight="1" x14ac:dyDescent="0.3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149999999999999" customHeight="1" x14ac:dyDescent="0.3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149999999999999" customHeight="1" x14ac:dyDescent="0.3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149999999999999" customHeight="1" x14ac:dyDescent="0.3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149999999999999" customHeight="1" x14ac:dyDescent="0.3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149999999999999" customHeight="1" x14ac:dyDescent="0.3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149999999999999" customHeight="1" x14ac:dyDescent="0.3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149999999999999" customHeight="1" x14ac:dyDescent="0.3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149999999999999" customHeight="1" x14ac:dyDescent="0.3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149999999999999" customHeight="1" x14ac:dyDescent="0.3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149999999999999" customHeight="1" x14ac:dyDescent="0.3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149999999999999" customHeight="1" x14ac:dyDescent="0.3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149999999999999" customHeight="1" x14ac:dyDescent="0.3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149999999999999" customHeight="1" x14ac:dyDescent="0.3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149999999999999" customHeight="1" x14ac:dyDescent="0.3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149999999999999" customHeight="1" x14ac:dyDescent="0.3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149999999999999" customHeight="1" x14ac:dyDescent="0.3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149999999999999" customHeight="1" x14ac:dyDescent="0.3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149999999999999" customHeight="1" x14ac:dyDescent="0.3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149999999999999" customHeight="1" x14ac:dyDescent="0.3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149999999999999" customHeight="1" x14ac:dyDescent="0.3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149999999999999" customHeight="1" x14ac:dyDescent="0.3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149999999999999" customHeight="1" x14ac:dyDescent="0.3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149999999999999" customHeight="1" x14ac:dyDescent="0.3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149999999999999" customHeight="1" x14ac:dyDescent="0.3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149999999999999" customHeight="1" x14ac:dyDescent="0.3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149999999999999" customHeight="1" x14ac:dyDescent="0.3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149999999999999" customHeight="1" x14ac:dyDescent="0.3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149999999999999" customHeight="1" x14ac:dyDescent="0.3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149999999999999" customHeight="1" x14ac:dyDescent="0.3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149999999999999" customHeight="1" x14ac:dyDescent="0.3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149999999999999" customHeight="1" x14ac:dyDescent="0.3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149999999999999" customHeight="1" x14ac:dyDescent="0.3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149999999999999" customHeight="1" x14ac:dyDescent="0.3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149999999999999" customHeight="1" x14ac:dyDescent="0.3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149999999999999" customHeight="1" x14ac:dyDescent="0.3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149999999999999" customHeight="1" x14ac:dyDescent="0.3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149999999999999" customHeight="1" x14ac:dyDescent="0.3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149999999999999" customHeight="1" x14ac:dyDescent="0.3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149999999999999" customHeight="1" x14ac:dyDescent="0.3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149999999999999" customHeight="1" x14ac:dyDescent="0.3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149999999999999" customHeight="1" x14ac:dyDescent="0.3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149999999999999" customHeight="1" x14ac:dyDescent="0.3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149999999999999" customHeight="1" x14ac:dyDescent="0.3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149999999999999" customHeight="1" x14ac:dyDescent="0.3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149999999999999" customHeight="1" x14ac:dyDescent="0.3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149999999999999" customHeight="1" x14ac:dyDescent="0.3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149999999999999" customHeight="1" x14ac:dyDescent="0.3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149999999999999" customHeight="1" x14ac:dyDescent="0.3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149999999999999" customHeight="1" x14ac:dyDescent="0.3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149999999999999" customHeight="1" x14ac:dyDescent="0.3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149999999999999" customHeight="1" x14ac:dyDescent="0.3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149999999999999" customHeight="1" x14ac:dyDescent="0.3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149999999999999" customHeight="1" x14ac:dyDescent="0.3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149999999999999" customHeight="1" x14ac:dyDescent="0.3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149999999999999" customHeight="1" x14ac:dyDescent="0.3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149999999999999" customHeight="1" x14ac:dyDescent="0.3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149999999999999" customHeight="1" x14ac:dyDescent="0.3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149999999999999" customHeight="1" x14ac:dyDescent="0.3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149999999999999" customHeight="1" x14ac:dyDescent="0.3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149999999999999" customHeight="1" x14ac:dyDescent="0.3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149999999999999" customHeight="1" x14ac:dyDescent="0.3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149999999999999" customHeight="1" x14ac:dyDescent="0.3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149999999999999" customHeight="1" x14ac:dyDescent="0.3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149999999999999" customHeight="1" x14ac:dyDescent="0.3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149999999999999" customHeight="1" x14ac:dyDescent="0.3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149999999999999" customHeight="1" x14ac:dyDescent="0.3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149999999999999" customHeight="1" x14ac:dyDescent="0.3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149999999999999" customHeight="1" x14ac:dyDescent="0.3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149999999999999" customHeight="1" x14ac:dyDescent="0.3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149999999999999" customHeight="1" x14ac:dyDescent="0.3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149999999999999" customHeight="1" x14ac:dyDescent="0.3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149999999999999" customHeight="1" x14ac:dyDescent="0.3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149999999999999" customHeight="1" x14ac:dyDescent="0.3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149999999999999" customHeight="1" x14ac:dyDescent="0.3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149999999999999" customHeight="1" x14ac:dyDescent="0.3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149999999999999" customHeight="1" x14ac:dyDescent="0.3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149999999999999" customHeight="1" x14ac:dyDescent="0.3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149999999999999" customHeight="1" x14ac:dyDescent="0.3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149999999999999" customHeight="1" x14ac:dyDescent="0.3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149999999999999" customHeight="1" x14ac:dyDescent="0.3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149999999999999" customHeight="1" x14ac:dyDescent="0.3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149999999999999" customHeight="1" x14ac:dyDescent="0.3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149999999999999" customHeight="1" x14ac:dyDescent="0.3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149999999999999" customHeight="1" x14ac:dyDescent="0.3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149999999999999" customHeight="1" x14ac:dyDescent="0.3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149999999999999" customHeight="1" x14ac:dyDescent="0.3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149999999999999" customHeight="1" x14ac:dyDescent="0.3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149999999999999" customHeight="1" x14ac:dyDescent="0.3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149999999999999" customHeight="1" x14ac:dyDescent="0.3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149999999999999" customHeight="1" x14ac:dyDescent="0.3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149999999999999" customHeight="1" x14ac:dyDescent="0.3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149999999999999" customHeight="1" x14ac:dyDescent="0.3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149999999999999" customHeight="1" x14ac:dyDescent="0.3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149999999999999" customHeight="1" x14ac:dyDescent="0.3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149999999999999" customHeight="1" x14ac:dyDescent="0.3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149999999999999" customHeight="1" x14ac:dyDescent="0.3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149999999999999" customHeight="1" x14ac:dyDescent="0.3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149999999999999" customHeight="1" x14ac:dyDescent="0.3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149999999999999" customHeight="1" x14ac:dyDescent="0.3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149999999999999" customHeight="1" x14ac:dyDescent="0.3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149999999999999" customHeight="1" x14ac:dyDescent="0.3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149999999999999" customHeight="1" x14ac:dyDescent="0.3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149999999999999" customHeight="1" x14ac:dyDescent="0.3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149999999999999" customHeight="1" x14ac:dyDescent="0.3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149999999999999" customHeight="1" x14ac:dyDescent="0.3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149999999999999" customHeight="1" x14ac:dyDescent="0.3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149999999999999" customHeight="1" x14ac:dyDescent="0.3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149999999999999" customHeight="1" x14ac:dyDescent="0.3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149999999999999" customHeight="1" x14ac:dyDescent="0.3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149999999999999" customHeight="1" x14ac:dyDescent="0.3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149999999999999" customHeight="1" x14ac:dyDescent="0.3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149999999999999" customHeight="1" x14ac:dyDescent="0.3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149999999999999" customHeight="1" x14ac:dyDescent="0.3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149999999999999" customHeight="1" x14ac:dyDescent="0.3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149999999999999" customHeight="1" x14ac:dyDescent="0.3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149999999999999" customHeight="1" x14ac:dyDescent="0.3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149999999999999" customHeight="1" x14ac:dyDescent="0.3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149999999999999" customHeight="1" x14ac:dyDescent="0.3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149999999999999" customHeight="1" x14ac:dyDescent="0.3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149999999999999" customHeight="1" x14ac:dyDescent="0.3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149999999999999" customHeight="1" x14ac:dyDescent="0.3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149999999999999" customHeight="1" x14ac:dyDescent="0.3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149999999999999" customHeight="1" x14ac:dyDescent="0.3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149999999999999" customHeight="1" x14ac:dyDescent="0.3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149999999999999" customHeight="1" x14ac:dyDescent="0.3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149999999999999" customHeight="1" x14ac:dyDescent="0.3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149999999999999" customHeight="1" x14ac:dyDescent="0.3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149999999999999" customHeight="1" x14ac:dyDescent="0.3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149999999999999" customHeight="1" x14ac:dyDescent="0.3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149999999999999" customHeight="1" x14ac:dyDescent="0.3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149999999999999" customHeight="1" x14ac:dyDescent="0.3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149999999999999" customHeight="1" x14ac:dyDescent="0.3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149999999999999" customHeight="1" x14ac:dyDescent="0.3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149999999999999" customHeight="1" x14ac:dyDescent="0.3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149999999999999" customHeight="1" x14ac:dyDescent="0.3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149999999999999" customHeight="1" x14ac:dyDescent="0.3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149999999999999" customHeight="1" x14ac:dyDescent="0.3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149999999999999" customHeight="1" x14ac:dyDescent="0.3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149999999999999" customHeight="1" x14ac:dyDescent="0.3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149999999999999" customHeight="1" x14ac:dyDescent="0.3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149999999999999" customHeight="1" x14ac:dyDescent="0.3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149999999999999" customHeight="1" x14ac:dyDescent="0.3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149999999999999" customHeight="1" x14ac:dyDescent="0.3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149999999999999" customHeight="1" x14ac:dyDescent="0.3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149999999999999" customHeight="1" x14ac:dyDescent="0.3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149999999999999" customHeight="1" x14ac:dyDescent="0.3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149999999999999" customHeight="1" x14ac:dyDescent="0.3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149999999999999" customHeight="1" x14ac:dyDescent="0.3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149999999999999" customHeight="1" x14ac:dyDescent="0.3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149999999999999" customHeight="1" x14ac:dyDescent="0.3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149999999999999" customHeight="1" x14ac:dyDescent="0.3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149999999999999" customHeight="1" x14ac:dyDescent="0.3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149999999999999" customHeight="1" x14ac:dyDescent="0.3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149999999999999" customHeight="1" x14ac:dyDescent="0.3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149999999999999" customHeight="1" x14ac:dyDescent="0.3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149999999999999" customHeight="1" x14ac:dyDescent="0.3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149999999999999" customHeight="1" x14ac:dyDescent="0.3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149999999999999" customHeight="1" x14ac:dyDescent="0.3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149999999999999" customHeight="1" x14ac:dyDescent="0.3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149999999999999" customHeight="1" x14ac:dyDescent="0.3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149999999999999" customHeight="1" x14ac:dyDescent="0.3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149999999999999" customHeight="1" x14ac:dyDescent="0.3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149999999999999" customHeight="1" x14ac:dyDescent="0.3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149999999999999" customHeight="1" x14ac:dyDescent="0.3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149999999999999" customHeight="1" x14ac:dyDescent="0.3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149999999999999" customHeight="1" x14ac:dyDescent="0.3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149999999999999" customHeight="1" x14ac:dyDescent="0.3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149999999999999" customHeight="1" x14ac:dyDescent="0.3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149999999999999" customHeight="1" x14ac:dyDescent="0.3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149999999999999" customHeight="1" x14ac:dyDescent="0.3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149999999999999" customHeight="1" x14ac:dyDescent="0.3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149999999999999" customHeight="1" x14ac:dyDescent="0.3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149999999999999" customHeight="1" x14ac:dyDescent="0.3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149999999999999" customHeight="1" x14ac:dyDescent="0.3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149999999999999" customHeight="1" x14ac:dyDescent="0.3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149999999999999" customHeight="1" x14ac:dyDescent="0.3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149999999999999" customHeight="1" x14ac:dyDescent="0.3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149999999999999" customHeight="1" x14ac:dyDescent="0.3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149999999999999" customHeight="1" x14ac:dyDescent="0.3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149999999999999" customHeight="1" x14ac:dyDescent="0.3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149999999999999" customHeight="1" x14ac:dyDescent="0.3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149999999999999" customHeight="1" x14ac:dyDescent="0.3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149999999999999" customHeight="1" x14ac:dyDescent="0.3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149999999999999" customHeight="1" x14ac:dyDescent="0.3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149999999999999" customHeight="1" x14ac:dyDescent="0.3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149999999999999" customHeight="1" x14ac:dyDescent="0.3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149999999999999" customHeight="1" x14ac:dyDescent="0.3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149999999999999" customHeight="1" x14ac:dyDescent="0.3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149999999999999" customHeight="1" x14ac:dyDescent="0.3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149999999999999" customHeight="1" x14ac:dyDescent="0.3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149999999999999" customHeight="1" x14ac:dyDescent="0.3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149999999999999" customHeight="1" x14ac:dyDescent="0.3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149999999999999" customHeight="1" x14ac:dyDescent="0.3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149999999999999" customHeight="1" x14ac:dyDescent="0.3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149999999999999" customHeight="1" x14ac:dyDescent="0.3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149999999999999" customHeight="1" x14ac:dyDescent="0.3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149999999999999" customHeight="1" x14ac:dyDescent="0.3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149999999999999" customHeight="1" x14ac:dyDescent="0.3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149999999999999" customHeight="1" x14ac:dyDescent="0.3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149999999999999" customHeight="1" x14ac:dyDescent="0.3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149999999999999" customHeight="1" x14ac:dyDescent="0.3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149999999999999" customHeight="1" x14ac:dyDescent="0.3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149999999999999" customHeight="1" x14ac:dyDescent="0.3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149999999999999" customHeight="1" x14ac:dyDescent="0.3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149999999999999" customHeight="1" x14ac:dyDescent="0.3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149999999999999" customHeight="1" x14ac:dyDescent="0.3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149999999999999" customHeight="1" x14ac:dyDescent="0.3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149999999999999" customHeight="1" x14ac:dyDescent="0.3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149999999999999" customHeight="1" x14ac:dyDescent="0.3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149999999999999" customHeight="1" x14ac:dyDescent="0.3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149999999999999" customHeight="1" x14ac:dyDescent="0.3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149999999999999" customHeight="1" x14ac:dyDescent="0.3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149999999999999" customHeight="1" x14ac:dyDescent="0.3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149999999999999" customHeight="1" x14ac:dyDescent="0.3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149999999999999" customHeight="1" x14ac:dyDescent="0.3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149999999999999" customHeight="1" x14ac:dyDescent="0.3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149999999999999" customHeight="1" x14ac:dyDescent="0.3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149999999999999" customHeight="1" x14ac:dyDescent="0.3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149999999999999" customHeight="1" x14ac:dyDescent="0.3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149999999999999" customHeight="1" x14ac:dyDescent="0.3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149999999999999" customHeight="1" x14ac:dyDescent="0.3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149999999999999" customHeight="1" x14ac:dyDescent="0.3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149999999999999" customHeight="1" x14ac:dyDescent="0.3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149999999999999" customHeight="1" x14ac:dyDescent="0.3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149999999999999" customHeight="1" x14ac:dyDescent="0.3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149999999999999" customHeight="1" x14ac:dyDescent="0.3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149999999999999" customHeight="1" x14ac:dyDescent="0.3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149999999999999" customHeight="1" x14ac:dyDescent="0.3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149999999999999" customHeight="1" x14ac:dyDescent="0.3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149999999999999" customHeight="1" x14ac:dyDescent="0.3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149999999999999" customHeight="1" x14ac:dyDescent="0.3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149999999999999" customHeight="1" x14ac:dyDescent="0.3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149999999999999" customHeight="1" x14ac:dyDescent="0.3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149999999999999" customHeight="1" x14ac:dyDescent="0.3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149999999999999" customHeight="1" x14ac:dyDescent="0.3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149999999999999" customHeight="1" x14ac:dyDescent="0.3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149999999999999" customHeight="1" x14ac:dyDescent="0.3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149999999999999" customHeight="1" x14ac:dyDescent="0.3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149999999999999" customHeight="1" x14ac:dyDescent="0.3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149999999999999" customHeight="1" x14ac:dyDescent="0.3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149999999999999" customHeight="1" x14ac:dyDescent="0.3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149999999999999" customHeight="1" x14ac:dyDescent="0.3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149999999999999" customHeight="1" x14ac:dyDescent="0.3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149999999999999" customHeight="1" x14ac:dyDescent="0.3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149999999999999" customHeight="1" x14ac:dyDescent="0.3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149999999999999" customHeight="1" x14ac:dyDescent="0.3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149999999999999" customHeight="1" x14ac:dyDescent="0.3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149999999999999" customHeight="1" x14ac:dyDescent="0.3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149999999999999" customHeight="1" x14ac:dyDescent="0.3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149999999999999" customHeight="1" x14ac:dyDescent="0.3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149999999999999" customHeight="1" x14ac:dyDescent="0.3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149999999999999" customHeight="1" x14ac:dyDescent="0.3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149999999999999" customHeight="1" x14ac:dyDescent="0.3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149999999999999" customHeight="1" x14ac:dyDescent="0.3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149999999999999" customHeight="1" x14ac:dyDescent="0.3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149999999999999" customHeight="1" x14ac:dyDescent="0.3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149999999999999" customHeight="1" x14ac:dyDescent="0.3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149999999999999" customHeight="1" x14ac:dyDescent="0.3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149999999999999" customHeight="1" x14ac:dyDescent="0.3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149999999999999" customHeight="1" x14ac:dyDescent="0.3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149999999999999" customHeight="1" x14ac:dyDescent="0.3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149999999999999" customHeight="1" x14ac:dyDescent="0.3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149999999999999" customHeight="1" x14ac:dyDescent="0.3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149999999999999" customHeight="1" x14ac:dyDescent="0.3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149999999999999" customHeight="1" x14ac:dyDescent="0.3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149999999999999" customHeight="1" x14ac:dyDescent="0.3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149999999999999" customHeight="1" x14ac:dyDescent="0.3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149999999999999" customHeight="1" x14ac:dyDescent="0.3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149999999999999" customHeight="1" x14ac:dyDescent="0.3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149999999999999" customHeight="1" x14ac:dyDescent="0.3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149999999999999" customHeight="1" x14ac:dyDescent="0.3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149999999999999" customHeight="1" x14ac:dyDescent="0.3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149999999999999" customHeight="1" x14ac:dyDescent="0.3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149999999999999" customHeight="1" x14ac:dyDescent="0.3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149999999999999" customHeight="1" x14ac:dyDescent="0.3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149999999999999" customHeight="1" x14ac:dyDescent="0.3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149999999999999" customHeight="1" x14ac:dyDescent="0.3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149999999999999" customHeight="1" x14ac:dyDescent="0.3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149999999999999" customHeight="1" x14ac:dyDescent="0.3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149999999999999" customHeight="1" x14ac:dyDescent="0.3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149999999999999" customHeight="1" x14ac:dyDescent="0.3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149999999999999" customHeight="1" x14ac:dyDescent="0.3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149999999999999" customHeight="1" x14ac:dyDescent="0.3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149999999999999" customHeight="1" x14ac:dyDescent="0.3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149999999999999" customHeight="1" x14ac:dyDescent="0.3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149999999999999" customHeight="1" x14ac:dyDescent="0.3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149999999999999" customHeight="1" x14ac:dyDescent="0.3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149999999999999" customHeight="1" x14ac:dyDescent="0.3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149999999999999" customHeight="1" x14ac:dyDescent="0.3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149999999999999" customHeight="1" x14ac:dyDescent="0.3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149999999999999" customHeight="1" x14ac:dyDescent="0.3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149999999999999" customHeight="1" x14ac:dyDescent="0.3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149999999999999" customHeight="1" x14ac:dyDescent="0.3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149999999999999" customHeight="1" x14ac:dyDescent="0.3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149999999999999" customHeight="1" x14ac:dyDescent="0.3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149999999999999" customHeight="1" x14ac:dyDescent="0.3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149999999999999" customHeight="1" x14ac:dyDescent="0.3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149999999999999" customHeight="1" x14ac:dyDescent="0.3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149999999999999" customHeight="1" x14ac:dyDescent="0.3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149999999999999" customHeight="1" x14ac:dyDescent="0.3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149999999999999" customHeight="1" x14ac:dyDescent="0.3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149999999999999" customHeight="1" x14ac:dyDescent="0.3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149999999999999" customHeight="1" x14ac:dyDescent="0.3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149999999999999" customHeight="1" x14ac:dyDescent="0.3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149999999999999" customHeight="1" x14ac:dyDescent="0.3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149999999999999" customHeight="1" x14ac:dyDescent="0.3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149999999999999" customHeight="1" x14ac:dyDescent="0.3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149999999999999" customHeight="1" x14ac:dyDescent="0.3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149999999999999" customHeight="1" x14ac:dyDescent="0.3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149999999999999" customHeight="1" x14ac:dyDescent="0.3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149999999999999" customHeight="1" x14ac:dyDescent="0.3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149999999999999" customHeight="1" x14ac:dyDescent="0.3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149999999999999" customHeight="1" x14ac:dyDescent="0.3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149999999999999" customHeight="1" x14ac:dyDescent="0.3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149999999999999" customHeight="1" x14ac:dyDescent="0.3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149999999999999" customHeight="1" x14ac:dyDescent="0.3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149999999999999" customHeight="1" x14ac:dyDescent="0.3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149999999999999" customHeight="1" x14ac:dyDescent="0.3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149999999999999" customHeight="1" x14ac:dyDescent="0.3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149999999999999" customHeight="1" x14ac:dyDescent="0.3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149999999999999" customHeight="1" x14ac:dyDescent="0.3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149999999999999" customHeight="1" x14ac:dyDescent="0.3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149999999999999" customHeight="1" x14ac:dyDescent="0.3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149999999999999" customHeight="1" x14ac:dyDescent="0.3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149999999999999" customHeight="1" x14ac:dyDescent="0.3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149999999999999" customHeight="1" x14ac:dyDescent="0.3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149999999999999" customHeight="1" x14ac:dyDescent="0.3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149999999999999" customHeight="1" x14ac:dyDescent="0.3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149999999999999" customHeight="1" x14ac:dyDescent="0.3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149999999999999" customHeight="1" x14ac:dyDescent="0.3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149999999999999" customHeight="1" x14ac:dyDescent="0.3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149999999999999" customHeight="1" x14ac:dyDescent="0.3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149999999999999" customHeight="1" x14ac:dyDescent="0.3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149999999999999" customHeight="1" x14ac:dyDescent="0.3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149999999999999" customHeight="1" x14ac:dyDescent="0.3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149999999999999" customHeight="1" x14ac:dyDescent="0.3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149999999999999" customHeight="1" x14ac:dyDescent="0.3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149999999999999" customHeight="1" x14ac:dyDescent="0.3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149999999999999" customHeight="1" x14ac:dyDescent="0.3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149999999999999" customHeight="1" x14ac:dyDescent="0.3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149999999999999" customHeight="1" x14ac:dyDescent="0.3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149999999999999" customHeight="1" x14ac:dyDescent="0.3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149999999999999" customHeight="1" x14ac:dyDescent="0.3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149999999999999" customHeight="1" x14ac:dyDescent="0.3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149999999999999" customHeight="1" x14ac:dyDescent="0.3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149999999999999" customHeight="1" x14ac:dyDescent="0.3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149999999999999" customHeight="1" x14ac:dyDescent="0.3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149999999999999" customHeight="1" x14ac:dyDescent="0.3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149999999999999" customHeight="1" x14ac:dyDescent="0.3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149999999999999" customHeight="1" x14ac:dyDescent="0.3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149999999999999" customHeight="1" x14ac:dyDescent="0.3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149999999999999" customHeight="1" x14ac:dyDescent="0.3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149999999999999" customHeight="1" x14ac:dyDescent="0.3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149999999999999" customHeight="1" x14ac:dyDescent="0.3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149999999999999" customHeight="1" x14ac:dyDescent="0.3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149999999999999" customHeight="1" x14ac:dyDescent="0.3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149999999999999" customHeight="1" x14ac:dyDescent="0.3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149999999999999" customHeight="1" x14ac:dyDescent="0.3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149999999999999" customHeight="1" x14ac:dyDescent="0.3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149999999999999" customHeight="1" x14ac:dyDescent="0.3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149999999999999" customHeight="1" x14ac:dyDescent="0.3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149999999999999" customHeight="1" x14ac:dyDescent="0.3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149999999999999" customHeight="1" x14ac:dyDescent="0.3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149999999999999" customHeight="1" x14ac:dyDescent="0.3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149999999999999" customHeight="1" x14ac:dyDescent="0.3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149999999999999" customHeight="1" x14ac:dyDescent="0.3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149999999999999" customHeight="1" x14ac:dyDescent="0.3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149999999999999" customHeight="1" x14ac:dyDescent="0.3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149999999999999" customHeight="1" x14ac:dyDescent="0.3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149999999999999" customHeight="1" x14ac:dyDescent="0.3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149999999999999" customHeight="1" x14ac:dyDescent="0.3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149999999999999" customHeight="1" x14ac:dyDescent="0.3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149999999999999" customHeight="1" x14ac:dyDescent="0.3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149999999999999" customHeight="1" x14ac:dyDescent="0.3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149999999999999" customHeight="1" x14ac:dyDescent="0.3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149999999999999" customHeight="1" x14ac:dyDescent="0.3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149999999999999" customHeight="1" x14ac:dyDescent="0.3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149999999999999" customHeight="1" x14ac:dyDescent="0.3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149999999999999" customHeight="1" x14ac:dyDescent="0.3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149999999999999" customHeight="1" x14ac:dyDescent="0.3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149999999999999" customHeight="1" x14ac:dyDescent="0.3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149999999999999" customHeight="1" x14ac:dyDescent="0.3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149999999999999" customHeight="1" x14ac:dyDescent="0.3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149999999999999" customHeight="1" x14ac:dyDescent="0.3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149999999999999" customHeight="1" x14ac:dyDescent="0.3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149999999999999" customHeight="1" x14ac:dyDescent="0.3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149999999999999" customHeight="1" x14ac:dyDescent="0.3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149999999999999" customHeight="1" x14ac:dyDescent="0.3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149999999999999" customHeight="1" x14ac:dyDescent="0.3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149999999999999" customHeight="1" x14ac:dyDescent="0.3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149999999999999" customHeight="1" x14ac:dyDescent="0.3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149999999999999" customHeight="1" x14ac:dyDescent="0.3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149999999999999" customHeight="1" x14ac:dyDescent="0.3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149999999999999" customHeight="1" x14ac:dyDescent="0.3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149999999999999" customHeight="1" x14ac:dyDescent="0.3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149999999999999" customHeight="1" x14ac:dyDescent="0.3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149999999999999" customHeight="1" x14ac:dyDescent="0.3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149999999999999" customHeight="1" x14ac:dyDescent="0.3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149999999999999" customHeight="1" x14ac:dyDescent="0.3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149999999999999" customHeight="1" x14ac:dyDescent="0.3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149999999999999" customHeight="1" x14ac:dyDescent="0.3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149999999999999" customHeight="1" x14ac:dyDescent="0.3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149999999999999" customHeight="1" x14ac:dyDescent="0.3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149999999999999" customHeight="1" x14ac:dyDescent="0.3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149999999999999" customHeight="1" x14ac:dyDescent="0.3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149999999999999" customHeight="1" x14ac:dyDescent="0.3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149999999999999" customHeight="1" x14ac:dyDescent="0.3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149999999999999" customHeight="1" x14ac:dyDescent="0.3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149999999999999" customHeight="1" x14ac:dyDescent="0.3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149999999999999" customHeight="1" x14ac:dyDescent="0.3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149999999999999" customHeight="1" x14ac:dyDescent="0.3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149999999999999" customHeight="1" x14ac:dyDescent="0.3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149999999999999" customHeight="1" x14ac:dyDescent="0.3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149999999999999" customHeight="1" x14ac:dyDescent="0.3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149999999999999" customHeight="1" x14ac:dyDescent="0.3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149999999999999" customHeight="1" x14ac:dyDescent="0.3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149999999999999" customHeight="1" x14ac:dyDescent="0.3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149999999999999" customHeight="1" x14ac:dyDescent="0.3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149999999999999" customHeight="1" x14ac:dyDescent="0.3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149999999999999" customHeight="1" x14ac:dyDescent="0.3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149999999999999" customHeight="1" x14ac:dyDescent="0.3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149999999999999" customHeight="1" x14ac:dyDescent="0.3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149999999999999" customHeight="1" x14ac:dyDescent="0.3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149999999999999" customHeight="1" x14ac:dyDescent="0.3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149999999999999" customHeight="1" x14ac:dyDescent="0.3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149999999999999" customHeight="1" x14ac:dyDescent="0.3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149999999999999" customHeight="1" x14ac:dyDescent="0.3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149999999999999" customHeight="1" x14ac:dyDescent="0.3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149999999999999" customHeight="1" x14ac:dyDescent="0.3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149999999999999" customHeight="1" x14ac:dyDescent="0.3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149999999999999" customHeight="1" x14ac:dyDescent="0.3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149999999999999" customHeight="1" x14ac:dyDescent="0.3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149999999999999" customHeight="1" x14ac:dyDescent="0.3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149999999999999" customHeight="1" x14ac:dyDescent="0.3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149999999999999" customHeight="1" x14ac:dyDescent="0.3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149999999999999" customHeight="1" x14ac:dyDescent="0.3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149999999999999" customHeight="1" x14ac:dyDescent="0.3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149999999999999" customHeight="1" x14ac:dyDescent="0.3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149999999999999" customHeight="1" x14ac:dyDescent="0.3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149999999999999" customHeight="1" x14ac:dyDescent="0.3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149999999999999" customHeight="1" x14ac:dyDescent="0.3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149999999999999" customHeight="1" x14ac:dyDescent="0.3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149999999999999" customHeight="1" x14ac:dyDescent="0.3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149999999999999" customHeight="1" x14ac:dyDescent="0.3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149999999999999" customHeight="1" x14ac:dyDescent="0.3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149999999999999" customHeight="1" x14ac:dyDescent="0.3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149999999999999" customHeight="1" x14ac:dyDescent="0.3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149999999999999" customHeight="1" x14ac:dyDescent="0.3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149999999999999" customHeight="1" x14ac:dyDescent="0.3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149999999999999" customHeight="1" x14ac:dyDescent="0.3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149999999999999" customHeight="1" x14ac:dyDescent="0.3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149999999999999" customHeight="1" x14ac:dyDescent="0.3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149999999999999" customHeight="1" x14ac:dyDescent="0.3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149999999999999" customHeight="1" x14ac:dyDescent="0.3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149999999999999" customHeight="1" x14ac:dyDescent="0.3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149999999999999" customHeight="1" x14ac:dyDescent="0.3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149999999999999" customHeight="1" x14ac:dyDescent="0.3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149999999999999" customHeight="1" x14ac:dyDescent="0.3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149999999999999" customHeight="1" x14ac:dyDescent="0.3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149999999999999" customHeight="1" x14ac:dyDescent="0.3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149999999999999" customHeight="1" x14ac:dyDescent="0.3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149999999999999" customHeight="1" x14ac:dyDescent="0.3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149999999999999" customHeight="1" x14ac:dyDescent="0.3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149999999999999" customHeight="1" x14ac:dyDescent="0.3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149999999999999" customHeight="1" x14ac:dyDescent="0.3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149999999999999" customHeight="1" x14ac:dyDescent="0.3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149999999999999" customHeight="1" x14ac:dyDescent="0.3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149999999999999" customHeight="1" x14ac:dyDescent="0.3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149999999999999" customHeight="1" x14ac:dyDescent="0.3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149999999999999" customHeight="1" x14ac:dyDescent="0.3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149999999999999" customHeight="1" x14ac:dyDescent="0.3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149999999999999" customHeight="1" x14ac:dyDescent="0.3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149999999999999" customHeight="1" x14ac:dyDescent="0.3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149999999999999" customHeight="1" x14ac:dyDescent="0.3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149999999999999" customHeight="1" x14ac:dyDescent="0.3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149999999999999" customHeight="1" x14ac:dyDescent="0.3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149999999999999" customHeight="1" x14ac:dyDescent="0.3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149999999999999" customHeight="1" x14ac:dyDescent="0.3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149999999999999" customHeight="1" x14ac:dyDescent="0.3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149999999999999" customHeight="1" x14ac:dyDescent="0.3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149999999999999" customHeight="1" x14ac:dyDescent="0.3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149999999999999" customHeight="1" x14ac:dyDescent="0.3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149999999999999" customHeight="1" x14ac:dyDescent="0.3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149999999999999" customHeight="1" x14ac:dyDescent="0.3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149999999999999" customHeight="1" x14ac:dyDescent="0.3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149999999999999" customHeight="1" x14ac:dyDescent="0.3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149999999999999" customHeight="1" x14ac:dyDescent="0.3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149999999999999" customHeight="1" x14ac:dyDescent="0.3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149999999999999" customHeight="1" x14ac:dyDescent="0.3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149999999999999" customHeight="1" x14ac:dyDescent="0.3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149999999999999" customHeight="1" x14ac:dyDescent="0.3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149999999999999" customHeight="1" x14ac:dyDescent="0.3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149999999999999" customHeight="1" x14ac:dyDescent="0.3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149999999999999" customHeight="1" x14ac:dyDescent="0.3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149999999999999" customHeight="1" x14ac:dyDescent="0.3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149999999999999" customHeight="1" x14ac:dyDescent="0.3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149999999999999" customHeight="1" x14ac:dyDescent="0.3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149999999999999" customHeight="1" x14ac:dyDescent="0.3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149999999999999" customHeight="1" x14ac:dyDescent="0.3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149999999999999" customHeight="1" x14ac:dyDescent="0.3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149999999999999" customHeight="1" x14ac:dyDescent="0.3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149999999999999" customHeight="1" x14ac:dyDescent="0.3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149999999999999" customHeight="1" x14ac:dyDescent="0.3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149999999999999" customHeight="1" x14ac:dyDescent="0.3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149999999999999" customHeight="1" x14ac:dyDescent="0.3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149999999999999" customHeight="1" x14ac:dyDescent="0.3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149999999999999" customHeight="1" x14ac:dyDescent="0.3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149999999999999" customHeight="1" x14ac:dyDescent="0.3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149999999999999" customHeight="1" x14ac:dyDescent="0.3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149999999999999" customHeight="1" x14ac:dyDescent="0.3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149999999999999" customHeight="1" x14ac:dyDescent="0.3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149999999999999" customHeight="1" x14ac:dyDescent="0.3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149999999999999" customHeight="1" x14ac:dyDescent="0.3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149999999999999" customHeight="1" x14ac:dyDescent="0.3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149999999999999" customHeight="1" x14ac:dyDescent="0.3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149999999999999" customHeight="1" x14ac:dyDescent="0.3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149999999999999" customHeight="1" x14ac:dyDescent="0.3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149999999999999" customHeight="1" x14ac:dyDescent="0.3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149999999999999" customHeight="1" x14ac:dyDescent="0.3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149999999999999" customHeight="1" x14ac:dyDescent="0.3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149999999999999" customHeight="1" x14ac:dyDescent="0.3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149999999999999" customHeight="1" x14ac:dyDescent="0.3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149999999999999" customHeight="1" x14ac:dyDescent="0.3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149999999999999" customHeight="1" x14ac:dyDescent="0.3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149999999999999" customHeight="1" x14ac:dyDescent="0.3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149999999999999" customHeight="1" x14ac:dyDescent="0.3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149999999999999" customHeight="1" x14ac:dyDescent="0.3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149999999999999" customHeight="1" x14ac:dyDescent="0.3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149999999999999" customHeight="1" x14ac:dyDescent="0.3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149999999999999" customHeight="1" x14ac:dyDescent="0.3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149999999999999" customHeight="1" x14ac:dyDescent="0.3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149999999999999" customHeight="1" x14ac:dyDescent="0.3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149999999999999" customHeight="1" x14ac:dyDescent="0.3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149999999999999" customHeight="1" x14ac:dyDescent="0.3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149999999999999" customHeight="1" x14ac:dyDescent="0.3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149999999999999" customHeight="1" x14ac:dyDescent="0.3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149999999999999" customHeight="1" x14ac:dyDescent="0.3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149999999999999" customHeight="1" x14ac:dyDescent="0.3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149999999999999" customHeight="1" x14ac:dyDescent="0.3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149999999999999" customHeight="1" x14ac:dyDescent="0.3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149999999999999" customHeight="1" x14ac:dyDescent="0.3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149999999999999" customHeight="1" x14ac:dyDescent="0.3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149999999999999" customHeight="1" x14ac:dyDescent="0.3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149999999999999" customHeight="1" x14ac:dyDescent="0.3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149999999999999" customHeight="1" x14ac:dyDescent="0.3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149999999999999" customHeight="1" x14ac:dyDescent="0.3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149999999999999" customHeight="1" x14ac:dyDescent="0.3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149999999999999" customHeight="1" x14ac:dyDescent="0.3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149999999999999" customHeight="1" x14ac:dyDescent="0.3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149999999999999" customHeight="1" x14ac:dyDescent="0.3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149999999999999" customHeight="1" x14ac:dyDescent="0.3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149999999999999" customHeight="1" x14ac:dyDescent="0.3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149999999999999" customHeight="1" x14ac:dyDescent="0.3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149999999999999" customHeight="1" x14ac:dyDescent="0.3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149999999999999" customHeight="1" x14ac:dyDescent="0.3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149999999999999" customHeight="1" x14ac:dyDescent="0.3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149999999999999" customHeight="1" x14ac:dyDescent="0.3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149999999999999" customHeight="1" x14ac:dyDescent="0.3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149999999999999" customHeight="1" x14ac:dyDescent="0.3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149999999999999" customHeight="1" x14ac:dyDescent="0.3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149999999999999" customHeight="1" x14ac:dyDescent="0.3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149999999999999" customHeight="1" x14ac:dyDescent="0.3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149999999999999" customHeight="1" x14ac:dyDescent="0.3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149999999999999" customHeight="1" x14ac:dyDescent="0.3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149999999999999" customHeight="1" x14ac:dyDescent="0.3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149999999999999" customHeight="1" x14ac:dyDescent="0.3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149999999999999" customHeight="1" x14ac:dyDescent="0.3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149999999999999" customHeight="1" x14ac:dyDescent="0.3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149999999999999" customHeight="1" x14ac:dyDescent="0.3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149999999999999" customHeight="1" x14ac:dyDescent="0.3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149999999999999" customHeight="1" x14ac:dyDescent="0.3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149999999999999" customHeight="1" x14ac:dyDescent="0.3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149999999999999" customHeight="1" x14ac:dyDescent="0.3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149999999999999" customHeight="1" x14ac:dyDescent="0.3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149999999999999" customHeight="1" x14ac:dyDescent="0.3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149999999999999" customHeight="1" x14ac:dyDescent="0.3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149999999999999" customHeight="1" x14ac:dyDescent="0.3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149999999999999" customHeight="1" x14ac:dyDescent="0.3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149999999999999" customHeight="1" x14ac:dyDescent="0.3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149999999999999" customHeight="1" x14ac:dyDescent="0.3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149999999999999" customHeight="1" x14ac:dyDescent="0.3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149999999999999" customHeight="1" x14ac:dyDescent="0.3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149999999999999" customHeight="1" x14ac:dyDescent="0.3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149999999999999" customHeight="1" x14ac:dyDescent="0.3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149999999999999" customHeight="1" x14ac:dyDescent="0.3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149999999999999" customHeight="1" x14ac:dyDescent="0.3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149999999999999" customHeight="1" x14ac:dyDescent="0.3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149999999999999" customHeight="1" x14ac:dyDescent="0.3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149999999999999" customHeight="1" x14ac:dyDescent="0.3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149999999999999" customHeight="1" x14ac:dyDescent="0.3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149999999999999" customHeight="1" x14ac:dyDescent="0.3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149999999999999" customHeight="1" x14ac:dyDescent="0.3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149999999999999" customHeight="1" x14ac:dyDescent="0.3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149999999999999" customHeight="1" x14ac:dyDescent="0.3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149999999999999" customHeight="1" x14ac:dyDescent="0.3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149999999999999" customHeight="1" x14ac:dyDescent="0.3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149999999999999" customHeight="1" x14ac:dyDescent="0.3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149999999999999" customHeight="1" x14ac:dyDescent="0.3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149999999999999" customHeight="1" x14ac:dyDescent="0.3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149999999999999" customHeight="1" x14ac:dyDescent="0.3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149999999999999" customHeight="1" x14ac:dyDescent="0.3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149999999999999" customHeight="1" x14ac:dyDescent="0.3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149999999999999" customHeight="1" x14ac:dyDescent="0.3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149999999999999" customHeight="1" x14ac:dyDescent="0.3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149999999999999" customHeight="1" x14ac:dyDescent="0.3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149999999999999" customHeight="1" x14ac:dyDescent="0.3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149999999999999" customHeight="1" x14ac:dyDescent="0.3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149999999999999" customHeight="1" x14ac:dyDescent="0.3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149999999999999" customHeight="1" x14ac:dyDescent="0.3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149999999999999" customHeight="1" x14ac:dyDescent="0.3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149999999999999" customHeight="1" x14ac:dyDescent="0.3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149999999999999" customHeight="1" x14ac:dyDescent="0.3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149999999999999" customHeight="1" x14ac:dyDescent="0.3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149999999999999" customHeight="1" x14ac:dyDescent="0.3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149999999999999" customHeight="1" x14ac:dyDescent="0.3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149999999999999" customHeight="1" x14ac:dyDescent="0.3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149999999999999" customHeight="1" x14ac:dyDescent="0.3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149999999999999" customHeight="1" x14ac:dyDescent="0.3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149999999999999" customHeight="1" x14ac:dyDescent="0.3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149999999999999" customHeight="1" x14ac:dyDescent="0.3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149999999999999" customHeight="1" x14ac:dyDescent="0.3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149999999999999" customHeight="1" x14ac:dyDescent="0.3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149999999999999" customHeight="1" x14ac:dyDescent="0.3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149999999999999" customHeight="1" x14ac:dyDescent="0.3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149999999999999" customHeight="1" x14ac:dyDescent="0.3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149999999999999" customHeight="1" x14ac:dyDescent="0.3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149999999999999" customHeight="1" x14ac:dyDescent="0.3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149999999999999" customHeight="1" x14ac:dyDescent="0.3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149999999999999" customHeight="1" x14ac:dyDescent="0.3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149999999999999" customHeight="1" x14ac:dyDescent="0.3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149999999999999" customHeight="1" x14ac:dyDescent="0.3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149999999999999" customHeight="1" x14ac:dyDescent="0.3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149999999999999" customHeight="1" x14ac:dyDescent="0.3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149999999999999" customHeight="1" x14ac:dyDescent="0.3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149999999999999" customHeight="1" x14ac:dyDescent="0.3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149999999999999" customHeight="1" x14ac:dyDescent="0.3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149999999999999" customHeight="1" x14ac:dyDescent="0.3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149999999999999" customHeight="1" x14ac:dyDescent="0.3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149999999999999" customHeight="1" x14ac:dyDescent="0.3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149999999999999" customHeight="1" x14ac:dyDescent="0.3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149999999999999" customHeight="1" x14ac:dyDescent="0.3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149999999999999" customHeight="1" x14ac:dyDescent="0.3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149999999999999" customHeight="1" x14ac:dyDescent="0.3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149999999999999" customHeight="1" x14ac:dyDescent="0.3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149999999999999" customHeight="1" x14ac:dyDescent="0.3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149999999999999" customHeight="1" x14ac:dyDescent="0.3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149999999999999" customHeight="1" x14ac:dyDescent="0.3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149999999999999" customHeight="1" x14ac:dyDescent="0.3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149999999999999" customHeight="1" x14ac:dyDescent="0.3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149999999999999" customHeight="1" x14ac:dyDescent="0.3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149999999999999" customHeight="1" x14ac:dyDescent="0.3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149999999999999" customHeight="1" x14ac:dyDescent="0.3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149999999999999" customHeight="1" x14ac:dyDescent="0.3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149999999999999" customHeight="1" x14ac:dyDescent="0.3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149999999999999" customHeight="1" x14ac:dyDescent="0.3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149999999999999" customHeight="1" x14ac:dyDescent="0.3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149999999999999" customHeight="1" x14ac:dyDescent="0.3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149999999999999" customHeight="1" x14ac:dyDescent="0.3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149999999999999" customHeight="1" x14ac:dyDescent="0.3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149999999999999" customHeight="1" x14ac:dyDescent="0.3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149999999999999" customHeight="1" x14ac:dyDescent="0.3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149999999999999" customHeight="1" x14ac:dyDescent="0.3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149999999999999" customHeight="1" x14ac:dyDescent="0.3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149999999999999" customHeight="1" x14ac:dyDescent="0.3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149999999999999" customHeight="1" x14ac:dyDescent="0.3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149999999999999" customHeight="1" x14ac:dyDescent="0.3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149999999999999" customHeight="1" x14ac:dyDescent="0.3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149999999999999" customHeight="1" x14ac:dyDescent="0.3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149999999999999" customHeight="1" x14ac:dyDescent="0.3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149999999999999" customHeight="1" x14ac:dyDescent="0.3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149999999999999" customHeight="1" x14ac:dyDescent="0.3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149999999999999" customHeight="1" x14ac:dyDescent="0.3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149999999999999" customHeight="1" x14ac:dyDescent="0.3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149999999999999" customHeight="1" x14ac:dyDescent="0.3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149999999999999" customHeight="1" x14ac:dyDescent="0.3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149999999999999" customHeight="1" x14ac:dyDescent="0.3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149999999999999" customHeight="1" x14ac:dyDescent="0.3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149999999999999" customHeight="1" x14ac:dyDescent="0.3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149999999999999" customHeight="1" x14ac:dyDescent="0.3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149999999999999" customHeight="1" x14ac:dyDescent="0.3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149999999999999" customHeight="1" x14ac:dyDescent="0.3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149999999999999" customHeight="1" x14ac:dyDescent="0.3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149999999999999" customHeight="1" x14ac:dyDescent="0.3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149999999999999" customHeight="1" x14ac:dyDescent="0.3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149999999999999" customHeight="1" x14ac:dyDescent="0.3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149999999999999" customHeight="1" x14ac:dyDescent="0.3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149999999999999" customHeight="1" x14ac:dyDescent="0.3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149999999999999" customHeight="1" x14ac:dyDescent="0.3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149999999999999" customHeight="1" x14ac:dyDescent="0.3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149999999999999" customHeight="1" x14ac:dyDescent="0.3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149999999999999" customHeight="1" x14ac:dyDescent="0.3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149999999999999" customHeight="1" x14ac:dyDescent="0.3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149999999999999" customHeight="1" x14ac:dyDescent="0.3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149999999999999" customHeight="1" x14ac:dyDescent="0.3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149999999999999" customHeight="1" x14ac:dyDescent="0.3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149999999999999" customHeight="1" x14ac:dyDescent="0.3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149999999999999" customHeight="1" x14ac:dyDescent="0.3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149999999999999" customHeight="1" x14ac:dyDescent="0.3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149999999999999" customHeight="1" x14ac:dyDescent="0.3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149999999999999" customHeight="1" x14ac:dyDescent="0.3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149999999999999" customHeight="1" x14ac:dyDescent="0.3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149999999999999" customHeight="1" x14ac:dyDescent="0.3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149999999999999" customHeight="1" x14ac:dyDescent="0.3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149999999999999" customHeight="1" x14ac:dyDescent="0.3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149999999999999" customHeight="1" x14ac:dyDescent="0.3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149999999999999" customHeight="1" x14ac:dyDescent="0.3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149999999999999" customHeight="1" x14ac:dyDescent="0.3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149999999999999" customHeight="1" x14ac:dyDescent="0.3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149999999999999" customHeight="1" x14ac:dyDescent="0.3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149999999999999" customHeight="1" x14ac:dyDescent="0.3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149999999999999" customHeight="1" x14ac:dyDescent="0.3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149999999999999" customHeight="1" x14ac:dyDescent="0.3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149999999999999" customHeight="1" x14ac:dyDescent="0.3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149999999999999" customHeight="1" x14ac:dyDescent="0.3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149999999999999" customHeight="1" x14ac:dyDescent="0.3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149999999999999" customHeight="1" x14ac:dyDescent="0.3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149999999999999" customHeight="1" x14ac:dyDescent="0.3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149999999999999" customHeight="1" x14ac:dyDescent="0.3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149999999999999" customHeight="1" x14ac:dyDescent="0.3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149999999999999" customHeight="1" x14ac:dyDescent="0.3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149999999999999" customHeight="1" x14ac:dyDescent="0.3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149999999999999" customHeight="1" x14ac:dyDescent="0.3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149999999999999" customHeight="1" x14ac:dyDescent="0.3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149999999999999" customHeight="1" x14ac:dyDescent="0.3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149999999999999" customHeight="1" x14ac:dyDescent="0.3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149999999999999" customHeight="1" x14ac:dyDescent="0.3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149999999999999" customHeight="1" x14ac:dyDescent="0.3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149999999999999" customHeight="1" x14ac:dyDescent="0.3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149999999999999" customHeight="1" x14ac:dyDescent="0.3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149999999999999" customHeight="1" x14ac:dyDescent="0.3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149999999999999" customHeight="1" x14ac:dyDescent="0.3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149999999999999" customHeight="1" x14ac:dyDescent="0.3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149999999999999" customHeight="1" x14ac:dyDescent="0.3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149999999999999" customHeight="1" x14ac:dyDescent="0.3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149999999999999" customHeight="1" x14ac:dyDescent="0.3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149999999999999" customHeight="1" x14ac:dyDescent="0.3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149999999999999" customHeight="1" x14ac:dyDescent="0.3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149999999999999" customHeight="1" x14ac:dyDescent="0.3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149999999999999" customHeight="1" x14ac:dyDescent="0.3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149999999999999" customHeight="1" x14ac:dyDescent="0.3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149999999999999" customHeight="1" x14ac:dyDescent="0.3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149999999999999" customHeight="1" x14ac:dyDescent="0.3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149999999999999" customHeight="1" x14ac:dyDescent="0.3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149999999999999" customHeight="1" x14ac:dyDescent="0.3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149999999999999" customHeight="1" x14ac:dyDescent="0.3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149999999999999" customHeight="1" x14ac:dyDescent="0.3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149999999999999" customHeight="1" x14ac:dyDescent="0.3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149999999999999" customHeight="1" x14ac:dyDescent="0.3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149999999999999" customHeight="1" x14ac:dyDescent="0.3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149999999999999" customHeight="1" x14ac:dyDescent="0.3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149999999999999" customHeight="1" x14ac:dyDescent="0.3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149999999999999" customHeight="1" x14ac:dyDescent="0.3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149999999999999" customHeight="1" x14ac:dyDescent="0.3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149999999999999" customHeight="1" x14ac:dyDescent="0.3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149999999999999" customHeight="1" x14ac:dyDescent="0.3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149999999999999" customHeight="1" x14ac:dyDescent="0.3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149999999999999" customHeight="1" x14ac:dyDescent="0.3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149999999999999" customHeight="1" x14ac:dyDescent="0.3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149999999999999" customHeight="1" x14ac:dyDescent="0.3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149999999999999" customHeight="1" x14ac:dyDescent="0.3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149999999999999" customHeight="1" x14ac:dyDescent="0.3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149999999999999" customHeight="1" x14ac:dyDescent="0.3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149999999999999" customHeight="1" x14ac:dyDescent="0.3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149999999999999" customHeight="1" x14ac:dyDescent="0.3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149999999999999" customHeight="1" x14ac:dyDescent="0.3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149999999999999" customHeight="1" x14ac:dyDescent="0.3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149999999999999" customHeight="1" x14ac:dyDescent="0.3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149999999999999" customHeight="1" x14ac:dyDescent="0.3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149999999999999" customHeight="1" x14ac:dyDescent="0.3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149999999999999" customHeight="1" x14ac:dyDescent="0.3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149999999999999" customHeight="1" x14ac:dyDescent="0.3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149999999999999" customHeight="1" x14ac:dyDescent="0.3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149999999999999" customHeight="1" x14ac:dyDescent="0.3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149999999999999" customHeight="1" x14ac:dyDescent="0.3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149999999999999" customHeight="1" x14ac:dyDescent="0.3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149999999999999" customHeight="1" x14ac:dyDescent="0.3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149999999999999" customHeight="1" x14ac:dyDescent="0.3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149999999999999" customHeight="1" x14ac:dyDescent="0.3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149999999999999" customHeight="1" x14ac:dyDescent="0.3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149999999999999" customHeight="1" x14ac:dyDescent="0.3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149999999999999" customHeight="1" x14ac:dyDescent="0.3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149999999999999" customHeight="1" x14ac:dyDescent="0.3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149999999999999" customHeight="1" x14ac:dyDescent="0.3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149999999999999" customHeight="1" x14ac:dyDescent="0.3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149999999999999" customHeight="1" x14ac:dyDescent="0.3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149999999999999" customHeight="1" x14ac:dyDescent="0.3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149999999999999" customHeight="1" x14ac:dyDescent="0.3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149999999999999" customHeight="1" x14ac:dyDescent="0.3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149999999999999" customHeight="1" x14ac:dyDescent="0.3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149999999999999" customHeight="1" x14ac:dyDescent="0.3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149999999999999" customHeight="1" x14ac:dyDescent="0.3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149999999999999" customHeight="1" x14ac:dyDescent="0.3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149999999999999" customHeight="1" x14ac:dyDescent="0.3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149999999999999" customHeight="1" x14ac:dyDescent="0.3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149999999999999" customHeight="1" x14ac:dyDescent="0.3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149999999999999" customHeight="1" x14ac:dyDescent="0.3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149999999999999" customHeight="1" x14ac:dyDescent="0.3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149999999999999" customHeight="1" x14ac:dyDescent="0.3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149999999999999" customHeight="1" x14ac:dyDescent="0.3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149999999999999" customHeight="1" x14ac:dyDescent="0.3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149999999999999" customHeight="1" x14ac:dyDescent="0.3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149999999999999" customHeight="1" x14ac:dyDescent="0.3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149999999999999" customHeight="1" x14ac:dyDescent="0.3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149999999999999" customHeight="1" x14ac:dyDescent="0.3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149999999999999" customHeight="1" x14ac:dyDescent="0.3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149999999999999" customHeight="1" x14ac:dyDescent="0.3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149999999999999" customHeight="1" x14ac:dyDescent="0.3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149999999999999" customHeight="1" x14ac:dyDescent="0.3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149999999999999" customHeight="1" x14ac:dyDescent="0.3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149999999999999" customHeight="1" x14ac:dyDescent="0.3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149999999999999" customHeight="1" x14ac:dyDescent="0.3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149999999999999" customHeight="1" x14ac:dyDescent="0.3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149999999999999" customHeight="1" x14ac:dyDescent="0.3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149999999999999" customHeight="1" x14ac:dyDescent="0.3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149999999999999" customHeight="1" x14ac:dyDescent="0.3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149999999999999" customHeight="1" x14ac:dyDescent="0.3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149999999999999" customHeight="1" x14ac:dyDescent="0.3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149999999999999" customHeight="1" x14ac:dyDescent="0.3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149999999999999" customHeight="1" x14ac:dyDescent="0.3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149999999999999" customHeight="1" x14ac:dyDescent="0.3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149999999999999" customHeight="1" x14ac:dyDescent="0.3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149999999999999" customHeight="1" x14ac:dyDescent="0.3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149999999999999" customHeight="1" x14ac:dyDescent="0.3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149999999999999" customHeight="1" x14ac:dyDescent="0.3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149999999999999" customHeight="1" x14ac:dyDescent="0.3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149999999999999" customHeight="1" x14ac:dyDescent="0.3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149999999999999" customHeight="1" x14ac:dyDescent="0.3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149999999999999" customHeight="1" x14ac:dyDescent="0.3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149999999999999" customHeight="1" x14ac:dyDescent="0.3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149999999999999" customHeight="1" x14ac:dyDescent="0.3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149999999999999" customHeight="1" x14ac:dyDescent="0.3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149999999999999" customHeight="1" x14ac:dyDescent="0.3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149999999999999" customHeight="1" x14ac:dyDescent="0.3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149999999999999" customHeight="1" x14ac:dyDescent="0.3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149999999999999" customHeight="1" x14ac:dyDescent="0.3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149999999999999" customHeight="1" x14ac:dyDescent="0.3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149999999999999" customHeight="1" x14ac:dyDescent="0.3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149999999999999" customHeight="1" x14ac:dyDescent="0.3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149999999999999" customHeight="1" x14ac:dyDescent="0.3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149999999999999" customHeight="1" x14ac:dyDescent="0.3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149999999999999" customHeight="1" x14ac:dyDescent="0.3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149999999999999" customHeight="1" x14ac:dyDescent="0.3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149999999999999" customHeight="1" x14ac:dyDescent="0.3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149999999999999" customHeight="1" x14ac:dyDescent="0.3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149999999999999" customHeight="1" x14ac:dyDescent="0.3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149999999999999" customHeight="1" x14ac:dyDescent="0.3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149999999999999" customHeight="1" x14ac:dyDescent="0.3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149999999999999" customHeight="1" x14ac:dyDescent="0.3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149999999999999" customHeight="1" x14ac:dyDescent="0.3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149999999999999" customHeight="1" x14ac:dyDescent="0.3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149999999999999" customHeight="1" x14ac:dyDescent="0.3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149999999999999" customHeight="1" x14ac:dyDescent="0.3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149999999999999" customHeight="1" x14ac:dyDescent="0.3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149999999999999" customHeight="1" x14ac:dyDescent="0.3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149999999999999" customHeight="1" x14ac:dyDescent="0.3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149999999999999" customHeight="1" x14ac:dyDescent="0.3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149999999999999" customHeight="1" x14ac:dyDescent="0.3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149999999999999" customHeight="1" x14ac:dyDescent="0.3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149999999999999" customHeight="1" x14ac:dyDescent="0.3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149999999999999" customHeight="1" x14ac:dyDescent="0.3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149999999999999" customHeight="1" x14ac:dyDescent="0.3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149999999999999" customHeight="1" x14ac:dyDescent="0.3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149999999999999" customHeight="1" x14ac:dyDescent="0.3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149999999999999" customHeight="1" x14ac:dyDescent="0.3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149999999999999" customHeight="1" x14ac:dyDescent="0.3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149999999999999" customHeight="1" x14ac:dyDescent="0.3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149999999999999" customHeight="1" x14ac:dyDescent="0.3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149999999999999" customHeight="1" x14ac:dyDescent="0.3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149999999999999" customHeight="1" x14ac:dyDescent="0.3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149999999999999" customHeight="1" x14ac:dyDescent="0.3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149999999999999" customHeight="1" x14ac:dyDescent="0.3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149999999999999" customHeight="1" x14ac:dyDescent="0.3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149999999999999" customHeight="1" x14ac:dyDescent="0.3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149999999999999" customHeight="1" x14ac:dyDescent="0.3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149999999999999" customHeight="1" x14ac:dyDescent="0.3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149999999999999" customHeight="1" x14ac:dyDescent="0.3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149999999999999" customHeight="1" x14ac:dyDescent="0.3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149999999999999" customHeight="1" x14ac:dyDescent="0.3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149999999999999" customHeight="1" x14ac:dyDescent="0.3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149999999999999" customHeight="1" x14ac:dyDescent="0.3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149999999999999" customHeight="1" x14ac:dyDescent="0.3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149999999999999" customHeight="1" x14ac:dyDescent="0.3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149999999999999" customHeight="1" x14ac:dyDescent="0.3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149999999999999" customHeight="1" x14ac:dyDescent="0.3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149999999999999" customHeight="1" x14ac:dyDescent="0.3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149999999999999" customHeight="1" x14ac:dyDescent="0.3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149999999999999" customHeight="1" x14ac:dyDescent="0.3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149999999999999" customHeight="1" x14ac:dyDescent="0.3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149999999999999" customHeight="1" x14ac:dyDescent="0.3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149999999999999" customHeight="1" x14ac:dyDescent="0.3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149999999999999" customHeight="1" x14ac:dyDescent="0.3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149999999999999" customHeight="1" x14ac:dyDescent="0.3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149999999999999" customHeight="1" x14ac:dyDescent="0.3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149999999999999" customHeight="1" x14ac:dyDescent="0.3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149999999999999" customHeight="1" x14ac:dyDescent="0.3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149999999999999" customHeight="1" x14ac:dyDescent="0.3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149999999999999" customHeight="1" x14ac:dyDescent="0.3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149999999999999" customHeight="1" x14ac:dyDescent="0.3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149999999999999" customHeight="1" x14ac:dyDescent="0.3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149999999999999" customHeight="1" x14ac:dyDescent="0.3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149999999999999" customHeight="1" x14ac:dyDescent="0.3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149999999999999" customHeight="1" x14ac:dyDescent="0.3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149999999999999" customHeight="1" x14ac:dyDescent="0.3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149999999999999" customHeight="1" x14ac:dyDescent="0.3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149999999999999" customHeight="1" x14ac:dyDescent="0.3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149999999999999" customHeight="1" x14ac:dyDescent="0.3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149999999999999" customHeight="1" x14ac:dyDescent="0.3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149999999999999" customHeight="1" x14ac:dyDescent="0.3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149999999999999" customHeight="1" x14ac:dyDescent="0.3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149999999999999" customHeight="1" x14ac:dyDescent="0.3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149999999999999" customHeight="1" x14ac:dyDescent="0.3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149999999999999" customHeight="1" x14ac:dyDescent="0.3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149999999999999" customHeight="1" x14ac:dyDescent="0.3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149999999999999" customHeight="1" x14ac:dyDescent="0.3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149999999999999" customHeight="1" x14ac:dyDescent="0.3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149999999999999" customHeight="1" x14ac:dyDescent="0.3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149999999999999" customHeight="1" x14ac:dyDescent="0.3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149999999999999" customHeight="1" x14ac:dyDescent="0.3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149999999999999" customHeight="1" x14ac:dyDescent="0.3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149999999999999" customHeight="1" x14ac:dyDescent="0.3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149999999999999" customHeight="1" x14ac:dyDescent="0.3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149999999999999" customHeight="1" x14ac:dyDescent="0.3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149999999999999" customHeight="1" x14ac:dyDescent="0.3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149999999999999" customHeight="1" x14ac:dyDescent="0.3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149999999999999" customHeight="1" x14ac:dyDescent="0.3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149999999999999" customHeight="1" x14ac:dyDescent="0.3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149999999999999" customHeight="1" x14ac:dyDescent="0.3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149999999999999" customHeight="1" x14ac:dyDescent="0.3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149999999999999" customHeight="1" x14ac:dyDescent="0.3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149999999999999" customHeight="1" x14ac:dyDescent="0.3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149999999999999" customHeight="1" x14ac:dyDescent="0.3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149999999999999" customHeight="1" x14ac:dyDescent="0.3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149999999999999" customHeight="1" x14ac:dyDescent="0.3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149999999999999" customHeight="1" x14ac:dyDescent="0.3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149999999999999" customHeight="1" x14ac:dyDescent="0.3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149999999999999" customHeight="1" x14ac:dyDescent="0.3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149999999999999" customHeight="1" x14ac:dyDescent="0.3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149999999999999" customHeight="1" x14ac:dyDescent="0.3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149999999999999" customHeight="1" x14ac:dyDescent="0.3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149999999999999" customHeight="1" x14ac:dyDescent="0.3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149999999999999" customHeight="1" x14ac:dyDescent="0.3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149999999999999" customHeight="1" x14ac:dyDescent="0.3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149999999999999" customHeight="1" x14ac:dyDescent="0.3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149999999999999" customHeight="1" x14ac:dyDescent="0.3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149999999999999" customHeight="1" x14ac:dyDescent="0.3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149999999999999" customHeight="1" x14ac:dyDescent="0.3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149999999999999" customHeight="1" x14ac:dyDescent="0.3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149999999999999" customHeight="1" x14ac:dyDescent="0.3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149999999999999" customHeight="1" x14ac:dyDescent="0.3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149999999999999" customHeight="1" x14ac:dyDescent="0.3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149999999999999" customHeight="1" x14ac:dyDescent="0.3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149999999999999" customHeight="1" x14ac:dyDescent="0.3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149999999999999" customHeight="1" x14ac:dyDescent="0.3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149999999999999" customHeight="1" x14ac:dyDescent="0.3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149999999999999" customHeight="1" x14ac:dyDescent="0.3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149999999999999" customHeight="1" x14ac:dyDescent="0.3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149999999999999" customHeight="1" x14ac:dyDescent="0.3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149999999999999" customHeight="1" x14ac:dyDescent="0.3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149999999999999" customHeight="1" x14ac:dyDescent="0.3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149999999999999" customHeight="1" x14ac:dyDescent="0.3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149999999999999" customHeight="1" x14ac:dyDescent="0.3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149999999999999" customHeight="1" x14ac:dyDescent="0.3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149999999999999" customHeight="1" x14ac:dyDescent="0.3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149999999999999" customHeight="1" x14ac:dyDescent="0.3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149999999999999" customHeight="1" x14ac:dyDescent="0.3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149999999999999" customHeight="1" x14ac:dyDescent="0.3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149999999999999" customHeight="1" x14ac:dyDescent="0.3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149999999999999" customHeight="1" x14ac:dyDescent="0.3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149999999999999" customHeight="1" x14ac:dyDescent="0.3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149999999999999" customHeight="1" x14ac:dyDescent="0.3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149999999999999" customHeight="1" x14ac:dyDescent="0.3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149999999999999" customHeight="1" x14ac:dyDescent="0.3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149999999999999" customHeight="1" x14ac:dyDescent="0.3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149999999999999" customHeight="1" x14ac:dyDescent="0.3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149999999999999" customHeight="1" x14ac:dyDescent="0.3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149999999999999" customHeight="1" x14ac:dyDescent="0.3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149999999999999" customHeight="1" x14ac:dyDescent="0.3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149999999999999" customHeight="1" x14ac:dyDescent="0.3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149999999999999" customHeight="1" x14ac:dyDescent="0.3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149999999999999" customHeight="1" x14ac:dyDescent="0.3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149999999999999" customHeight="1" x14ac:dyDescent="0.3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149999999999999" customHeight="1" x14ac:dyDescent="0.3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149999999999999" customHeight="1" x14ac:dyDescent="0.3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149999999999999" customHeight="1" x14ac:dyDescent="0.3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149999999999999" customHeight="1" x14ac:dyDescent="0.3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149999999999999" customHeight="1" x14ac:dyDescent="0.3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149999999999999" customHeight="1" x14ac:dyDescent="0.3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149999999999999" customHeight="1" x14ac:dyDescent="0.3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149999999999999" customHeight="1" x14ac:dyDescent="0.3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149999999999999" customHeight="1" x14ac:dyDescent="0.3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149999999999999" customHeight="1" x14ac:dyDescent="0.3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149999999999999" customHeight="1" x14ac:dyDescent="0.3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149999999999999" customHeight="1" x14ac:dyDescent="0.3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149999999999999" customHeight="1" x14ac:dyDescent="0.3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149999999999999" customHeight="1" x14ac:dyDescent="0.3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149999999999999" customHeight="1" x14ac:dyDescent="0.3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149999999999999" customHeight="1" x14ac:dyDescent="0.3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149999999999999" customHeight="1" x14ac:dyDescent="0.3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149999999999999" customHeight="1" x14ac:dyDescent="0.3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149999999999999" customHeight="1" x14ac:dyDescent="0.3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149999999999999" customHeight="1" x14ac:dyDescent="0.3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149999999999999" customHeight="1" x14ac:dyDescent="0.3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149999999999999" customHeight="1" x14ac:dyDescent="0.3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149999999999999" customHeight="1" x14ac:dyDescent="0.3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149999999999999" customHeight="1" x14ac:dyDescent="0.3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149999999999999" customHeight="1" x14ac:dyDescent="0.3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149999999999999" customHeight="1" x14ac:dyDescent="0.3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149999999999999" customHeight="1" x14ac:dyDescent="0.3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149999999999999" customHeight="1" x14ac:dyDescent="0.3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149999999999999" customHeight="1" x14ac:dyDescent="0.3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149999999999999" customHeight="1" x14ac:dyDescent="0.3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149999999999999" customHeight="1" x14ac:dyDescent="0.3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149999999999999" customHeight="1" x14ac:dyDescent="0.3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149999999999999" customHeight="1" x14ac:dyDescent="0.3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149999999999999" customHeight="1" x14ac:dyDescent="0.3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149999999999999" customHeight="1" x14ac:dyDescent="0.3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149999999999999" customHeight="1" x14ac:dyDescent="0.3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149999999999999" customHeight="1" x14ac:dyDescent="0.3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149999999999999" customHeight="1" x14ac:dyDescent="0.3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149999999999999" customHeight="1" x14ac:dyDescent="0.3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149999999999999" customHeight="1" x14ac:dyDescent="0.3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149999999999999" customHeight="1" x14ac:dyDescent="0.3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149999999999999" customHeight="1" x14ac:dyDescent="0.3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149999999999999" customHeight="1" x14ac:dyDescent="0.3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149999999999999" customHeight="1" x14ac:dyDescent="0.3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149999999999999" customHeight="1" x14ac:dyDescent="0.3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149999999999999" customHeight="1" x14ac:dyDescent="0.3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149999999999999" customHeight="1" x14ac:dyDescent="0.3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149999999999999" customHeight="1" x14ac:dyDescent="0.3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149999999999999" customHeight="1" x14ac:dyDescent="0.3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149999999999999" customHeight="1" x14ac:dyDescent="0.3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149999999999999" customHeight="1" x14ac:dyDescent="0.3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149999999999999" customHeight="1" x14ac:dyDescent="0.3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149999999999999" customHeight="1" x14ac:dyDescent="0.3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149999999999999" customHeight="1" x14ac:dyDescent="0.3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149999999999999" customHeight="1" x14ac:dyDescent="0.3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149999999999999" customHeight="1" x14ac:dyDescent="0.3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149999999999999" customHeight="1" x14ac:dyDescent="0.3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149999999999999" customHeight="1" x14ac:dyDescent="0.3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149999999999999" customHeight="1" x14ac:dyDescent="0.3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149999999999999" customHeight="1" x14ac:dyDescent="0.3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149999999999999" customHeight="1" x14ac:dyDescent="0.3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149999999999999" customHeight="1" x14ac:dyDescent="0.3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149999999999999" customHeight="1" x14ac:dyDescent="0.3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149999999999999" customHeight="1" x14ac:dyDescent="0.3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149999999999999" customHeight="1" x14ac:dyDescent="0.3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149999999999999" customHeight="1" x14ac:dyDescent="0.3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149999999999999" customHeight="1" x14ac:dyDescent="0.3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149999999999999" customHeight="1" x14ac:dyDescent="0.3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149999999999999" customHeight="1" x14ac:dyDescent="0.3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149999999999999" customHeight="1" x14ac:dyDescent="0.3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149999999999999" customHeight="1" x14ac:dyDescent="0.3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149999999999999" customHeight="1" x14ac:dyDescent="0.3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149999999999999" customHeight="1" x14ac:dyDescent="0.3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149999999999999" customHeight="1" x14ac:dyDescent="0.3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149999999999999" customHeight="1" x14ac:dyDescent="0.3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149999999999999" customHeight="1" x14ac:dyDescent="0.3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149999999999999" customHeight="1" x14ac:dyDescent="0.3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149999999999999" customHeight="1" x14ac:dyDescent="0.3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149999999999999" customHeight="1" x14ac:dyDescent="0.3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149999999999999" customHeight="1" x14ac:dyDescent="0.3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149999999999999" customHeight="1" x14ac:dyDescent="0.3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149999999999999" customHeight="1" x14ac:dyDescent="0.3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149999999999999" customHeight="1" x14ac:dyDescent="0.3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149999999999999" customHeight="1" x14ac:dyDescent="0.3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149999999999999" customHeight="1" x14ac:dyDescent="0.3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149999999999999" customHeight="1" x14ac:dyDescent="0.3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149999999999999" customHeight="1" x14ac:dyDescent="0.3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149999999999999" customHeight="1" x14ac:dyDescent="0.3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149999999999999" customHeight="1" x14ac:dyDescent="0.3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149999999999999" customHeight="1" x14ac:dyDescent="0.3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149999999999999" customHeight="1" x14ac:dyDescent="0.3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149999999999999" customHeight="1" x14ac:dyDescent="0.3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149999999999999" customHeight="1" x14ac:dyDescent="0.3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149999999999999" customHeight="1" x14ac:dyDescent="0.3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149999999999999" customHeight="1" x14ac:dyDescent="0.3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149999999999999" customHeight="1" x14ac:dyDescent="0.3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149999999999999" customHeight="1" x14ac:dyDescent="0.3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149999999999999" customHeight="1" x14ac:dyDescent="0.3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149999999999999" customHeight="1" x14ac:dyDescent="0.3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149999999999999" customHeight="1" x14ac:dyDescent="0.3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149999999999999" customHeight="1" x14ac:dyDescent="0.3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149999999999999" customHeight="1" x14ac:dyDescent="0.3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149999999999999" customHeight="1" x14ac:dyDescent="0.3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149999999999999" customHeight="1" x14ac:dyDescent="0.3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149999999999999" customHeight="1" x14ac:dyDescent="0.3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149999999999999" customHeight="1" x14ac:dyDescent="0.3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149999999999999" customHeight="1" x14ac:dyDescent="0.3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149999999999999" customHeight="1" x14ac:dyDescent="0.3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149999999999999" customHeight="1" x14ac:dyDescent="0.3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149999999999999" customHeight="1" x14ac:dyDescent="0.3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149999999999999" customHeight="1" x14ac:dyDescent="0.3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149999999999999" customHeight="1" x14ac:dyDescent="0.3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149999999999999" customHeight="1" x14ac:dyDescent="0.3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149999999999999" customHeight="1" x14ac:dyDescent="0.3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149999999999999" customHeight="1" x14ac:dyDescent="0.3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149999999999999" customHeight="1" x14ac:dyDescent="0.3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149999999999999" customHeight="1" x14ac:dyDescent="0.3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149999999999999" customHeight="1" x14ac:dyDescent="0.3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149999999999999" customHeight="1" x14ac:dyDescent="0.3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149999999999999" customHeight="1" x14ac:dyDescent="0.3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149999999999999" customHeight="1" x14ac:dyDescent="0.3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149999999999999" customHeight="1" x14ac:dyDescent="0.3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149999999999999" customHeight="1" x14ac:dyDescent="0.3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149999999999999" customHeight="1" x14ac:dyDescent="0.3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149999999999999" customHeight="1" x14ac:dyDescent="0.3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149999999999999" customHeight="1" x14ac:dyDescent="0.3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149999999999999" customHeight="1" x14ac:dyDescent="0.3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149999999999999" customHeight="1" x14ac:dyDescent="0.3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149999999999999" customHeight="1" x14ac:dyDescent="0.3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149999999999999" customHeight="1" x14ac:dyDescent="0.3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149999999999999" customHeight="1" x14ac:dyDescent="0.3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149999999999999" customHeight="1" x14ac:dyDescent="0.3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149999999999999" customHeight="1" x14ac:dyDescent="0.3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149999999999999" customHeight="1" x14ac:dyDescent="0.3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149999999999999" customHeight="1" x14ac:dyDescent="0.3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149999999999999" customHeight="1" x14ac:dyDescent="0.3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149999999999999" customHeight="1" x14ac:dyDescent="0.3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149999999999999" customHeight="1" x14ac:dyDescent="0.3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149999999999999" customHeight="1" x14ac:dyDescent="0.3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149999999999999" customHeight="1" x14ac:dyDescent="0.3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149999999999999" customHeight="1" x14ac:dyDescent="0.3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149999999999999" customHeight="1" x14ac:dyDescent="0.3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149999999999999" customHeight="1" x14ac:dyDescent="0.3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149999999999999" customHeight="1" x14ac:dyDescent="0.3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149999999999999" customHeight="1" x14ac:dyDescent="0.3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149999999999999" customHeight="1" x14ac:dyDescent="0.3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149999999999999" customHeight="1" x14ac:dyDescent="0.3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149999999999999" customHeight="1" x14ac:dyDescent="0.3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149999999999999" customHeight="1" x14ac:dyDescent="0.3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149999999999999" customHeight="1" x14ac:dyDescent="0.3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149999999999999" customHeight="1" x14ac:dyDescent="0.3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149999999999999" customHeight="1" x14ac:dyDescent="0.3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149999999999999" customHeight="1" x14ac:dyDescent="0.3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149999999999999" customHeight="1" x14ac:dyDescent="0.3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149999999999999" customHeight="1" x14ac:dyDescent="0.3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149999999999999" customHeight="1" x14ac:dyDescent="0.3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149999999999999" customHeight="1" x14ac:dyDescent="0.3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149999999999999" customHeight="1" x14ac:dyDescent="0.3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149999999999999" customHeight="1" x14ac:dyDescent="0.3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149999999999999" customHeight="1" x14ac:dyDescent="0.3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149999999999999" customHeight="1" x14ac:dyDescent="0.3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149999999999999" customHeight="1" x14ac:dyDescent="0.3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149999999999999" customHeight="1" x14ac:dyDescent="0.3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149999999999999" customHeight="1" x14ac:dyDescent="0.3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149999999999999" customHeight="1" x14ac:dyDescent="0.3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149999999999999" customHeight="1" x14ac:dyDescent="0.3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149999999999999" customHeight="1" x14ac:dyDescent="0.3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149999999999999" customHeight="1" x14ac:dyDescent="0.3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149999999999999" customHeight="1" x14ac:dyDescent="0.3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149999999999999" customHeight="1" x14ac:dyDescent="0.3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149999999999999" customHeight="1" x14ac:dyDescent="0.3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149999999999999" customHeight="1" x14ac:dyDescent="0.3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149999999999999" customHeight="1" x14ac:dyDescent="0.3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149999999999999" customHeight="1" x14ac:dyDescent="0.3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149999999999999" customHeight="1" x14ac:dyDescent="0.3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149999999999999" customHeight="1" x14ac:dyDescent="0.3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149999999999999" customHeight="1" x14ac:dyDescent="0.3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149999999999999" customHeight="1" x14ac:dyDescent="0.3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149999999999999" customHeight="1" x14ac:dyDescent="0.3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149999999999999" customHeight="1" x14ac:dyDescent="0.3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149999999999999" customHeight="1" x14ac:dyDescent="0.3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149999999999999" customHeight="1" x14ac:dyDescent="0.3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149999999999999" customHeight="1" x14ac:dyDescent="0.3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149999999999999" customHeight="1" x14ac:dyDescent="0.3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149999999999999" customHeight="1" x14ac:dyDescent="0.3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149999999999999" customHeight="1" x14ac:dyDescent="0.3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149999999999999" customHeight="1" x14ac:dyDescent="0.3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149999999999999" customHeight="1" x14ac:dyDescent="0.3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149999999999999" customHeight="1" x14ac:dyDescent="0.3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149999999999999" customHeight="1" x14ac:dyDescent="0.3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149999999999999" customHeight="1" x14ac:dyDescent="0.3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149999999999999" customHeight="1" x14ac:dyDescent="0.3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149999999999999" customHeight="1" x14ac:dyDescent="0.3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149999999999999" customHeight="1" x14ac:dyDescent="0.3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149999999999999" customHeight="1" x14ac:dyDescent="0.3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149999999999999" customHeight="1" x14ac:dyDescent="0.3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149999999999999" customHeight="1" x14ac:dyDescent="0.3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149999999999999" customHeight="1" x14ac:dyDescent="0.3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149999999999999" customHeight="1" x14ac:dyDescent="0.3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149999999999999" customHeight="1" x14ac:dyDescent="0.3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149999999999999" customHeight="1" x14ac:dyDescent="0.3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149999999999999" customHeight="1" x14ac:dyDescent="0.3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149999999999999" customHeight="1" x14ac:dyDescent="0.3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149999999999999" customHeight="1" x14ac:dyDescent="0.3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149999999999999" customHeight="1" x14ac:dyDescent="0.3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149999999999999" customHeight="1" x14ac:dyDescent="0.3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149999999999999" customHeight="1" x14ac:dyDescent="0.3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149999999999999" customHeight="1" x14ac:dyDescent="0.3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149999999999999" customHeight="1" x14ac:dyDescent="0.3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149999999999999" customHeight="1" x14ac:dyDescent="0.3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149999999999999" customHeight="1" x14ac:dyDescent="0.3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149999999999999" customHeight="1" x14ac:dyDescent="0.3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149999999999999" customHeight="1" x14ac:dyDescent="0.3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149999999999999" customHeight="1" x14ac:dyDescent="0.3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149999999999999" customHeight="1" x14ac:dyDescent="0.3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149999999999999" customHeight="1" x14ac:dyDescent="0.3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149999999999999" customHeight="1" x14ac:dyDescent="0.3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149999999999999" customHeight="1" x14ac:dyDescent="0.3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149999999999999" customHeight="1" x14ac:dyDescent="0.3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149999999999999" customHeight="1" x14ac:dyDescent="0.3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149999999999999" customHeight="1" x14ac:dyDescent="0.3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149999999999999" customHeight="1" x14ac:dyDescent="0.3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149999999999999" customHeight="1" x14ac:dyDescent="0.3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149999999999999" customHeight="1" x14ac:dyDescent="0.3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149999999999999" customHeight="1" x14ac:dyDescent="0.3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149999999999999" customHeight="1" x14ac:dyDescent="0.3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149999999999999" customHeight="1" x14ac:dyDescent="0.3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149999999999999" customHeight="1" x14ac:dyDescent="0.3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149999999999999" customHeight="1" x14ac:dyDescent="0.3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149999999999999" customHeight="1" x14ac:dyDescent="0.3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149999999999999" customHeight="1" x14ac:dyDescent="0.3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149999999999999" customHeight="1" x14ac:dyDescent="0.3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149999999999999" customHeight="1" x14ac:dyDescent="0.3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149999999999999" customHeight="1" x14ac:dyDescent="0.3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149999999999999" customHeight="1" x14ac:dyDescent="0.3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149999999999999" customHeight="1" x14ac:dyDescent="0.3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149999999999999" customHeight="1" x14ac:dyDescent="0.3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149999999999999" customHeight="1" x14ac:dyDescent="0.3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149999999999999" customHeight="1" x14ac:dyDescent="0.3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149999999999999" customHeight="1" x14ac:dyDescent="0.3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149999999999999" customHeight="1" x14ac:dyDescent="0.3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149999999999999" customHeight="1" x14ac:dyDescent="0.3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149999999999999" customHeight="1" x14ac:dyDescent="0.3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149999999999999" customHeight="1" x14ac:dyDescent="0.3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149999999999999" customHeight="1" x14ac:dyDescent="0.3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149999999999999" customHeight="1" x14ac:dyDescent="0.3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149999999999999" customHeight="1" x14ac:dyDescent="0.3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149999999999999" customHeight="1" x14ac:dyDescent="0.3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149999999999999" customHeight="1" x14ac:dyDescent="0.3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149999999999999" customHeight="1" x14ac:dyDescent="0.3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149999999999999" customHeight="1" x14ac:dyDescent="0.3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149999999999999" customHeight="1" x14ac:dyDescent="0.3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149999999999999" customHeight="1" x14ac:dyDescent="0.3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149999999999999" customHeight="1" x14ac:dyDescent="0.3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149999999999999" customHeight="1" x14ac:dyDescent="0.3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149999999999999" customHeight="1" x14ac:dyDescent="0.3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149999999999999" customHeight="1" x14ac:dyDescent="0.3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149999999999999" customHeight="1" x14ac:dyDescent="0.3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149999999999999" customHeight="1" x14ac:dyDescent="0.3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149999999999999" customHeight="1" x14ac:dyDescent="0.3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149999999999999" customHeight="1" x14ac:dyDescent="0.3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149999999999999" customHeight="1" x14ac:dyDescent="0.3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149999999999999" customHeight="1" x14ac:dyDescent="0.3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149999999999999" customHeight="1" x14ac:dyDescent="0.3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149999999999999" customHeight="1" x14ac:dyDescent="0.3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149999999999999" customHeight="1" x14ac:dyDescent="0.3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149999999999999" customHeight="1" x14ac:dyDescent="0.3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149999999999999" customHeight="1" x14ac:dyDescent="0.3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149999999999999" customHeight="1" x14ac:dyDescent="0.3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149999999999999" customHeight="1" x14ac:dyDescent="0.3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149999999999999" customHeight="1" x14ac:dyDescent="0.3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149999999999999" customHeight="1" x14ac:dyDescent="0.3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149999999999999" customHeight="1" x14ac:dyDescent="0.3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149999999999999" customHeight="1" x14ac:dyDescent="0.3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149999999999999" customHeight="1" x14ac:dyDescent="0.3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149999999999999" customHeight="1" x14ac:dyDescent="0.3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149999999999999" customHeight="1" x14ac:dyDescent="0.3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149999999999999" customHeight="1" x14ac:dyDescent="0.3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149999999999999" customHeight="1" x14ac:dyDescent="0.3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149999999999999" customHeight="1" x14ac:dyDescent="0.3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149999999999999" customHeight="1" x14ac:dyDescent="0.3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149999999999999" customHeight="1" x14ac:dyDescent="0.3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149999999999999" customHeight="1" x14ac:dyDescent="0.3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149999999999999" customHeight="1" x14ac:dyDescent="0.3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149999999999999" customHeight="1" x14ac:dyDescent="0.3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149999999999999" customHeight="1" x14ac:dyDescent="0.3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149999999999999" customHeight="1" x14ac:dyDescent="0.3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149999999999999" customHeight="1" x14ac:dyDescent="0.3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149999999999999" customHeight="1" x14ac:dyDescent="0.3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149999999999999" customHeight="1" x14ac:dyDescent="0.3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149999999999999" customHeight="1" x14ac:dyDescent="0.3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149999999999999" customHeight="1" x14ac:dyDescent="0.3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149999999999999" customHeight="1" x14ac:dyDescent="0.3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149999999999999" customHeight="1" x14ac:dyDescent="0.3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149999999999999" customHeight="1" x14ac:dyDescent="0.3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149999999999999" customHeight="1" x14ac:dyDescent="0.3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149999999999999" customHeight="1" x14ac:dyDescent="0.3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149999999999999" customHeight="1" x14ac:dyDescent="0.3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149999999999999" customHeight="1" x14ac:dyDescent="0.3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149999999999999" customHeight="1" x14ac:dyDescent="0.3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149999999999999" customHeight="1" x14ac:dyDescent="0.3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149999999999999" customHeight="1" x14ac:dyDescent="0.3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149999999999999" customHeight="1" x14ac:dyDescent="0.3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149999999999999" customHeight="1" x14ac:dyDescent="0.3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149999999999999" customHeight="1" x14ac:dyDescent="0.3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149999999999999" customHeight="1" x14ac:dyDescent="0.3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149999999999999" customHeight="1" x14ac:dyDescent="0.3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149999999999999" customHeight="1" x14ac:dyDescent="0.3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149999999999999" customHeight="1" x14ac:dyDescent="0.3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149999999999999" customHeight="1" x14ac:dyDescent="0.3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149999999999999" customHeight="1" x14ac:dyDescent="0.3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149999999999999" customHeight="1" x14ac:dyDescent="0.3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149999999999999" customHeight="1" x14ac:dyDescent="0.3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149999999999999" customHeight="1" x14ac:dyDescent="0.3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149999999999999" customHeight="1" x14ac:dyDescent="0.3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149999999999999" customHeight="1" x14ac:dyDescent="0.3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149999999999999" customHeight="1" x14ac:dyDescent="0.3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149999999999999" customHeight="1" x14ac:dyDescent="0.3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149999999999999" customHeight="1" x14ac:dyDescent="0.3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149999999999999" customHeight="1" x14ac:dyDescent="0.3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149999999999999" customHeight="1" x14ac:dyDescent="0.3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149999999999999" customHeight="1" x14ac:dyDescent="0.3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149999999999999" customHeight="1" x14ac:dyDescent="0.3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149999999999999" customHeight="1" x14ac:dyDescent="0.3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149999999999999" customHeight="1" x14ac:dyDescent="0.3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149999999999999" customHeight="1" x14ac:dyDescent="0.3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149999999999999" customHeight="1" x14ac:dyDescent="0.3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149999999999999" customHeight="1" x14ac:dyDescent="0.3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149999999999999" customHeight="1" x14ac:dyDescent="0.3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149999999999999" customHeight="1" x14ac:dyDescent="0.3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149999999999999" customHeight="1" x14ac:dyDescent="0.3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149999999999999" customHeight="1" x14ac:dyDescent="0.3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149999999999999" customHeight="1" x14ac:dyDescent="0.3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149999999999999" customHeight="1" x14ac:dyDescent="0.3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149999999999999" customHeight="1" x14ac:dyDescent="0.3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149999999999999" customHeight="1" x14ac:dyDescent="0.3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149999999999999" customHeight="1" x14ac:dyDescent="0.3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149999999999999" customHeight="1" x14ac:dyDescent="0.3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149999999999999" customHeight="1" x14ac:dyDescent="0.3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149999999999999" customHeight="1" x14ac:dyDescent="0.3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149999999999999" customHeight="1" x14ac:dyDescent="0.3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149999999999999" customHeight="1" x14ac:dyDescent="0.3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149999999999999" customHeight="1" x14ac:dyDescent="0.3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149999999999999" customHeight="1" x14ac:dyDescent="0.3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149999999999999" customHeight="1" x14ac:dyDescent="0.3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149999999999999" customHeight="1" x14ac:dyDescent="0.3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149999999999999" customHeight="1" x14ac:dyDescent="0.3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149999999999999" customHeight="1" x14ac:dyDescent="0.3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149999999999999" customHeight="1" x14ac:dyDescent="0.3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149999999999999" customHeight="1" x14ac:dyDescent="0.3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149999999999999" customHeight="1" x14ac:dyDescent="0.3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149999999999999" customHeight="1" x14ac:dyDescent="0.3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149999999999999" customHeight="1" x14ac:dyDescent="0.3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149999999999999" customHeight="1" x14ac:dyDescent="0.3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149999999999999" customHeight="1" x14ac:dyDescent="0.3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149999999999999" customHeight="1" x14ac:dyDescent="0.3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149999999999999" customHeight="1" x14ac:dyDescent="0.3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149999999999999" customHeight="1" x14ac:dyDescent="0.3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149999999999999" customHeight="1" x14ac:dyDescent="0.3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149999999999999" customHeight="1" x14ac:dyDescent="0.3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149999999999999" customHeight="1" x14ac:dyDescent="0.3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149999999999999" customHeight="1" x14ac:dyDescent="0.3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149999999999999" customHeight="1" x14ac:dyDescent="0.3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149999999999999" customHeight="1" x14ac:dyDescent="0.3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149999999999999" customHeight="1" x14ac:dyDescent="0.3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149999999999999" customHeight="1" x14ac:dyDescent="0.3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149999999999999" customHeight="1" x14ac:dyDescent="0.3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149999999999999" customHeight="1" x14ac:dyDescent="0.3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149999999999999" customHeight="1" x14ac:dyDescent="0.3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149999999999999" customHeight="1" x14ac:dyDescent="0.3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149999999999999" customHeight="1" x14ac:dyDescent="0.3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149999999999999" customHeight="1" x14ac:dyDescent="0.3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149999999999999" customHeight="1" x14ac:dyDescent="0.3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149999999999999" customHeight="1" x14ac:dyDescent="0.3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149999999999999" customHeight="1" x14ac:dyDescent="0.3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149999999999999" customHeight="1" x14ac:dyDescent="0.3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149999999999999" customHeight="1" x14ac:dyDescent="0.3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149999999999999" customHeight="1" x14ac:dyDescent="0.3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149999999999999" customHeight="1" x14ac:dyDescent="0.3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149999999999999" customHeight="1" x14ac:dyDescent="0.3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149999999999999" customHeight="1" x14ac:dyDescent="0.3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149999999999999" customHeight="1" x14ac:dyDescent="0.3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149999999999999" customHeight="1" x14ac:dyDescent="0.3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149999999999999" customHeight="1" x14ac:dyDescent="0.3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149999999999999" customHeight="1" x14ac:dyDescent="0.3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149999999999999" customHeight="1" x14ac:dyDescent="0.3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149999999999999" customHeight="1" x14ac:dyDescent="0.3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149999999999999" customHeight="1" x14ac:dyDescent="0.3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149999999999999" customHeight="1" x14ac:dyDescent="0.3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149999999999999" customHeight="1" x14ac:dyDescent="0.3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149999999999999" customHeight="1" x14ac:dyDescent="0.3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149999999999999" customHeight="1" x14ac:dyDescent="0.3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149999999999999" customHeight="1" x14ac:dyDescent="0.3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149999999999999" customHeight="1" x14ac:dyDescent="0.3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149999999999999" customHeight="1" x14ac:dyDescent="0.3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149999999999999" customHeight="1" x14ac:dyDescent="0.3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149999999999999" customHeight="1" x14ac:dyDescent="0.3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149999999999999" customHeight="1" x14ac:dyDescent="0.3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149999999999999" customHeight="1" x14ac:dyDescent="0.3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149999999999999" customHeight="1" x14ac:dyDescent="0.3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149999999999999" customHeight="1" x14ac:dyDescent="0.3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149999999999999" customHeight="1" x14ac:dyDescent="0.3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149999999999999" customHeight="1" x14ac:dyDescent="0.3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149999999999999" customHeight="1" x14ac:dyDescent="0.3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149999999999999" customHeight="1" x14ac:dyDescent="0.3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149999999999999" customHeight="1" x14ac:dyDescent="0.3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149999999999999" customHeight="1" x14ac:dyDescent="0.3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149999999999999" customHeight="1" x14ac:dyDescent="0.3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149999999999999" customHeight="1" x14ac:dyDescent="0.3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149999999999999" customHeight="1" x14ac:dyDescent="0.3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149999999999999" customHeight="1" x14ac:dyDescent="0.3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149999999999999" customHeight="1" x14ac:dyDescent="0.3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149999999999999" customHeight="1" x14ac:dyDescent="0.3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149999999999999" customHeight="1" x14ac:dyDescent="0.3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149999999999999" customHeight="1" x14ac:dyDescent="0.3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149999999999999" customHeight="1" x14ac:dyDescent="0.3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149999999999999" customHeight="1" x14ac:dyDescent="0.3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149999999999999" customHeight="1" x14ac:dyDescent="0.3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149999999999999" customHeight="1" x14ac:dyDescent="0.3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149999999999999" customHeight="1" x14ac:dyDescent="0.3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149999999999999" customHeight="1" x14ac:dyDescent="0.3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149999999999999" customHeight="1" x14ac:dyDescent="0.3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149999999999999" customHeight="1" x14ac:dyDescent="0.3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149999999999999" customHeight="1" x14ac:dyDescent="0.3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149999999999999" customHeight="1" x14ac:dyDescent="0.3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149999999999999" customHeight="1" x14ac:dyDescent="0.3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149999999999999" customHeight="1" x14ac:dyDescent="0.3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149999999999999" customHeight="1" x14ac:dyDescent="0.3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149999999999999" customHeight="1" x14ac:dyDescent="0.3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149999999999999" customHeight="1" x14ac:dyDescent="0.3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149999999999999" customHeight="1" x14ac:dyDescent="0.3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149999999999999" customHeight="1" x14ac:dyDescent="0.3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149999999999999" customHeight="1" x14ac:dyDescent="0.3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149999999999999" customHeight="1" x14ac:dyDescent="0.3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149999999999999" customHeight="1" x14ac:dyDescent="0.3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149999999999999" customHeight="1" x14ac:dyDescent="0.3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149999999999999" customHeight="1" x14ac:dyDescent="0.3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149999999999999" customHeight="1" x14ac:dyDescent="0.3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149999999999999" customHeight="1" x14ac:dyDescent="0.3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149999999999999" customHeight="1" x14ac:dyDescent="0.3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149999999999999" customHeight="1" x14ac:dyDescent="0.3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149999999999999" customHeight="1" x14ac:dyDescent="0.3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149999999999999" customHeight="1" x14ac:dyDescent="0.3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149999999999999" customHeight="1" x14ac:dyDescent="0.3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149999999999999" customHeight="1" x14ac:dyDescent="0.3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149999999999999" customHeight="1" x14ac:dyDescent="0.3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149999999999999" customHeight="1" x14ac:dyDescent="0.3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149999999999999" customHeight="1" x14ac:dyDescent="0.3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149999999999999" customHeight="1" x14ac:dyDescent="0.3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149999999999999" customHeight="1" x14ac:dyDescent="0.3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149999999999999" customHeight="1" x14ac:dyDescent="0.3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149999999999999" customHeight="1" x14ac:dyDescent="0.3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149999999999999" customHeight="1" x14ac:dyDescent="0.3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149999999999999" customHeight="1" x14ac:dyDescent="0.3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149999999999999" customHeight="1" x14ac:dyDescent="0.3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149999999999999" customHeight="1" x14ac:dyDescent="0.3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149999999999999" customHeight="1" x14ac:dyDescent="0.3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149999999999999" customHeight="1" x14ac:dyDescent="0.3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149999999999999" customHeight="1" x14ac:dyDescent="0.3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149999999999999" customHeight="1" x14ac:dyDescent="0.3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149999999999999" customHeight="1" x14ac:dyDescent="0.3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149999999999999" customHeight="1" x14ac:dyDescent="0.3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149999999999999" customHeight="1" x14ac:dyDescent="0.3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149999999999999" customHeight="1" x14ac:dyDescent="0.3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149999999999999" customHeight="1" x14ac:dyDescent="0.3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149999999999999" customHeight="1" x14ac:dyDescent="0.3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149999999999999" customHeight="1" x14ac:dyDescent="0.3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149999999999999" customHeight="1" x14ac:dyDescent="0.3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149999999999999" customHeight="1" x14ac:dyDescent="0.3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149999999999999" customHeight="1" x14ac:dyDescent="0.3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149999999999999" customHeight="1" x14ac:dyDescent="0.3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149999999999999" customHeight="1" x14ac:dyDescent="0.3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149999999999999" customHeight="1" x14ac:dyDescent="0.3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149999999999999" customHeight="1" x14ac:dyDescent="0.3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149999999999999" customHeight="1" x14ac:dyDescent="0.3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149999999999999" customHeight="1" x14ac:dyDescent="0.3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149999999999999" customHeight="1" x14ac:dyDescent="0.3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149999999999999" customHeight="1" x14ac:dyDescent="0.3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149999999999999" customHeight="1" x14ac:dyDescent="0.3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149999999999999" customHeight="1" x14ac:dyDescent="0.3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149999999999999" customHeight="1" x14ac:dyDescent="0.3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149999999999999" customHeight="1" x14ac:dyDescent="0.3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149999999999999" customHeight="1" x14ac:dyDescent="0.3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149999999999999" customHeight="1" x14ac:dyDescent="0.3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149999999999999" customHeight="1" x14ac:dyDescent="0.3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149999999999999" customHeight="1" x14ac:dyDescent="0.3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149999999999999" customHeight="1" x14ac:dyDescent="0.3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149999999999999" customHeight="1" x14ac:dyDescent="0.3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149999999999999" customHeight="1" x14ac:dyDescent="0.3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149999999999999" customHeight="1" x14ac:dyDescent="0.3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149999999999999" customHeight="1" x14ac:dyDescent="0.3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149999999999999" customHeight="1" x14ac:dyDescent="0.3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149999999999999" customHeight="1" x14ac:dyDescent="0.3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149999999999999" customHeight="1" x14ac:dyDescent="0.3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149999999999999" customHeight="1" x14ac:dyDescent="0.3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149999999999999" customHeight="1" x14ac:dyDescent="0.3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149999999999999" customHeight="1" x14ac:dyDescent="0.3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149999999999999" customHeight="1" x14ac:dyDescent="0.3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149999999999999" customHeight="1" x14ac:dyDescent="0.3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149999999999999" customHeight="1" x14ac:dyDescent="0.3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149999999999999" customHeight="1" x14ac:dyDescent="0.3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149999999999999" customHeight="1" x14ac:dyDescent="0.3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149999999999999" customHeight="1" x14ac:dyDescent="0.3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149999999999999" customHeight="1" x14ac:dyDescent="0.3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149999999999999" customHeight="1" x14ac:dyDescent="0.3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149999999999999" customHeight="1" x14ac:dyDescent="0.3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149999999999999" customHeight="1" x14ac:dyDescent="0.3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149999999999999" customHeight="1" x14ac:dyDescent="0.3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149999999999999" customHeight="1" x14ac:dyDescent="0.3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149999999999999" customHeight="1" x14ac:dyDescent="0.3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149999999999999" customHeight="1" x14ac:dyDescent="0.3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149999999999999" customHeight="1" x14ac:dyDescent="0.3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149999999999999" customHeight="1" x14ac:dyDescent="0.3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149999999999999" customHeight="1" x14ac:dyDescent="0.3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149999999999999" customHeight="1" x14ac:dyDescent="0.3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149999999999999" customHeight="1" x14ac:dyDescent="0.3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149999999999999" customHeight="1" x14ac:dyDescent="0.3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149999999999999" customHeight="1" x14ac:dyDescent="0.3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149999999999999" customHeight="1" x14ac:dyDescent="0.3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149999999999999" customHeight="1" x14ac:dyDescent="0.3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149999999999999" customHeight="1" x14ac:dyDescent="0.3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149999999999999" customHeight="1" x14ac:dyDescent="0.3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149999999999999" customHeight="1" x14ac:dyDescent="0.3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149999999999999" customHeight="1" x14ac:dyDescent="0.3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149999999999999" customHeight="1" x14ac:dyDescent="0.3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149999999999999" customHeight="1" x14ac:dyDescent="0.3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149999999999999" customHeight="1" x14ac:dyDescent="0.3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149999999999999" customHeight="1" x14ac:dyDescent="0.3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149999999999999" customHeight="1" x14ac:dyDescent="0.3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149999999999999" customHeight="1" x14ac:dyDescent="0.3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149999999999999" customHeight="1" x14ac:dyDescent="0.3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149999999999999" customHeight="1" x14ac:dyDescent="0.3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149999999999999" customHeight="1" x14ac:dyDescent="0.3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149999999999999" customHeight="1" x14ac:dyDescent="0.3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149999999999999" customHeight="1" x14ac:dyDescent="0.3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149999999999999" customHeight="1" x14ac:dyDescent="0.3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149999999999999" customHeight="1" x14ac:dyDescent="0.3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149999999999999" customHeight="1" x14ac:dyDescent="0.3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149999999999999" customHeight="1" x14ac:dyDescent="0.3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149999999999999" customHeight="1" x14ac:dyDescent="0.3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149999999999999" customHeight="1" x14ac:dyDescent="0.3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149999999999999" customHeight="1" x14ac:dyDescent="0.3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149999999999999" customHeight="1" x14ac:dyDescent="0.3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149999999999999" customHeight="1" x14ac:dyDescent="0.3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149999999999999" customHeight="1" x14ac:dyDescent="0.3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149999999999999" customHeight="1" x14ac:dyDescent="0.3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149999999999999" customHeight="1" x14ac:dyDescent="0.3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149999999999999" customHeight="1" x14ac:dyDescent="0.3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149999999999999" customHeight="1" x14ac:dyDescent="0.3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149999999999999" customHeight="1" x14ac:dyDescent="0.3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149999999999999" customHeight="1" x14ac:dyDescent="0.3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149999999999999" customHeight="1" x14ac:dyDescent="0.3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149999999999999" customHeight="1" x14ac:dyDescent="0.3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149999999999999" customHeight="1" x14ac:dyDescent="0.3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149999999999999" customHeight="1" x14ac:dyDescent="0.3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149999999999999" customHeight="1" x14ac:dyDescent="0.3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149999999999999" customHeight="1" x14ac:dyDescent="0.3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149999999999999" customHeight="1" x14ac:dyDescent="0.3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149999999999999" customHeight="1" x14ac:dyDescent="0.3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149999999999999" customHeight="1" x14ac:dyDescent="0.3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149999999999999" customHeight="1" x14ac:dyDescent="0.3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149999999999999" customHeight="1" x14ac:dyDescent="0.3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149999999999999" customHeight="1" x14ac:dyDescent="0.3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149999999999999" customHeight="1" x14ac:dyDescent="0.3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149999999999999" customHeight="1" x14ac:dyDescent="0.3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149999999999999" customHeight="1" x14ac:dyDescent="0.3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149999999999999" customHeight="1" x14ac:dyDescent="0.3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149999999999999" customHeight="1" x14ac:dyDescent="0.3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149999999999999" customHeight="1" x14ac:dyDescent="0.3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149999999999999" customHeight="1" x14ac:dyDescent="0.3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149999999999999" customHeight="1" x14ac:dyDescent="0.3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149999999999999" customHeight="1" x14ac:dyDescent="0.3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149999999999999" customHeight="1" x14ac:dyDescent="0.3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149999999999999" customHeight="1" x14ac:dyDescent="0.3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149999999999999" customHeight="1" x14ac:dyDescent="0.3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149999999999999" customHeight="1" x14ac:dyDescent="0.3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149999999999999" customHeight="1" x14ac:dyDescent="0.3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149999999999999" customHeight="1" x14ac:dyDescent="0.3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149999999999999" customHeight="1" x14ac:dyDescent="0.3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149999999999999" customHeight="1" x14ac:dyDescent="0.3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149999999999999" customHeight="1" x14ac:dyDescent="0.3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149999999999999" customHeight="1" x14ac:dyDescent="0.3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149999999999999" customHeight="1" x14ac:dyDescent="0.3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149999999999999" customHeight="1" x14ac:dyDescent="0.3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149999999999999" customHeight="1" x14ac:dyDescent="0.3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149999999999999" customHeight="1" x14ac:dyDescent="0.3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149999999999999" customHeight="1" x14ac:dyDescent="0.3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149999999999999" customHeight="1" x14ac:dyDescent="0.3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149999999999999" customHeight="1" x14ac:dyDescent="0.3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149999999999999" customHeight="1" x14ac:dyDescent="0.3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149999999999999" customHeight="1" x14ac:dyDescent="0.3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149999999999999" customHeight="1" x14ac:dyDescent="0.3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149999999999999" customHeight="1" x14ac:dyDescent="0.3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149999999999999" customHeight="1" x14ac:dyDescent="0.3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149999999999999" customHeight="1" x14ac:dyDescent="0.3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149999999999999" customHeight="1" x14ac:dyDescent="0.3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149999999999999" customHeight="1" x14ac:dyDescent="0.3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149999999999999" customHeight="1" x14ac:dyDescent="0.3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149999999999999" customHeight="1" x14ac:dyDescent="0.3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149999999999999" customHeight="1" x14ac:dyDescent="0.3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149999999999999" customHeight="1" x14ac:dyDescent="0.3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149999999999999" customHeight="1" x14ac:dyDescent="0.3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149999999999999" customHeight="1" x14ac:dyDescent="0.3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149999999999999" customHeight="1" x14ac:dyDescent="0.3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149999999999999" customHeight="1" x14ac:dyDescent="0.3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149999999999999" customHeight="1" x14ac:dyDescent="0.3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149999999999999" customHeight="1" x14ac:dyDescent="0.3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149999999999999" customHeight="1" x14ac:dyDescent="0.3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149999999999999" customHeight="1" x14ac:dyDescent="0.3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149999999999999" customHeight="1" x14ac:dyDescent="0.3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149999999999999" customHeight="1" x14ac:dyDescent="0.3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149999999999999" customHeight="1" x14ac:dyDescent="0.3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149999999999999" customHeight="1" x14ac:dyDescent="0.3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149999999999999" customHeight="1" x14ac:dyDescent="0.3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149999999999999" customHeight="1" x14ac:dyDescent="0.3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149999999999999" customHeight="1" x14ac:dyDescent="0.3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149999999999999" customHeight="1" x14ac:dyDescent="0.3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149999999999999" customHeight="1" x14ac:dyDescent="0.3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149999999999999" customHeight="1" x14ac:dyDescent="0.3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149999999999999" customHeight="1" x14ac:dyDescent="0.3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149999999999999" customHeight="1" x14ac:dyDescent="0.3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149999999999999" customHeight="1" x14ac:dyDescent="0.3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149999999999999" customHeight="1" x14ac:dyDescent="0.3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149999999999999" customHeight="1" x14ac:dyDescent="0.3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149999999999999" customHeight="1" x14ac:dyDescent="0.3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149999999999999" customHeight="1" x14ac:dyDescent="0.3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149999999999999" customHeight="1" x14ac:dyDescent="0.3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149999999999999" customHeight="1" x14ac:dyDescent="0.3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149999999999999" customHeight="1" x14ac:dyDescent="0.3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149999999999999" customHeight="1" x14ac:dyDescent="0.3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149999999999999" customHeight="1" x14ac:dyDescent="0.3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149999999999999" customHeight="1" x14ac:dyDescent="0.3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149999999999999" customHeight="1" x14ac:dyDescent="0.3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149999999999999" customHeight="1" x14ac:dyDescent="0.3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149999999999999" customHeight="1" x14ac:dyDescent="0.3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149999999999999" customHeight="1" x14ac:dyDescent="0.3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149999999999999" customHeight="1" x14ac:dyDescent="0.3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149999999999999" customHeight="1" x14ac:dyDescent="0.3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149999999999999" customHeight="1" x14ac:dyDescent="0.3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149999999999999" customHeight="1" x14ac:dyDescent="0.3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149999999999999" customHeight="1" x14ac:dyDescent="0.3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149999999999999" customHeight="1" x14ac:dyDescent="0.3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149999999999999" customHeight="1" x14ac:dyDescent="0.3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149999999999999" customHeight="1" x14ac:dyDescent="0.3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149999999999999" customHeight="1" x14ac:dyDescent="0.3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149999999999999" customHeight="1" x14ac:dyDescent="0.3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149999999999999" customHeight="1" x14ac:dyDescent="0.3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149999999999999" customHeight="1" x14ac:dyDescent="0.3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149999999999999" customHeight="1" x14ac:dyDescent="0.3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149999999999999" customHeight="1" x14ac:dyDescent="0.3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149999999999999" customHeight="1" x14ac:dyDescent="0.3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149999999999999" customHeight="1" x14ac:dyDescent="0.3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149999999999999" customHeight="1" x14ac:dyDescent="0.3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149999999999999" customHeight="1" x14ac:dyDescent="0.3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149999999999999" customHeight="1" x14ac:dyDescent="0.3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149999999999999" customHeight="1" x14ac:dyDescent="0.3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149999999999999" customHeight="1" x14ac:dyDescent="0.3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149999999999999" customHeight="1" x14ac:dyDescent="0.3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149999999999999" customHeight="1" x14ac:dyDescent="0.3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149999999999999" customHeight="1" x14ac:dyDescent="0.3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149999999999999" customHeight="1" x14ac:dyDescent="0.3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149999999999999" customHeight="1" x14ac:dyDescent="0.3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149999999999999" customHeight="1" x14ac:dyDescent="0.3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149999999999999" customHeight="1" x14ac:dyDescent="0.3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149999999999999" customHeight="1" x14ac:dyDescent="0.3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149999999999999" customHeight="1" x14ac:dyDescent="0.3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149999999999999" customHeight="1" x14ac:dyDescent="0.3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149999999999999" customHeight="1" x14ac:dyDescent="0.3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149999999999999" customHeight="1" x14ac:dyDescent="0.3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149999999999999" customHeight="1" x14ac:dyDescent="0.3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149999999999999" customHeight="1" x14ac:dyDescent="0.3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149999999999999" customHeight="1" x14ac:dyDescent="0.3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149999999999999" customHeight="1" x14ac:dyDescent="0.3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149999999999999" customHeight="1" x14ac:dyDescent="0.3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149999999999999" customHeight="1" x14ac:dyDescent="0.3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149999999999999" customHeight="1" x14ac:dyDescent="0.3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149999999999999" customHeight="1" x14ac:dyDescent="0.3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149999999999999" customHeight="1" x14ac:dyDescent="0.3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149999999999999" customHeight="1" x14ac:dyDescent="0.3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149999999999999" customHeight="1" x14ac:dyDescent="0.3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149999999999999" customHeight="1" x14ac:dyDescent="0.3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149999999999999" customHeight="1" x14ac:dyDescent="0.3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149999999999999" customHeight="1" x14ac:dyDescent="0.3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149999999999999" customHeight="1" x14ac:dyDescent="0.3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149999999999999" customHeight="1" x14ac:dyDescent="0.3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149999999999999" customHeight="1" x14ac:dyDescent="0.3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149999999999999" customHeight="1" x14ac:dyDescent="0.3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149999999999999" customHeight="1" x14ac:dyDescent="0.3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149999999999999" customHeight="1" x14ac:dyDescent="0.3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149999999999999" customHeight="1" x14ac:dyDescent="0.3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149999999999999" customHeight="1" x14ac:dyDescent="0.3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149999999999999" customHeight="1" x14ac:dyDescent="0.3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149999999999999" customHeight="1" x14ac:dyDescent="0.3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149999999999999" customHeight="1" x14ac:dyDescent="0.3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149999999999999" customHeight="1" x14ac:dyDescent="0.3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149999999999999" customHeight="1" x14ac:dyDescent="0.3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149999999999999" customHeight="1" x14ac:dyDescent="0.3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149999999999999" customHeight="1" x14ac:dyDescent="0.3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149999999999999" customHeight="1" x14ac:dyDescent="0.3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149999999999999" customHeight="1" x14ac:dyDescent="0.3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149999999999999" customHeight="1" x14ac:dyDescent="0.3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149999999999999" customHeight="1" x14ac:dyDescent="0.3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149999999999999" customHeight="1" x14ac:dyDescent="0.3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149999999999999" customHeight="1" x14ac:dyDescent="0.3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149999999999999" customHeight="1" x14ac:dyDescent="0.3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149999999999999" customHeight="1" x14ac:dyDescent="0.3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149999999999999" customHeight="1" x14ac:dyDescent="0.3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149999999999999" customHeight="1" x14ac:dyDescent="0.3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149999999999999" customHeight="1" x14ac:dyDescent="0.3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149999999999999" customHeight="1" x14ac:dyDescent="0.3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149999999999999" customHeight="1" x14ac:dyDescent="0.3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149999999999999" customHeight="1" x14ac:dyDescent="0.3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149999999999999" customHeight="1" x14ac:dyDescent="0.3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149999999999999" customHeight="1" x14ac:dyDescent="0.3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149999999999999" customHeight="1" x14ac:dyDescent="0.3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149999999999999" customHeight="1" x14ac:dyDescent="0.3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149999999999999" customHeight="1" x14ac:dyDescent="0.3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149999999999999" customHeight="1" x14ac:dyDescent="0.3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149999999999999" customHeight="1" x14ac:dyDescent="0.3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149999999999999" customHeight="1" x14ac:dyDescent="0.3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149999999999999" customHeight="1" x14ac:dyDescent="0.3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149999999999999" customHeight="1" x14ac:dyDescent="0.3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149999999999999" customHeight="1" x14ac:dyDescent="0.3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149999999999999" customHeight="1" x14ac:dyDescent="0.3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149999999999999" customHeight="1" x14ac:dyDescent="0.3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149999999999999" customHeight="1" x14ac:dyDescent="0.3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149999999999999" customHeight="1" x14ac:dyDescent="0.3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149999999999999" customHeight="1" x14ac:dyDescent="0.3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149999999999999" customHeight="1" x14ac:dyDescent="0.3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149999999999999" customHeight="1" x14ac:dyDescent="0.3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149999999999999" customHeight="1" x14ac:dyDescent="0.3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149999999999999" customHeight="1" x14ac:dyDescent="0.3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149999999999999" customHeight="1" x14ac:dyDescent="0.3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149999999999999" customHeight="1" x14ac:dyDescent="0.3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149999999999999" customHeight="1" x14ac:dyDescent="0.3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149999999999999" customHeight="1" x14ac:dyDescent="0.3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149999999999999" customHeight="1" x14ac:dyDescent="0.3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149999999999999" customHeight="1" x14ac:dyDescent="0.3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149999999999999" customHeight="1" x14ac:dyDescent="0.3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149999999999999" customHeight="1" x14ac:dyDescent="0.3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149999999999999" customHeight="1" x14ac:dyDescent="0.3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149999999999999" customHeight="1" x14ac:dyDescent="0.3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149999999999999" customHeight="1" x14ac:dyDescent="0.3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149999999999999" customHeight="1" x14ac:dyDescent="0.3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149999999999999" customHeight="1" x14ac:dyDescent="0.3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149999999999999" customHeight="1" x14ac:dyDescent="0.3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149999999999999" customHeight="1" x14ac:dyDescent="0.3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149999999999999" customHeight="1" x14ac:dyDescent="0.3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149999999999999" customHeight="1" x14ac:dyDescent="0.3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149999999999999" customHeight="1" x14ac:dyDescent="0.3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149999999999999" customHeight="1" x14ac:dyDescent="0.3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149999999999999" customHeight="1" x14ac:dyDescent="0.3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149999999999999" customHeight="1" x14ac:dyDescent="0.3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149999999999999" customHeight="1" x14ac:dyDescent="0.3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149999999999999" customHeight="1" x14ac:dyDescent="0.3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149999999999999" customHeight="1" x14ac:dyDescent="0.3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149999999999999" customHeight="1" x14ac:dyDescent="0.3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149999999999999" customHeight="1" x14ac:dyDescent="0.3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149999999999999" customHeight="1" x14ac:dyDescent="0.3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149999999999999" customHeight="1" x14ac:dyDescent="0.3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149999999999999" customHeight="1" x14ac:dyDescent="0.3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149999999999999" customHeight="1" x14ac:dyDescent="0.3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149999999999999" customHeight="1" x14ac:dyDescent="0.3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149999999999999" customHeight="1" x14ac:dyDescent="0.3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149999999999999" customHeight="1" x14ac:dyDescent="0.3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149999999999999" customHeight="1" x14ac:dyDescent="0.3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149999999999999" customHeight="1" x14ac:dyDescent="0.3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149999999999999" customHeight="1" x14ac:dyDescent="0.3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149999999999999" customHeight="1" x14ac:dyDescent="0.3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149999999999999" customHeight="1" x14ac:dyDescent="0.3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149999999999999" customHeight="1" x14ac:dyDescent="0.3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149999999999999" customHeight="1" x14ac:dyDescent="0.3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149999999999999" customHeight="1" x14ac:dyDescent="0.3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149999999999999" customHeight="1" x14ac:dyDescent="0.3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149999999999999" customHeight="1" x14ac:dyDescent="0.3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149999999999999" customHeight="1" x14ac:dyDescent="0.3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149999999999999" customHeight="1" x14ac:dyDescent="0.3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149999999999999" customHeight="1" x14ac:dyDescent="0.3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149999999999999" customHeight="1" x14ac:dyDescent="0.3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149999999999999" customHeight="1" x14ac:dyDescent="0.3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149999999999999" customHeight="1" x14ac:dyDescent="0.3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149999999999999" customHeight="1" x14ac:dyDescent="0.3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149999999999999" customHeight="1" x14ac:dyDescent="0.3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149999999999999" customHeight="1" x14ac:dyDescent="0.3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149999999999999" customHeight="1" x14ac:dyDescent="0.3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149999999999999" customHeight="1" x14ac:dyDescent="0.3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149999999999999" customHeight="1" x14ac:dyDescent="0.3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149999999999999" customHeight="1" x14ac:dyDescent="0.3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149999999999999" customHeight="1" x14ac:dyDescent="0.3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149999999999999" customHeight="1" x14ac:dyDescent="0.3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149999999999999" customHeight="1" x14ac:dyDescent="0.3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149999999999999" customHeight="1" x14ac:dyDescent="0.3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149999999999999" customHeight="1" x14ac:dyDescent="0.3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149999999999999" customHeight="1" x14ac:dyDescent="0.3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149999999999999" customHeight="1" x14ac:dyDescent="0.3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149999999999999" customHeight="1" x14ac:dyDescent="0.3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149999999999999" customHeight="1" x14ac:dyDescent="0.3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149999999999999" customHeight="1" x14ac:dyDescent="0.3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149999999999999" customHeight="1" x14ac:dyDescent="0.3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149999999999999" customHeight="1" x14ac:dyDescent="0.3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149999999999999" customHeight="1" x14ac:dyDescent="0.3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149999999999999" customHeight="1" x14ac:dyDescent="0.3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149999999999999" customHeight="1" x14ac:dyDescent="0.3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149999999999999" customHeight="1" x14ac:dyDescent="0.3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149999999999999" customHeight="1" x14ac:dyDescent="0.3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149999999999999" customHeight="1" x14ac:dyDescent="0.3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149999999999999" customHeight="1" x14ac:dyDescent="0.3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149999999999999" customHeight="1" x14ac:dyDescent="0.3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149999999999999" customHeight="1" x14ac:dyDescent="0.3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149999999999999" customHeight="1" x14ac:dyDescent="0.3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149999999999999" customHeight="1" x14ac:dyDescent="0.3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149999999999999" customHeight="1" x14ac:dyDescent="0.3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149999999999999" customHeight="1" x14ac:dyDescent="0.3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149999999999999" customHeight="1" x14ac:dyDescent="0.3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149999999999999" customHeight="1" x14ac:dyDescent="0.3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149999999999999" customHeight="1" x14ac:dyDescent="0.3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149999999999999" customHeight="1" x14ac:dyDescent="0.3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149999999999999" customHeight="1" x14ac:dyDescent="0.3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149999999999999" customHeight="1" x14ac:dyDescent="0.3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149999999999999" customHeight="1" x14ac:dyDescent="0.3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149999999999999" customHeight="1" x14ac:dyDescent="0.3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149999999999999" customHeight="1" x14ac:dyDescent="0.3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149999999999999" customHeight="1" x14ac:dyDescent="0.3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149999999999999" customHeight="1" x14ac:dyDescent="0.3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149999999999999" customHeight="1" x14ac:dyDescent="0.3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149999999999999" customHeight="1" x14ac:dyDescent="0.3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149999999999999" customHeight="1" x14ac:dyDescent="0.3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149999999999999" customHeight="1" x14ac:dyDescent="0.3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149999999999999" customHeight="1" x14ac:dyDescent="0.3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149999999999999" customHeight="1" x14ac:dyDescent="0.3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149999999999999" customHeight="1" x14ac:dyDescent="0.3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149999999999999" customHeight="1" x14ac:dyDescent="0.3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149999999999999" customHeight="1" x14ac:dyDescent="0.3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149999999999999" customHeight="1" x14ac:dyDescent="0.3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149999999999999" customHeight="1" x14ac:dyDescent="0.3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149999999999999" customHeight="1" x14ac:dyDescent="0.3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149999999999999" customHeight="1" x14ac:dyDescent="0.3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149999999999999" customHeight="1" x14ac:dyDescent="0.3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149999999999999" customHeight="1" x14ac:dyDescent="0.3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149999999999999" customHeight="1" x14ac:dyDescent="0.3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149999999999999" customHeight="1" x14ac:dyDescent="0.3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149999999999999" customHeight="1" x14ac:dyDescent="0.3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149999999999999" customHeight="1" x14ac:dyDescent="0.3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149999999999999" customHeight="1" x14ac:dyDescent="0.3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149999999999999" customHeight="1" x14ac:dyDescent="0.3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149999999999999" customHeight="1" x14ac:dyDescent="0.3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149999999999999" customHeight="1" x14ac:dyDescent="0.3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149999999999999" customHeight="1" x14ac:dyDescent="0.3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149999999999999" customHeight="1" x14ac:dyDescent="0.3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149999999999999" customHeight="1" x14ac:dyDescent="0.3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149999999999999" customHeight="1" x14ac:dyDescent="0.3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149999999999999" customHeight="1" x14ac:dyDescent="0.3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149999999999999" customHeight="1" x14ac:dyDescent="0.3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149999999999999" customHeight="1" x14ac:dyDescent="0.3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149999999999999" customHeight="1" x14ac:dyDescent="0.3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149999999999999" customHeight="1" x14ac:dyDescent="0.3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149999999999999" customHeight="1" x14ac:dyDescent="0.3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149999999999999" customHeight="1" x14ac:dyDescent="0.3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149999999999999" customHeight="1" x14ac:dyDescent="0.3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149999999999999" customHeight="1" x14ac:dyDescent="0.3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149999999999999" customHeight="1" x14ac:dyDescent="0.3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149999999999999" customHeight="1" x14ac:dyDescent="0.3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149999999999999" customHeight="1" x14ac:dyDescent="0.3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149999999999999" customHeight="1" x14ac:dyDescent="0.3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149999999999999" customHeight="1" x14ac:dyDescent="0.3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149999999999999" customHeight="1" x14ac:dyDescent="0.3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149999999999999" customHeight="1" x14ac:dyDescent="0.3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149999999999999" customHeight="1" x14ac:dyDescent="0.3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149999999999999" customHeight="1" x14ac:dyDescent="0.3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149999999999999" customHeight="1" x14ac:dyDescent="0.3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149999999999999" customHeight="1" x14ac:dyDescent="0.3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149999999999999" customHeight="1" x14ac:dyDescent="0.3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149999999999999" customHeight="1" x14ac:dyDescent="0.3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149999999999999" customHeight="1" x14ac:dyDescent="0.3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149999999999999" customHeight="1" x14ac:dyDescent="0.3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149999999999999" customHeight="1" x14ac:dyDescent="0.3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149999999999999" customHeight="1" x14ac:dyDescent="0.3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149999999999999" customHeight="1" x14ac:dyDescent="0.3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149999999999999" customHeight="1" x14ac:dyDescent="0.3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149999999999999" customHeight="1" x14ac:dyDescent="0.3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149999999999999" customHeight="1" x14ac:dyDescent="0.3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149999999999999" customHeight="1" x14ac:dyDescent="0.3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149999999999999" customHeight="1" x14ac:dyDescent="0.3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149999999999999" customHeight="1" x14ac:dyDescent="0.3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149999999999999" customHeight="1" x14ac:dyDescent="0.3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149999999999999" customHeight="1" x14ac:dyDescent="0.3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149999999999999" customHeight="1" x14ac:dyDescent="0.3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149999999999999" customHeight="1" x14ac:dyDescent="0.3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149999999999999" customHeight="1" x14ac:dyDescent="0.3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149999999999999" customHeight="1" x14ac:dyDescent="0.3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149999999999999" customHeight="1" x14ac:dyDescent="0.3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149999999999999" customHeight="1" x14ac:dyDescent="0.3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149999999999999" customHeight="1" x14ac:dyDescent="0.3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149999999999999" customHeight="1" x14ac:dyDescent="0.3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149999999999999" customHeight="1" x14ac:dyDescent="0.3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149999999999999" customHeight="1" x14ac:dyDescent="0.3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149999999999999" customHeight="1" x14ac:dyDescent="0.3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149999999999999" customHeight="1" x14ac:dyDescent="0.3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149999999999999" customHeight="1" x14ac:dyDescent="0.3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149999999999999" customHeight="1" x14ac:dyDescent="0.3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149999999999999" customHeight="1" x14ac:dyDescent="0.3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149999999999999" customHeight="1" x14ac:dyDescent="0.3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149999999999999" customHeight="1" x14ac:dyDescent="0.3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149999999999999" customHeight="1" x14ac:dyDescent="0.3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149999999999999" customHeight="1" x14ac:dyDescent="0.3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149999999999999" customHeight="1" x14ac:dyDescent="0.3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149999999999999" customHeight="1" x14ac:dyDescent="0.3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149999999999999" customHeight="1" x14ac:dyDescent="0.3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149999999999999" customHeight="1" x14ac:dyDescent="0.3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149999999999999" customHeight="1" x14ac:dyDescent="0.3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149999999999999" customHeight="1" x14ac:dyDescent="0.3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149999999999999" customHeight="1" x14ac:dyDescent="0.3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149999999999999" customHeight="1" x14ac:dyDescent="0.3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149999999999999" customHeight="1" x14ac:dyDescent="0.3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149999999999999" customHeight="1" x14ac:dyDescent="0.3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149999999999999" customHeight="1" x14ac:dyDescent="0.3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149999999999999" customHeight="1" x14ac:dyDescent="0.3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149999999999999" customHeight="1" x14ac:dyDescent="0.3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149999999999999" customHeight="1" x14ac:dyDescent="0.3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149999999999999" customHeight="1" x14ac:dyDescent="0.3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149999999999999" customHeight="1" x14ac:dyDescent="0.3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149999999999999" customHeight="1" x14ac:dyDescent="0.3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149999999999999" customHeight="1" x14ac:dyDescent="0.3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149999999999999" customHeight="1" x14ac:dyDescent="0.3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149999999999999" customHeight="1" x14ac:dyDescent="0.3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149999999999999" customHeight="1" x14ac:dyDescent="0.3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149999999999999" customHeight="1" x14ac:dyDescent="0.3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149999999999999" customHeight="1" x14ac:dyDescent="0.3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149999999999999" customHeight="1" x14ac:dyDescent="0.3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149999999999999" customHeight="1" x14ac:dyDescent="0.3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149999999999999" customHeight="1" x14ac:dyDescent="0.3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149999999999999" customHeight="1" x14ac:dyDescent="0.3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149999999999999" customHeight="1" x14ac:dyDescent="0.3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149999999999999" customHeight="1" x14ac:dyDescent="0.3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149999999999999" customHeight="1" x14ac:dyDescent="0.3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149999999999999" customHeight="1" x14ac:dyDescent="0.3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149999999999999" customHeight="1" x14ac:dyDescent="0.3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149999999999999" customHeight="1" x14ac:dyDescent="0.3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149999999999999" customHeight="1" x14ac:dyDescent="0.3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149999999999999" customHeight="1" x14ac:dyDescent="0.3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149999999999999" customHeight="1" x14ac:dyDescent="0.3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149999999999999" customHeight="1" x14ac:dyDescent="0.3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149999999999999" customHeight="1" x14ac:dyDescent="0.3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149999999999999" customHeight="1" x14ac:dyDescent="0.3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149999999999999" customHeight="1" x14ac:dyDescent="0.3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149999999999999" customHeight="1" x14ac:dyDescent="0.3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149999999999999" customHeight="1" x14ac:dyDescent="0.3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149999999999999" customHeight="1" x14ac:dyDescent="0.3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149999999999999" customHeight="1" x14ac:dyDescent="0.3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149999999999999" customHeight="1" x14ac:dyDescent="0.3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149999999999999" customHeight="1" x14ac:dyDescent="0.3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149999999999999" customHeight="1" x14ac:dyDescent="0.3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149999999999999" customHeight="1" x14ac:dyDescent="0.3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149999999999999" customHeight="1" x14ac:dyDescent="0.3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149999999999999" customHeight="1" x14ac:dyDescent="0.3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149999999999999" customHeight="1" x14ac:dyDescent="0.3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149999999999999" customHeight="1" x14ac:dyDescent="0.3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149999999999999" customHeight="1" x14ac:dyDescent="0.3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149999999999999" customHeight="1" x14ac:dyDescent="0.3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149999999999999" customHeight="1" x14ac:dyDescent="0.3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149999999999999" customHeight="1" x14ac:dyDescent="0.3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149999999999999" customHeight="1" x14ac:dyDescent="0.3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149999999999999" customHeight="1" x14ac:dyDescent="0.3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149999999999999" customHeight="1" x14ac:dyDescent="0.3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149999999999999" customHeight="1" x14ac:dyDescent="0.3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149999999999999" customHeight="1" x14ac:dyDescent="0.3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149999999999999" customHeight="1" x14ac:dyDescent="0.3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149999999999999" customHeight="1" x14ac:dyDescent="0.3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149999999999999" customHeight="1" x14ac:dyDescent="0.3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149999999999999" customHeight="1" x14ac:dyDescent="0.3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149999999999999" customHeight="1" x14ac:dyDescent="0.3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149999999999999" customHeight="1" x14ac:dyDescent="0.3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149999999999999" customHeight="1" x14ac:dyDescent="0.3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149999999999999" customHeight="1" x14ac:dyDescent="0.3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149999999999999" customHeight="1" x14ac:dyDescent="0.3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149999999999999" customHeight="1" x14ac:dyDescent="0.3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149999999999999" customHeight="1" x14ac:dyDescent="0.3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149999999999999" customHeight="1" x14ac:dyDescent="0.3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149999999999999" customHeight="1" x14ac:dyDescent="0.3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149999999999999" customHeight="1" x14ac:dyDescent="0.3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149999999999999" customHeight="1" x14ac:dyDescent="0.3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149999999999999" customHeight="1" x14ac:dyDescent="0.3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149999999999999" customHeight="1" x14ac:dyDescent="0.3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149999999999999" customHeight="1" x14ac:dyDescent="0.3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149999999999999" customHeight="1" x14ac:dyDescent="0.3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149999999999999" customHeight="1" x14ac:dyDescent="0.3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149999999999999" customHeight="1" x14ac:dyDescent="0.3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149999999999999" customHeight="1" x14ac:dyDescent="0.3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149999999999999" customHeight="1" x14ac:dyDescent="0.3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149999999999999" customHeight="1" x14ac:dyDescent="0.3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149999999999999" customHeight="1" x14ac:dyDescent="0.3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149999999999999" customHeight="1" x14ac:dyDescent="0.3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149999999999999" customHeight="1" x14ac:dyDescent="0.3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149999999999999" customHeight="1" x14ac:dyDescent="0.3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149999999999999" customHeight="1" x14ac:dyDescent="0.3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149999999999999" customHeight="1" x14ac:dyDescent="0.3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149999999999999" customHeight="1" x14ac:dyDescent="0.3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149999999999999" customHeight="1" x14ac:dyDescent="0.3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149999999999999" customHeight="1" x14ac:dyDescent="0.3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149999999999999" customHeight="1" x14ac:dyDescent="0.3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149999999999999" customHeight="1" x14ac:dyDescent="0.3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149999999999999" customHeight="1" x14ac:dyDescent="0.3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149999999999999" customHeight="1" x14ac:dyDescent="0.3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149999999999999" customHeight="1" x14ac:dyDescent="0.3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149999999999999" customHeight="1" x14ac:dyDescent="0.3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149999999999999" customHeight="1" x14ac:dyDescent="0.3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149999999999999" customHeight="1" x14ac:dyDescent="0.3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149999999999999" customHeight="1" x14ac:dyDescent="0.3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149999999999999" customHeight="1" x14ac:dyDescent="0.3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149999999999999" customHeight="1" x14ac:dyDescent="0.3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149999999999999" customHeight="1" x14ac:dyDescent="0.3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149999999999999" customHeight="1" x14ac:dyDescent="0.3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149999999999999" customHeight="1" x14ac:dyDescent="0.3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149999999999999" customHeight="1" x14ac:dyDescent="0.3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149999999999999" customHeight="1" x14ac:dyDescent="0.3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149999999999999" customHeight="1" x14ac:dyDescent="0.3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149999999999999" customHeight="1" x14ac:dyDescent="0.3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149999999999999" customHeight="1" x14ac:dyDescent="0.3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149999999999999" customHeight="1" x14ac:dyDescent="0.3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149999999999999" customHeight="1" x14ac:dyDescent="0.3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149999999999999" customHeight="1" x14ac:dyDescent="0.3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149999999999999" customHeight="1" x14ac:dyDescent="0.3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149999999999999" customHeight="1" x14ac:dyDescent="0.3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149999999999999" customHeight="1" x14ac:dyDescent="0.3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149999999999999" customHeight="1" x14ac:dyDescent="0.3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149999999999999" customHeight="1" x14ac:dyDescent="0.3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149999999999999" customHeight="1" x14ac:dyDescent="0.3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149999999999999" customHeight="1" x14ac:dyDescent="0.3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149999999999999" customHeight="1" x14ac:dyDescent="0.3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149999999999999" customHeight="1" x14ac:dyDescent="0.3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149999999999999" customHeight="1" x14ac:dyDescent="0.3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149999999999999" customHeight="1" x14ac:dyDescent="0.3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149999999999999" customHeight="1" x14ac:dyDescent="0.3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149999999999999" customHeight="1" x14ac:dyDescent="0.3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149999999999999" customHeight="1" x14ac:dyDescent="0.3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149999999999999" customHeight="1" x14ac:dyDescent="0.3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149999999999999" customHeight="1" x14ac:dyDescent="0.3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149999999999999" customHeight="1" x14ac:dyDescent="0.3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149999999999999" customHeight="1" x14ac:dyDescent="0.3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149999999999999" customHeight="1" x14ac:dyDescent="0.3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149999999999999" customHeight="1" x14ac:dyDescent="0.3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149999999999999" customHeight="1" x14ac:dyDescent="0.3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149999999999999" customHeight="1" x14ac:dyDescent="0.3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149999999999999" customHeight="1" x14ac:dyDescent="0.3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149999999999999" customHeight="1" x14ac:dyDescent="0.3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149999999999999" customHeight="1" x14ac:dyDescent="0.3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149999999999999" customHeight="1" x14ac:dyDescent="0.3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149999999999999" customHeight="1" x14ac:dyDescent="0.3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149999999999999" customHeight="1" x14ac:dyDescent="0.3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149999999999999" customHeight="1" x14ac:dyDescent="0.3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149999999999999" customHeight="1" x14ac:dyDescent="0.3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149999999999999" customHeight="1" x14ac:dyDescent="0.3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149999999999999" customHeight="1" x14ac:dyDescent="0.3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149999999999999" customHeight="1" x14ac:dyDescent="0.3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149999999999999" customHeight="1" x14ac:dyDescent="0.3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149999999999999" customHeight="1" x14ac:dyDescent="0.3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149999999999999" customHeight="1" x14ac:dyDescent="0.3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149999999999999" customHeight="1" x14ac:dyDescent="0.3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149999999999999" customHeight="1" x14ac:dyDescent="0.3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149999999999999" customHeight="1" x14ac:dyDescent="0.3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149999999999999" customHeight="1" x14ac:dyDescent="0.3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149999999999999" customHeight="1" x14ac:dyDescent="0.3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149999999999999" customHeight="1" x14ac:dyDescent="0.3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149999999999999" customHeight="1" x14ac:dyDescent="0.3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149999999999999" customHeight="1" x14ac:dyDescent="0.3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149999999999999" customHeight="1" x14ac:dyDescent="0.3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149999999999999" customHeight="1" x14ac:dyDescent="0.3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149999999999999" customHeight="1" x14ac:dyDescent="0.3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149999999999999" customHeight="1" x14ac:dyDescent="0.3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149999999999999" customHeight="1" x14ac:dyDescent="0.3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149999999999999" customHeight="1" x14ac:dyDescent="0.3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149999999999999" customHeight="1" x14ac:dyDescent="0.3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149999999999999" customHeight="1" x14ac:dyDescent="0.3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149999999999999" customHeight="1" x14ac:dyDescent="0.3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149999999999999" customHeight="1" x14ac:dyDescent="0.3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149999999999999" customHeight="1" x14ac:dyDescent="0.3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149999999999999" customHeight="1" x14ac:dyDescent="0.3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149999999999999" customHeight="1" x14ac:dyDescent="0.3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149999999999999" customHeight="1" x14ac:dyDescent="0.3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149999999999999" customHeight="1" x14ac:dyDescent="0.3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149999999999999" customHeight="1" x14ac:dyDescent="0.3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149999999999999" customHeight="1" x14ac:dyDescent="0.3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149999999999999" customHeight="1" x14ac:dyDescent="0.3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149999999999999" customHeight="1" x14ac:dyDescent="0.3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149999999999999" customHeight="1" x14ac:dyDescent="0.3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149999999999999" customHeight="1" x14ac:dyDescent="0.3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149999999999999" customHeight="1" x14ac:dyDescent="0.3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149999999999999" customHeight="1" x14ac:dyDescent="0.3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149999999999999" customHeight="1" x14ac:dyDescent="0.3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149999999999999" customHeight="1" x14ac:dyDescent="0.3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149999999999999" customHeight="1" x14ac:dyDescent="0.3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149999999999999" customHeight="1" x14ac:dyDescent="0.3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149999999999999" customHeight="1" x14ac:dyDescent="0.3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149999999999999" customHeight="1" x14ac:dyDescent="0.3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149999999999999" customHeight="1" x14ac:dyDescent="0.3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149999999999999" customHeight="1" x14ac:dyDescent="0.3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149999999999999" customHeight="1" x14ac:dyDescent="0.3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149999999999999" customHeight="1" x14ac:dyDescent="0.3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149999999999999" customHeight="1" x14ac:dyDescent="0.3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149999999999999" customHeight="1" x14ac:dyDescent="0.3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149999999999999" customHeight="1" x14ac:dyDescent="0.3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149999999999999" customHeight="1" x14ac:dyDescent="0.3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149999999999999" customHeight="1" x14ac:dyDescent="0.3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149999999999999" customHeight="1" x14ac:dyDescent="0.3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149999999999999" customHeight="1" x14ac:dyDescent="0.3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149999999999999" customHeight="1" x14ac:dyDescent="0.3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149999999999999" customHeight="1" x14ac:dyDescent="0.3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149999999999999" customHeight="1" x14ac:dyDescent="0.3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149999999999999" customHeight="1" x14ac:dyDescent="0.3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149999999999999" customHeight="1" x14ac:dyDescent="0.3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149999999999999" customHeight="1" x14ac:dyDescent="0.3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149999999999999" customHeight="1" x14ac:dyDescent="0.3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149999999999999" customHeight="1" x14ac:dyDescent="0.3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149999999999999" customHeight="1" x14ac:dyDescent="0.3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149999999999999" customHeight="1" x14ac:dyDescent="0.3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149999999999999" customHeight="1" x14ac:dyDescent="0.3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149999999999999" customHeight="1" x14ac:dyDescent="0.3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149999999999999" customHeight="1" x14ac:dyDescent="0.3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149999999999999" customHeight="1" x14ac:dyDescent="0.3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149999999999999" customHeight="1" x14ac:dyDescent="0.3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149999999999999" customHeight="1" x14ac:dyDescent="0.3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149999999999999" customHeight="1" x14ac:dyDescent="0.3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149999999999999" customHeight="1" x14ac:dyDescent="0.3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149999999999999" customHeight="1" x14ac:dyDescent="0.3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149999999999999" customHeight="1" x14ac:dyDescent="0.3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149999999999999" customHeight="1" x14ac:dyDescent="0.3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149999999999999" customHeight="1" x14ac:dyDescent="0.3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149999999999999" customHeight="1" x14ac:dyDescent="0.3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149999999999999" customHeight="1" x14ac:dyDescent="0.3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149999999999999" customHeight="1" x14ac:dyDescent="0.3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149999999999999" customHeight="1" x14ac:dyDescent="0.3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149999999999999" customHeight="1" x14ac:dyDescent="0.3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149999999999999" customHeight="1" x14ac:dyDescent="0.3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149999999999999" customHeight="1" x14ac:dyDescent="0.3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149999999999999" customHeight="1" x14ac:dyDescent="0.3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149999999999999" customHeight="1" x14ac:dyDescent="0.3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149999999999999" customHeight="1" x14ac:dyDescent="0.3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149999999999999" customHeight="1" x14ac:dyDescent="0.3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149999999999999" customHeight="1" x14ac:dyDescent="0.3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149999999999999" customHeight="1" x14ac:dyDescent="0.3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149999999999999" customHeight="1" x14ac:dyDescent="0.3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149999999999999" customHeight="1" x14ac:dyDescent="0.3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149999999999999" customHeight="1" x14ac:dyDescent="0.3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149999999999999" customHeight="1" x14ac:dyDescent="0.3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149999999999999" customHeight="1" x14ac:dyDescent="0.3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149999999999999" customHeight="1" x14ac:dyDescent="0.3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149999999999999" customHeight="1" x14ac:dyDescent="0.3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149999999999999" customHeight="1" x14ac:dyDescent="0.3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149999999999999" customHeight="1" x14ac:dyDescent="0.3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149999999999999" customHeight="1" x14ac:dyDescent="0.3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149999999999999" customHeight="1" x14ac:dyDescent="0.3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149999999999999" customHeight="1" x14ac:dyDescent="0.3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149999999999999" customHeight="1" x14ac:dyDescent="0.3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149999999999999" customHeight="1" x14ac:dyDescent="0.3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149999999999999" customHeight="1" x14ac:dyDescent="0.3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149999999999999" customHeight="1" x14ac:dyDescent="0.3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149999999999999" customHeight="1" x14ac:dyDescent="0.3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149999999999999" customHeight="1" x14ac:dyDescent="0.3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149999999999999" customHeight="1" x14ac:dyDescent="0.3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149999999999999" customHeight="1" x14ac:dyDescent="0.3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149999999999999" customHeight="1" x14ac:dyDescent="0.3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149999999999999" customHeight="1" x14ac:dyDescent="0.3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149999999999999" customHeight="1" x14ac:dyDescent="0.3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149999999999999" customHeight="1" x14ac:dyDescent="0.3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149999999999999" customHeight="1" x14ac:dyDescent="0.3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149999999999999" customHeight="1" x14ac:dyDescent="0.3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149999999999999" customHeight="1" x14ac:dyDescent="0.3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149999999999999" customHeight="1" x14ac:dyDescent="0.3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149999999999999" customHeight="1" x14ac:dyDescent="0.3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149999999999999" customHeight="1" x14ac:dyDescent="0.3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149999999999999" customHeight="1" x14ac:dyDescent="0.3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149999999999999" customHeight="1" x14ac:dyDescent="0.3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149999999999999" customHeight="1" x14ac:dyDescent="0.3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149999999999999" customHeight="1" x14ac:dyDescent="0.3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149999999999999" customHeight="1" x14ac:dyDescent="0.3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149999999999999" customHeight="1" x14ac:dyDescent="0.3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149999999999999" customHeight="1" x14ac:dyDescent="0.3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149999999999999" customHeight="1" x14ac:dyDescent="0.3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149999999999999" customHeight="1" x14ac:dyDescent="0.3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149999999999999" customHeight="1" x14ac:dyDescent="0.3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149999999999999" customHeight="1" x14ac:dyDescent="0.3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149999999999999" customHeight="1" x14ac:dyDescent="0.3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149999999999999" customHeight="1" x14ac:dyDescent="0.3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149999999999999" customHeight="1" x14ac:dyDescent="0.3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149999999999999" customHeight="1" x14ac:dyDescent="0.3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149999999999999" customHeight="1" x14ac:dyDescent="0.3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149999999999999" customHeight="1" x14ac:dyDescent="0.3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149999999999999" customHeight="1" x14ac:dyDescent="0.3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149999999999999" customHeight="1" x14ac:dyDescent="0.3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149999999999999" customHeight="1" x14ac:dyDescent="0.3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149999999999999" customHeight="1" x14ac:dyDescent="0.3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149999999999999" customHeight="1" x14ac:dyDescent="0.3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149999999999999" customHeight="1" x14ac:dyDescent="0.3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149999999999999" customHeight="1" x14ac:dyDescent="0.3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149999999999999" customHeight="1" x14ac:dyDescent="0.3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149999999999999" customHeight="1" x14ac:dyDescent="0.3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149999999999999" customHeight="1" x14ac:dyDescent="0.3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149999999999999" customHeight="1" x14ac:dyDescent="0.3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149999999999999" customHeight="1" x14ac:dyDescent="0.3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149999999999999" customHeight="1" x14ac:dyDescent="0.3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149999999999999" customHeight="1" x14ac:dyDescent="0.3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149999999999999" customHeight="1" x14ac:dyDescent="0.3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149999999999999" customHeight="1" x14ac:dyDescent="0.3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149999999999999" customHeight="1" x14ac:dyDescent="0.3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149999999999999" customHeight="1" x14ac:dyDescent="0.3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149999999999999" customHeight="1" x14ac:dyDescent="0.3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149999999999999" customHeight="1" x14ac:dyDescent="0.3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149999999999999" customHeight="1" x14ac:dyDescent="0.3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149999999999999" customHeight="1" x14ac:dyDescent="0.3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149999999999999" customHeight="1" x14ac:dyDescent="0.3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149999999999999" customHeight="1" x14ac:dyDescent="0.3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149999999999999" customHeight="1" x14ac:dyDescent="0.3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149999999999999" customHeight="1" x14ac:dyDescent="0.3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149999999999999" customHeight="1" x14ac:dyDescent="0.3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149999999999999" customHeight="1" x14ac:dyDescent="0.3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149999999999999" customHeight="1" x14ac:dyDescent="0.3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149999999999999" customHeight="1" x14ac:dyDescent="0.3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149999999999999" customHeight="1" x14ac:dyDescent="0.3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149999999999999" customHeight="1" x14ac:dyDescent="0.3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149999999999999" customHeight="1" x14ac:dyDescent="0.3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149999999999999" customHeight="1" x14ac:dyDescent="0.3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149999999999999" customHeight="1" x14ac:dyDescent="0.3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149999999999999" customHeight="1" x14ac:dyDescent="0.3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149999999999999" customHeight="1" x14ac:dyDescent="0.3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149999999999999" customHeight="1" x14ac:dyDescent="0.3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149999999999999" customHeight="1" x14ac:dyDescent="0.3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149999999999999" customHeight="1" x14ac:dyDescent="0.3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149999999999999" customHeight="1" x14ac:dyDescent="0.3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149999999999999" customHeight="1" x14ac:dyDescent="0.3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149999999999999" customHeight="1" x14ac:dyDescent="0.3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149999999999999" customHeight="1" x14ac:dyDescent="0.3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149999999999999" customHeight="1" x14ac:dyDescent="0.3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149999999999999" customHeight="1" x14ac:dyDescent="0.3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149999999999999" customHeight="1" x14ac:dyDescent="0.3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149999999999999" customHeight="1" x14ac:dyDescent="0.3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149999999999999" customHeight="1" x14ac:dyDescent="0.3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149999999999999" customHeight="1" x14ac:dyDescent="0.3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149999999999999" customHeight="1" x14ac:dyDescent="0.3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149999999999999" customHeight="1" x14ac:dyDescent="0.3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149999999999999" customHeight="1" x14ac:dyDescent="0.3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149999999999999" customHeight="1" x14ac:dyDescent="0.3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149999999999999" customHeight="1" x14ac:dyDescent="0.3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149999999999999" customHeight="1" x14ac:dyDescent="0.3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149999999999999" customHeight="1" x14ac:dyDescent="0.3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149999999999999" customHeight="1" x14ac:dyDescent="0.3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149999999999999" customHeight="1" x14ac:dyDescent="0.3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149999999999999" customHeight="1" x14ac:dyDescent="0.3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149999999999999" customHeight="1" x14ac:dyDescent="0.3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149999999999999" customHeight="1" x14ac:dyDescent="0.3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149999999999999" customHeight="1" x14ac:dyDescent="0.3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149999999999999" customHeight="1" x14ac:dyDescent="0.3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149999999999999" customHeight="1" x14ac:dyDescent="0.3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149999999999999" customHeight="1" x14ac:dyDescent="0.3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149999999999999" customHeight="1" x14ac:dyDescent="0.3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149999999999999" customHeight="1" x14ac:dyDescent="0.3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149999999999999" customHeight="1" x14ac:dyDescent="0.3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149999999999999" customHeight="1" x14ac:dyDescent="0.3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149999999999999" customHeight="1" x14ac:dyDescent="0.3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149999999999999" customHeight="1" x14ac:dyDescent="0.3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149999999999999" customHeight="1" x14ac:dyDescent="0.3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149999999999999" customHeight="1" x14ac:dyDescent="0.3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149999999999999" customHeight="1" x14ac:dyDescent="0.3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149999999999999" customHeight="1" x14ac:dyDescent="0.3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149999999999999" customHeight="1" x14ac:dyDescent="0.3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149999999999999" customHeight="1" x14ac:dyDescent="0.3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149999999999999" customHeight="1" x14ac:dyDescent="0.3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149999999999999" customHeight="1" x14ac:dyDescent="0.3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149999999999999" customHeight="1" x14ac:dyDescent="0.3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149999999999999" customHeight="1" x14ac:dyDescent="0.3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149999999999999" customHeight="1" x14ac:dyDescent="0.3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149999999999999" customHeight="1" x14ac:dyDescent="0.3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149999999999999" customHeight="1" x14ac:dyDescent="0.3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149999999999999" customHeight="1" x14ac:dyDescent="0.3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149999999999999" customHeight="1" x14ac:dyDescent="0.3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149999999999999" customHeight="1" x14ac:dyDescent="0.3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149999999999999" customHeight="1" x14ac:dyDescent="0.3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149999999999999" customHeight="1" x14ac:dyDescent="0.3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149999999999999" customHeight="1" x14ac:dyDescent="0.3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149999999999999" customHeight="1" x14ac:dyDescent="0.3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149999999999999" customHeight="1" x14ac:dyDescent="0.3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149999999999999" customHeight="1" x14ac:dyDescent="0.3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149999999999999" customHeight="1" x14ac:dyDescent="0.3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149999999999999" customHeight="1" x14ac:dyDescent="0.3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149999999999999" customHeight="1" x14ac:dyDescent="0.3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149999999999999" customHeight="1" x14ac:dyDescent="0.3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149999999999999" customHeight="1" x14ac:dyDescent="0.3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149999999999999" customHeight="1" x14ac:dyDescent="0.3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149999999999999" customHeight="1" x14ac:dyDescent="0.3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149999999999999" customHeight="1" x14ac:dyDescent="0.3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149999999999999" customHeight="1" x14ac:dyDescent="0.3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149999999999999" customHeight="1" x14ac:dyDescent="0.3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149999999999999" customHeight="1" x14ac:dyDescent="0.3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149999999999999" customHeight="1" x14ac:dyDescent="0.3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149999999999999" customHeight="1" x14ac:dyDescent="0.3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149999999999999" customHeight="1" x14ac:dyDescent="0.3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149999999999999" customHeight="1" x14ac:dyDescent="0.3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149999999999999" customHeight="1" x14ac:dyDescent="0.3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149999999999999" customHeight="1" x14ac:dyDescent="0.3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149999999999999" customHeight="1" x14ac:dyDescent="0.3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149999999999999" customHeight="1" x14ac:dyDescent="0.3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149999999999999" customHeight="1" x14ac:dyDescent="0.3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149999999999999" customHeight="1" x14ac:dyDescent="0.3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149999999999999" customHeight="1" x14ac:dyDescent="0.3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149999999999999" customHeight="1" x14ac:dyDescent="0.3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149999999999999" customHeight="1" x14ac:dyDescent="0.3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149999999999999" customHeight="1" x14ac:dyDescent="0.3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149999999999999" customHeight="1" x14ac:dyDescent="0.3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149999999999999" customHeight="1" x14ac:dyDescent="0.3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149999999999999" customHeight="1" x14ac:dyDescent="0.3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149999999999999" customHeight="1" x14ac:dyDescent="0.3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149999999999999" customHeight="1" x14ac:dyDescent="0.3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149999999999999" customHeight="1" x14ac:dyDescent="0.3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149999999999999" customHeight="1" x14ac:dyDescent="0.3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149999999999999" customHeight="1" x14ac:dyDescent="0.3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149999999999999" customHeight="1" x14ac:dyDescent="0.3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149999999999999" customHeight="1" x14ac:dyDescent="0.3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149999999999999" customHeight="1" x14ac:dyDescent="0.3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149999999999999" customHeight="1" x14ac:dyDescent="0.3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149999999999999" customHeight="1" x14ac:dyDescent="0.3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149999999999999" customHeight="1" x14ac:dyDescent="0.3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149999999999999" customHeight="1" x14ac:dyDescent="0.3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149999999999999" customHeight="1" x14ac:dyDescent="0.3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149999999999999" customHeight="1" x14ac:dyDescent="0.3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149999999999999" customHeight="1" x14ac:dyDescent="0.3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149999999999999" customHeight="1" x14ac:dyDescent="0.3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149999999999999" customHeight="1" x14ac:dyDescent="0.3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149999999999999" customHeight="1" x14ac:dyDescent="0.3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149999999999999" customHeight="1" x14ac:dyDescent="0.3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149999999999999" customHeight="1" x14ac:dyDescent="0.3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149999999999999" customHeight="1" x14ac:dyDescent="0.3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149999999999999" customHeight="1" x14ac:dyDescent="0.3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149999999999999" customHeight="1" x14ac:dyDescent="0.3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149999999999999" customHeight="1" x14ac:dyDescent="0.3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149999999999999" customHeight="1" x14ac:dyDescent="0.3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149999999999999" customHeight="1" x14ac:dyDescent="0.3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149999999999999" customHeight="1" x14ac:dyDescent="0.3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149999999999999" customHeight="1" x14ac:dyDescent="0.3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149999999999999" customHeight="1" x14ac:dyDescent="0.3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149999999999999" customHeight="1" x14ac:dyDescent="0.3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149999999999999" customHeight="1" x14ac:dyDescent="0.3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149999999999999" customHeight="1" x14ac:dyDescent="0.3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149999999999999" customHeight="1" x14ac:dyDescent="0.3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149999999999999" customHeight="1" x14ac:dyDescent="0.3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149999999999999" customHeight="1" x14ac:dyDescent="0.3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149999999999999" customHeight="1" x14ac:dyDescent="0.3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149999999999999" customHeight="1" x14ac:dyDescent="0.3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149999999999999" customHeight="1" x14ac:dyDescent="0.3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149999999999999" customHeight="1" x14ac:dyDescent="0.3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149999999999999" customHeight="1" x14ac:dyDescent="0.3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149999999999999" customHeight="1" x14ac:dyDescent="0.3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149999999999999" customHeight="1" x14ac:dyDescent="0.3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149999999999999" customHeight="1" x14ac:dyDescent="0.3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149999999999999" customHeight="1" x14ac:dyDescent="0.3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149999999999999" customHeight="1" x14ac:dyDescent="0.3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149999999999999" customHeight="1" x14ac:dyDescent="0.3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149999999999999" customHeight="1" x14ac:dyDescent="0.3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149999999999999" customHeight="1" x14ac:dyDescent="0.3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149999999999999" customHeight="1" x14ac:dyDescent="0.3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149999999999999" customHeight="1" x14ac:dyDescent="0.3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149999999999999" customHeight="1" x14ac:dyDescent="0.3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149999999999999" customHeight="1" x14ac:dyDescent="0.3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149999999999999" customHeight="1" x14ac:dyDescent="0.3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149999999999999" customHeight="1" x14ac:dyDescent="0.3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149999999999999" customHeight="1" x14ac:dyDescent="0.3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149999999999999" customHeight="1" x14ac:dyDescent="0.3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149999999999999" customHeight="1" x14ac:dyDescent="0.3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149999999999999" customHeight="1" x14ac:dyDescent="0.3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149999999999999" customHeight="1" x14ac:dyDescent="0.3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149999999999999" customHeight="1" x14ac:dyDescent="0.3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149999999999999" customHeight="1" x14ac:dyDescent="0.3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149999999999999" customHeight="1" x14ac:dyDescent="0.3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149999999999999" customHeight="1" x14ac:dyDescent="0.3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149999999999999" customHeight="1" x14ac:dyDescent="0.3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149999999999999" customHeight="1" x14ac:dyDescent="0.3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149999999999999" customHeight="1" x14ac:dyDescent="0.3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149999999999999" customHeight="1" x14ac:dyDescent="0.3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149999999999999" customHeight="1" x14ac:dyDescent="0.3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149999999999999" customHeight="1" x14ac:dyDescent="0.3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149999999999999" customHeight="1" x14ac:dyDescent="0.3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149999999999999" customHeight="1" x14ac:dyDescent="0.3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149999999999999" customHeight="1" x14ac:dyDescent="0.3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149999999999999" customHeight="1" x14ac:dyDescent="0.3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149999999999999" customHeight="1" x14ac:dyDescent="0.3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149999999999999" customHeight="1" x14ac:dyDescent="0.3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149999999999999" customHeight="1" x14ac:dyDescent="0.3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149999999999999" customHeight="1" x14ac:dyDescent="0.3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149999999999999" customHeight="1" x14ac:dyDescent="0.3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149999999999999" customHeight="1" x14ac:dyDescent="0.3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149999999999999" customHeight="1" x14ac:dyDescent="0.3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149999999999999" customHeight="1" x14ac:dyDescent="0.3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149999999999999" customHeight="1" x14ac:dyDescent="0.3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149999999999999" customHeight="1" x14ac:dyDescent="0.3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149999999999999" customHeight="1" x14ac:dyDescent="0.3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149999999999999" customHeight="1" x14ac:dyDescent="0.3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149999999999999" customHeight="1" x14ac:dyDescent="0.3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149999999999999" customHeight="1" x14ac:dyDescent="0.3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149999999999999" customHeight="1" x14ac:dyDescent="0.3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149999999999999" customHeight="1" x14ac:dyDescent="0.3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149999999999999" customHeight="1" x14ac:dyDescent="0.3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149999999999999" customHeight="1" x14ac:dyDescent="0.3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149999999999999" customHeight="1" x14ac:dyDescent="0.3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149999999999999" customHeight="1" x14ac:dyDescent="0.3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149999999999999" customHeight="1" x14ac:dyDescent="0.3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149999999999999" customHeight="1" x14ac:dyDescent="0.3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149999999999999" customHeight="1" x14ac:dyDescent="0.3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149999999999999" customHeight="1" x14ac:dyDescent="0.3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149999999999999" customHeight="1" x14ac:dyDescent="0.3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149999999999999" customHeight="1" x14ac:dyDescent="0.3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149999999999999" customHeight="1" x14ac:dyDescent="0.3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149999999999999" customHeight="1" x14ac:dyDescent="0.3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149999999999999" customHeight="1" x14ac:dyDescent="0.3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149999999999999" customHeight="1" x14ac:dyDescent="0.3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149999999999999" customHeight="1" x14ac:dyDescent="0.3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149999999999999" customHeight="1" x14ac:dyDescent="0.3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149999999999999" customHeight="1" x14ac:dyDescent="0.3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149999999999999" customHeight="1" x14ac:dyDescent="0.3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149999999999999" customHeight="1" x14ac:dyDescent="0.3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149999999999999" customHeight="1" x14ac:dyDescent="0.3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149999999999999" customHeight="1" x14ac:dyDescent="0.3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149999999999999" customHeight="1" x14ac:dyDescent="0.3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149999999999999" customHeight="1" x14ac:dyDescent="0.3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149999999999999" customHeight="1" x14ac:dyDescent="0.3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149999999999999" customHeight="1" x14ac:dyDescent="0.3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149999999999999" customHeight="1" x14ac:dyDescent="0.3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149999999999999" customHeight="1" x14ac:dyDescent="0.3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149999999999999" customHeight="1" x14ac:dyDescent="0.3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149999999999999" customHeight="1" x14ac:dyDescent="0.3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149999999999999" customHeight="1" x14ac:dyDescent="0.3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149999999999999" customHeight="1" x14ac:dyDescent="0.3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149999999999999" customHeight="1" x14ac:dyDescent="0.3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149999999999999" customHeight="1" x14ac:dyDescent="0.3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149999999999999" customHeight="1" x14ac:dyDescent="0.3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149999999999999" customHeight="1" x14ac:dyDescent="0.3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149999999999999" customHeight="1" x14ac:dyDescent="0.3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149999999999999" customHeight="1" x14ac:dyDescent="0.3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149999999999999" customHeight="1" x14ac:dyDescent="0.3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149999999999999" customHeight="1" x14ac:dyDescent="0.3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149999999999999" customHeight="1" x14ac:dyDescent="0.3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149999999999999" customHeight="1" x14ac:dyDescent="0.3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149999999999999" customHeight="1" x14ac:dyDescent="0.3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149999999999999" customHeight="1" x14ac:dyDescent="0.3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149999999999999" customHeight="1" x14ac:dyDescent="0.3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149999999999999" customHeight="1" x14ac:dyDescent="0.3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149999999999999" customHeight="1" x14ac:dyDescent="0.3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149999999999999" customHeight="1" x14ac:dyDescent="0.3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149999999999999" customHeight="1" x14ac:dyDescent="0.3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149999999999999" customHeight="1" x14ac:dyDescent="0.3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149999999999999" customHeight="1" x14ac:dyDescent="0.3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149999999999999" customHeight="1" x14ac:dyDescent="0.3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149999999999999" customHeight="1" x14ac:dyDescent="0.3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149999999999999" customHeight="1" x14ac:dyDescent="0.3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149999999999999" customHeight="1" x14ac:dyDescent="0.3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149999999999999" customHeight="1" x14ac:dyDescent="0.3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149999999999999" customHeight="1" x14ac:dyDescent="0.3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149999999999999" customHeight="1" x14ac:dyDescent="0.3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149999999999999" customHeight="1" x14ac:dyDescent="0.3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149999999999999" customHeight="1" x14ac:dyDescent="0.3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149999999999999" customHeight="1" x14ac:dyDescent="0.3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149999999999999" customHeight="1" x14ac:dyDescent="0.3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149999999999999" customHeight="1" x14ac:dyDescent="0.3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149999999999999" customHeight="1" x14ac:dyDescent="0.3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149999999999999" customHeight="1" x14ac:dyDescent="0.3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149999999999999" customHeight="1" x14ac:dyDescent="0.3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149999999999999" customHeight="1" x14ac:dyDescent="0.3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149999999999999" customHeight="1" x14ac:dyDescent="0.3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149999999999999" customHeight="1" x14ac:dyDescent="0.3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149999999999999" customHeight="1" x14ac:dyDescent="0.3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149999999999999" customHeight="1" x14ac:dyDescent="0.3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149999999999999" customHeight="1" x14ac:dyDescent="0.3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149999999999999" customHeight="1" x14ac:dyDescent="0.3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149999999999999" customHeight="1" x14ac:dyDescent="0.3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149999999999999" customHeight="1" x14ac:dyDescent="0.3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149999999999999" customHeight="1" x14ac:dyDescent="0.3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149999999999999" customHeight="1" x14ac:dyDescent="0.3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149999999999999" customHeight="1" x14ac:dyDescent="0.3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149999999999999" customHeight="1" x14ac:dyDescent="0.3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149999999999999" customHeight="1" x14ac:dyDescent="0.3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149999999999999" customHeight="1" x14ac:dyDescent="0.3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149999999999999" customHeight="1" x14ac:dyDescent="0.3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149999999999999" customHeight="1" x14ac:dyDescent="0.3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149999999999999" customHeight="1" x14ac:dyDescent="0.3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149999999999999" customHeight="1" x14ac:dyDescent="0.3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149999999999999" customHeight="1" x14ac:dyDescent="0.3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149999999999999" customHeight="1" x14ac:dyDescent="0.3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149999999999999" customHeight="1" x14ac:dyDescent="0.3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149999999999999" customHeight="1" x14ac:dyDescent="0.3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149999999999999" customHeight="1" x14ac:dyDescent="0.3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149999999999999" customHeight="1" x14ac:dyDescent="0.3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149999999999999" customHeight="1" x14ac:dyDescent="0.3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149999999999999" customHeight="1" x14ac:dyDescent="0.3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149999999999999" customHeight="1" x14ac:dyDescent="0.3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149999999999999" customHeight="1" x14ac:dyDescent="0.3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149999999999999" customHeight="1" x14ac:dyDescent="0.3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149999999999999" customHeight="1" x14ac:dyDescent="0.3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149999999999999" customHeight="1" x14ac:dyDescent="0.3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149999999999999" customHeight="1" x14ac:dyDescent="0.3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149999999999999" customHeight="1" x14ac:dyDescent="0.3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149999999999999" customHeight="1" x14ac:dyDescent="0.3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149999999999999" customHeight="1" x14ac:dyDescent="0.3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149999999999999" customHeight="1" x14ac:dyDescent="0.3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149999999999999" customHeight="1" x14ac:dyDescent="0.3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149999999999999" customHeight="1" x14ac:dyDescent="0.3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149999999999999" customHeight="1" x14ac:dyDescent="0.3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149999999999999" customHeight="1" x14ac:dyDescent="0.3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149999999999999" customHeight="1" x14ac:dyDescent="0.3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149999999999999" customHeight="1" x14ac:dyDescent="0.3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149999999999999" customHeight="1" x14ac:dyDescent="0.3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149999999999999" customHeight="1" x14ac:dyDescent="0.3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149999999999999" customHeight="1" x14ac:dyDescent="0.3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149999999999999" customHeight="1" x14ac:dyDescent="0.3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149999999999999" customHeight="1" x14ac:dyDescent="0.3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149999999999999" customHeight="1" x14ac:dyDescent="0.3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149999999999999" customHeight="1" x14ac:dyDescent="0.3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149999999999999" customHeight="1" x14ac:dyDescent="0.3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149999999999999" customHeight="1" x14ac:dyDescent="0.3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149999999999999" customHeight="1" x14ac:dyDescent="0.3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149999999999999" customHeight="1" x14ac:dyDescent="0.3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149999999999999" customHeight="1" x14ac:dyDescent="0.3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149999999999999" customHeight="1" x14ac:dyDescent="0.3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149999999999999" customHeight="1" x14ac:dyDescent="0.3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149999999999999" customHeight="1" x14ac:dyDescent="0.3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149999999999999" customHeight="1" x14ac:dyDescent="0.3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149999999999999" customHeight="1" x14ac:dyDescent="0.3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149999999999999" customHeight="1" x14ac:dyDescent="0.3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149999999999999" customHeight="1" x14ac:dyDescent="0.3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149999999999999" customHeight="1" x14ac:dyDescent="0.3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149999999999999" customHeight="1" x14ac:dyDescent="0.3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149999999999999" customHeight="1" x14ac:dyDescent="0.3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149999999999999" customHeight="1" x14ac:dyDescent="0.3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149999999999999" customHeight="1" x14ac:dyDescent="0.3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149999999999999" customHeight="1" x14ac:dyDescent="0.3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149999999999999" customHeight="1" x14ac:dyDescent="0.3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149999999999999" customHeight="1" x14ac:dyDescent="0.3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149999999999999" customHeight="1" x14ac:dyDescent="0.3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149999999999999" customHeight="1" x14ac:dyDescent="0.3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149999999999999" customHeight="1" x14ac:dyDescent="0.3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149999999999999" customHeight="1" x14ac:dyDescent="0.3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149999999999999" customHeight="1" x14ac:dyDescent="0.3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149999999999999" customHeight="1" x14ac:dyDescent="0.3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149999999999999" customHeight="1" x14ac:dyDescent="0.3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149999999999999" customHeight="1" x14ac:dyDescent="0.3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149999999999999" customHeight="1" x14ac:dyDescent="0.3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149999999999999" customHeight="1" x14ac:dyDescent="0.3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149999999999999" customHeight="1" x14ac:dyDescent="0.3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149999999999999" customHeight="1" x14ac:dyDescent="0.3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149999999999999" customHeight="1" x14ac:dyDescent="0.3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149999999999999" customHeight="1" x14ac:dyDescent="0.3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149999999999999" customHeight="1" x14ac:dyDescent="0.3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149999999999999" customHeight="1" x14ac:dyDescent="0.3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149999999999999" customHeight="1" x14ac:dyDescent="0.3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149999999999999" customHeight="1" x14ac:dyDescent="0.3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149999999999999" customHeight="1" x14ac:dyDescent="0.3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149999999999999" customHeight="1" x14ac:dyDescent="0.3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149999999999999" customHeight="1" x14ac:dyDescent="0.3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149999999999999" customHeight="1" x14ac:dyDescent="0.3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149999999999999" customHeight="1" x14ac:dyDescent="0.3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149999999999999" customHeight="1" x14ac:dyDescent="0.3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149999999999999" customHeight="1" x14ac:dyDescent="0.3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149999999999999" customHeight="1" x14ac:dyDescent="0.3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149999999999999" customHeight="1" x14ac:dyDescent="0.3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149999999999999" customHeight="1" x14ac:dyDescent="0.3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149999999999999" customHeight="1" x14ac:dyDescent="0.3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149999999999999" customHeight="1" x14ac:dyDescent="0.3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149999999999999" customHeight="1" x14ac:dyDescent="0.3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149999999999999" customHeight="1" x14ac:dyDescent="0.3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149999999999999" customHeight="1" x14ac:dyDescent="0.3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149999999999999" customHeight="1" x14ac:dyDescent="0.3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149999999999999" customHeight="1" x14ac:dyDescent="0.3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149999999999999" customHeight="1" x14ac:dyDescent="0.3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149999999999999" customHeight="1" x14ac:dyDescent="0.3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149999999999999" customHeight="1" x14ac:dyDescent="0.3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149999999999999" customHeight="1" x14ac:dyDescent="0.3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149999999999999" customHeight="1" x14ac:dyDescent="0.3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149999999999999" customHeight="1" x14ac:dyDescent="0.3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149999999999999" customHeight="1" x14ac:dyDescent="0.3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149999999999999" customHeight="1" x14ac:dyDescent="0.3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149999999999999" customHeight="1" x14ac:dyDescent="0.3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149999999999999" customHeight="1" x14ac:dyDescent="0.3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149999999999999" customHeight="1" x14ac:dyDescent="0.3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149999999999999" customHeight="1" x14ac:dyDescent="0.3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149999999999999" customHeight="1" x14ac:dyDescent="0.3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149999999999999" customHeight="1" x14ac:dyDescent="0.3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149999999999999" customHeight="1" x14ac:dyDescent="0.3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149999999999999" customHeight="1" x14ac:dyDescent="0.3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149999999999999" customHeight="1" x14ac:dyDescent="0.3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149999999999999" customHeight="1" x14ac:dyDescent="0.3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149999999999999" customHeight="1" x14ac:dyDescent="0.3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149999999999999" customHeight="1" x14ac:dyDescent="0.3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149999999999999" customHeight="1" x14ac:dyDescent="0.3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149999999999999" customHeight="1" x14ac:dyDescent="0.3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149999999999999" customHeight="1" x14ac:dyDescent="0.3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149999999999999" customHeight="1" x14ac:dyDescent="0.3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149999999999999" customHeight="1" x14ac:dyDescent="0.3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149999999999999" customHeight="1" x14ac:dyDescent="0.3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149999999999999" customHeight="1" x14ac:dyDescent="0.3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149999999999999" customHeight="1" x14ac:dyDescent="0.3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149999999999999" customHeight="1" x14ac:dyDescent="0.3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149999999999999" customHeight="1" x14ac:dyDescent="0.3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149999999999999" customHeight="1" x14ac:dyDescent="0.3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149999999999999" customHeight="1" x14ac:dyDescent="0.3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149999999999999" customHeight="1" x14ac:dyDescent="0.3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149999999999999" customHeight="1" x14ac:dyDescent="0.3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149999999999999" customHeight="1" x14ac:dyDescent="0.3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149999999999999" customHeight="1" x14ac:dyDescent="0.3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149999999999999" customHeight="1" x14ac:dyDescent="0.3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149999999999999" customHeight="1" x14ac:dyDescent="0.3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149999999999999" customHeight="1" x14ac:dyDescent="0.3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149999999999999" customHeight="1" x14ac:dyDescent="0.3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149999999999999" customHeight="1" x14ac:dyDescent="0.3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149999999999999" customHeight="1" x14ac:dyDescent="0.3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149999999999999" customHeight="1" x14ac:dyDescent="0.3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149999999999999" customHeight="1" x14ac:dyDescent="0.3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149999999999999" customHeight="1" x14ac:dyDescent="0.3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149999999999999" customHeight="1" x14ac:dyDescent="0.3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149999999999999" customHeight="1" x14ac:dyDescent="0.3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149999999999999" customHeight="1" x14ac:dyDescent="0.3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149999999999999" customHeight="1" x14ac:dyDescent="0.3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149999999999999" customHeight="1" x14ac:dyDescent="0.3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149999999999999" customHeight="1" x14ac:dyDescent="0.3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149999999999999" customHeight="1" x14ac:dyDescent="0.3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149999999999999" customHeight="1" x14ac:dyDescent="0.3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149999999999999" customHeight="1" x14ac:dyDescent="0.3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149999999999999" customHeight="1" x14ac:dyDescent="0.3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149999999999999" customHeight="1" x14ac:dyDescent="0.3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149999999999999" customHeight="1" x14ac:dyDescent="0.3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149999999999999" customHeight="1" x14ac:dyDescent="0.3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149999999999999" customHeight="1" x14ac:dyDescent="0.3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149999999999999" customHeight="1" x14ac:dyDescent="0.3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149999999999999" customHeight="1" x14ac:dyDescent="0.3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149999999999999" customHeight="1" x14ac:dyDescent="0.3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149999999999999" customHeight="1" x14ac:dyDescent="0.3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149999999999999" customHeight="1" x14ac:dyDescent="0.3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149999999999999" customHeight="1" x14ac:dyDescent="0.3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149999999999999" customHeight="1" x14ac:dyDescent="0.3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149999999999999" customHeight="1" x14ac:dyDescent="0.3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149999999999999" customHeight="1" x14ac:dyDescent="0.3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149999999999999" customHeight="1" x14ac:dyDescent="0.3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149999999999999" customHeight="1" x14ac:dyDescent="0.3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149999999999999" customHeight="1" x14ac:dyDescent="0.3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149999999999999" customHeight="1" x14ac:dyDescent="0.3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149999999999999" customHeight="1" x14ac:dyDescent="0.3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149999999999999" customHeight="1" x14ac:dyDescent="0.3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149999999999999" customHeight="1" x14ac:dyDescent="0.3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149999999999999" customHeight="1" x14ac:dyDescent="0.3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149999999999999" customHeight="1" x14ac:dyDescent="0.3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149999999999999" customHeight="1" x14ac:dyDescent="0.3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149999999999999" customHeight="1" x14ac:dyDescent="0.3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149999999999999" customHeight="1" x14ac:dyDescent="0.3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149999999999999" customHeight="1" x14ac:dyDescent="0.3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149999999999999" customHeight="1" x14ac:dyDescent="0.3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149999999999999" customHeight="1" x14ac:dyDescent="0.3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149999999999999" customHeight="1" x14ac:dyDescent="0.3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149999999999999" customHeight="1" x14ac:dyDescent="0.3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149999999999999" customHeight="1" x14ac:dyDescent="0.3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149999999999999" customHeight="1" x14ac:dyDescent="0.3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149999999999999" customHeight="1" x14ac:dyDescent="0.3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149999999999999" customHeight="1" x14ac:dyDescent="0.3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149999999999999" customHeight="1" x14ac:dyDescent="0.3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149999999999999" customHeight="1" x14ac:dyDescent="0.3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149999999999999" customHeight="1" x14ac:dyDescent="0.3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149999999999999" customHeight="1" x14ac:dyDescent="0.3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149999999999999" customHeight="1" x14ac:dyDescent="0.3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149999999999999" customHeight="1" x14ac:dyDescent="0.3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149999999999999" customHeight="1" x14ac:dyDescent="0.3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149999999999999" customHeight="1" x14ac:dyDescent="0.3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149999999999999" customHeight="1" x14ac:dyDescent="0.3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149999999999999" customHeight="1" x14ac:dyDescent="0.3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149999999999999" customHeight="1" x14ac:dyDescent="0.3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149999999999999" customHeight="1" x14ac:dyDescent="0.3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149999999999999" customHeight="1" x14ac:dyDescent="0.3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149999999999999" customHeight="1" x14ac:dyDescent="0.3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149999999999999" customHeight="1" x14ac:dyDescent="0.3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149999999999999" customHeight="1" x14ac:dyDescent="0.3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149999999999999" customHeight="1" x14ac:dyDescent="0.3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149999999999999" customHeight="1" x14ac:dyDescent="0.3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149999999999999" customHeight="1" x14ac:dyDescent="0.3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149999999999999" customHeight="1" x14ac:dyDescent="0.3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149999999999999" customHeight="1" x14ac:dyDescent="0.3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149999999999999" customHeight="1" x14ac:dyDescent="0.3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149999999999999" customHeight="1" x14ac:dyDescent="0.3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149999999999999" customHeight="1" x14ac:dyDescent="0.3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149999999999999" customHeight="1" x14ac:dyDescent="0.3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149999999999999" customHeight="1" x14ac:dyDescent="0.3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149999999999999" customHeight="1" x14ac:dyDescent="0.3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149999999999999" customHeight="1" x14ac:dyDescent="0.3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149999999999999" customHeight="1" x14ac:dyDescent="0.3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149999999999999" customHeight="1" x14ac:dyDescent="0.3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149999999999999" customHeight="1" x14ac:dyDescent="0.3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149999999999999" customHeight="1" x14ac:dyDescent="0.3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149999999999999" customHeight="1" x14ac:dyDescent="0.3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149999999999999" customHeight="1" x14ac:dyDescent="0.3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149999999999999" customHeight="1" x14ac:dyDescent="0.3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149999999999999" customHeight="1" x14ac:dyDescent="0.3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149999999999999" customHeight="1" x14ac:dyDescent="0.3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149999999999999" customHeight="1" x14ac:dyDescent="0.3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149999999999999" customHeight="1" x14ac:dyDescent="0.3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149999999999999" customHeight="1" x14ac:dyDescent="0.3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149999999999999" customHeight="1" x14ac:dyDescent="0.3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149999999999999" customHeight="1" x14ac:dyDescent="0.3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149999999999999" customHeight="1" x14ac:dyDescent="0.3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149999999999999" customHeight="1" x14ac:dyDescent="0.3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149999999999999" customHeight="1" x14ac:dyDescent="0.3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149999999999999" customHeight="1" x14ac:dyDescent="0.3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149999999999999" customHeight="1" x14ac:dyDescent="0.3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149999999999999" customHeight="1" x14ac:dyDescent="0.3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149999999999999" customHeight="1" x14ac:dyDescent="0.3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149999999999999" customHeight="1" x14ac:dyDescent="0.3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149999999999999" customHeight="1" x14ac:dyDescent="0.3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149999999999999" customHeight="1" x14ac:dyDescent="0.3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149999999999999" customHeight="1" x14ac:dyDescent="0.3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149999999999999" customHeight="1" x14ac:dyDescent="0.3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149999999999999" customHeight="1" x14ac:dyDescent="0.3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149999999999999" customHeight="1" x14ac:dyDescent="0.3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149999999999999" customHeight="1" x14ac:dyDescent="0.3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149999999999999" customHeight="1" x14ac:dyDescent="0.3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149999999999999" customHeight="1" x14ac:dyDescent="0.3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149999999999999" customHeight="1" x14ac:dyDescent="0.3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149999999999999" customHeight="1" x14ac:dyDescent="0.3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149999999999999" customHeight="1" x14ac:dyDescent="0.3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149999999999999" customHeight="1" x14ac:dyDescent="0.3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149999999999999" customHeight="1" x14ac:dyDescent="0.3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149999999999999" customHeight="1" x14ac:dyDescent="0.3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149999999999999" customHeight="1" x14ac:dyDescent="0.3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149999999999999" customHeight="1" x14ac:dyDescent="0.3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149999999999999" customHeight="1" x14ac:dyDescent="0.3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149999999999999" customHeight="1" x14ac:dyDescent="0.3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149999999999999" customHeight="1" x14ac:dyDescent="0.3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149999999999999" customHeight="1" x14ac:dyDescent="0.3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149999999999999" customHeight="1" x14ac:dyDescent="0.3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149999999999999" customHeight="1" x14ac:dyDescent="0.3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149999999999999" customHeight="1" x14ac:dyDescent="0.3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149999999999999" customHeight="1" x14ac:dyDescent="0.3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149999999999999" customHeight="1" x14ac:dyDescent="0.3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149999999999999" customHeight="1" x14ac:dyDescent="0.3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149999999999999" customHeight="1" x14ac:dyDescent="0.3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149999999999999" customHeight="1" x14ac:dyDescent="0.3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149999999999999" customHeight="1" x14ac:dyDescent="0.3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149999999999999" customHeight="1" x14ac:dyDescent="0.3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149999999999999" customHeight="1" x14ac:dyDescent="0.3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149999999999999" customHeight="1" x14ac:dyDescent="0.3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149999999999999" customHeight="1" x14ac:dyDescent="0.3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149999999999999" customHeight="1" x14ac:dyDescent="0.3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149999999999999" customHeight="1" x14ac:dyDescent="0.3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149999999999999" customHeight="1" x14ac:dyDescent="0.3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149999999999999" customHeight="1" x14ac:dyDescent="0.3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149999999999999" customHeight="1" x14ac:dyDescent="0.3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149999999999999" customHeight="1" x14ac:dyDescent="0.3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149999999999999" customHeight="1" x14ac:dyDescent="0.3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149999999999999" customHeight="1" x14ac:dyDescent="0.3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149999999999999" customHeight="1" x14ac:dyDescent="0.3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149999999999999" customHeight="1" x14ac:dyDescent="0.3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149999999999999" customHeight="1" x14ac:dyDescent="0.3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149999999999999" customHeight="1" x14ac:dyDescent="0.3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149999999999999" customHeight="1" x14ac:dyDescent="0.3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149999999999999" customHeight="1" x14ac:dyDescent="0.3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149999999999999" customHeight="1" x14ac:dyDescent="0.3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149999999999999" customHeight="1" x14ac:dyDescent="0.3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149999999999999" customHeight="1" x14ac:dyDescent="0.3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149999999999999" customHeight="1" x14ac:dyDescent="0.3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149999999999999" customHeight="1" x14ac:dyDescent="0.3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149999999999999" customHeight="1" x14ac:dyDescent="0.3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149999999999999" customHeight="1" x14ac:dyDescent="0.3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149999999999999" customHeight="1" x14ac:dyDescent="0.3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149999999999999" customHeight="1" x14ac:dyDescent="0.3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149999999999999" customHeight="1" x14ac:dyDescent="0.3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149999999999999" customHeight="1" x14ac:dyDescent="0.3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149999999999999" customHeight="1" x14ac:dyDescent="0.3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149999999999999" customHeight="1" x14ac:dyDescent="0.3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149999999999999" customHeight="1" x14ac:dyDescent="0.3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149999999999999" customHeight="1" x14ac:dyDescent="0.3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149999999999999" customHeight="1" x14ac:dyDescent="0.3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149999999999999" customHeight="1" x14ac:dyDescent="0.3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149999999999999" customHeight="1" x14ac:dyDescent="0.3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149999999999999" customHeight="1" x14ac:dyDescent="0.3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149999999999999" customHeight="1" x14ac:dyDescent="0.3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149999999999999" customHeight="1" x14ac:dyDescent="0.3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149999999999999" customHeight="1" x14ac:dyDescent="0.3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149999999999999" customHeight="1" x14ac:dyDescent="0.3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149999999999999" customHeight="1" x14ac:dyDescent="0.3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149999999999999" customHeight="1" x14ac:dyDescent="0.3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149999999999999" customHeight="1" x14ac:dyDescent="0.3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149999999999999" customHeight="1" x14ac:dyDescent="0.3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149999999999999" customHeight="1" x14ac:dyDescent="0.3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149999999999999" customHeight="1" x14ac:dyDescent="0.3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149999999999999" customHeight="1" x14ac:dyDescent="0.3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149999999999999" customHeight="1" x14ac:dyDescent="0.3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149999999999999" customHeight="1" x14ac:dyDescent="0.3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149999999999999" customHeight="1" x14ac:dyDescent="0.3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149999999999999" customHeight="1" x14ac:dyDescent="0.3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149999999999999" customHeight="1" x14ac:dyDescent="0.3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149999999999999" customHeight="1" x14ac:dyDescent="0.3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149999999999999" customHeight="1" x14ac:dyDescent="0.3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149999999999999" customHeight="1" x14ac:dyDescent="0.3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149999999999999" customHeight="1" x14ac:dyDescent="0.3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149999999999999" customHeight="1" x14ac:dyDescent="0.3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149999999999999" customHeight="1" x14ac:dyDescent="0.3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149999999999999" customHeight="1" x14ac:dyDescent="0.3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149999999999999" customHeight="1" x14ac:dyDescent="0.3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149999999999999" customHeight="1" x14ac:dyDescent="0.3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149999999999999" customHeight="1" x14ac:dyDescent="0.3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149999999999999" customHeight="1" x14ac:dyDescent="0.3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149999999999999" customHeight="1" x14ac:dyDescent="0.3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149999999999999" customHeight="1" x14ac:dyDescent="0.3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149999999999999" customHeight="1" x14ac:dyDescent="0.3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149999999999999" customHeight="1" x14ac:dyDescent="0.3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149999999999999" customHeight="1" x14ac:dyDescent="0.3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149999999999999" customHeight="1" x14ac:dyDescent="0.3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149999999999999" customHeight="1" x14ac:dyDescent="0.3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149999999999999" customHeight="1" x14ac:dyDescent="0.3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149999999999999" customHeight="1" x14ac:dyDescent="0.3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149999999999999" customHeight="1" x14ac:dyDescent="0.3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149999999999999" customHeight="1" x14ac:dyDescent="0.3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149999999999999" customHeight="1" x14ac:dyDescent="0.3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149999999999999" customHeight="1" x14ac:dyDescent="0.3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149999999999999" customHeight="1" x14ac:dyDescent="0.3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149999999999999" customHeight="1" x14ac:dyDescent="0.3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149999999999999" customHeight="1" x14ac:dyDescent="0.3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149999999999999" customHeight="1" x14ac:dyDescent="0.3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149999999999999" customHeight="1" x14ac:dyDescent="0.3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149999999999999" customHeight="1" x14ac:dyDescent="0.3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149999999999999" customHeight="1" x14ac:dyDescent="0.3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149999999999999" customHeight="1" x14ac:dyDescent="0.3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149999999999999" customHeight="1" x14ac:dyDescent="0.3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149999999999999" customHeight="1" x14ac:dyDescent="0.3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149999999999999" customHeight="1" x14ac:dyDescent="0.3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149999999999999" customHeight="1" x14ac:dyDescent="0.3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149999999999999" customHeight="1" x14ac:dyDescent="0.3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149999999999999" customHeight="1" x14ac:dyDescent="0.3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149999999999999" customHeight="1" x14ac:dyDescent="0.3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149999999999999" customHeight="1" x14ac:dyDescent="0.3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149999999999999" customHeight="1" x14ac:dyDescent="0.3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149999999999999" customHeight="1" x14ac:dyDescent="0.3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149999999999999" customHeight="1" x14ac:dyDescent="0.3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149999999999999" customHeight="1" x14ac:dyDescent="0.3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149999999999999" customHeight="1" x14ac:dyDescent="0.3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149999999999999" customHeight="1" x14ac:dyDescent="0.3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149999999999999" customHeight="1" x14ac:dyDescent="0.3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149999999999999" customHeight="1" x14ac:dyDescent="0.3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149999999999999" customHeight="1" x14ac:dyDescent="0.3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149999999999999" customHeight="1" x14ac:dyDescent="0.3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149999999999999" customHeight="1" x14ac:dyDescent="0.3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149999999999999" customHeight="1" x14ac:dyDescent="0.3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149999999999999" customHeight="1" x14ac:dyDescent="0.3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149999999999999" customHeight="1" x14ac:dyDescent="0.3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149999999999999" customHeight="1" x14ac:dyDescent="0.3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149999999999999" customHeight="1" x14ac:dyDescent="0.3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149999999999999" customHeight="1" x14ac:dyDescent="0.3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149999999999999" customHeight="1" x14ac:dyDescent="0.3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149999999999999" customHeight="1" x14ac:dyDescent="0.3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149999999999999" customHeight="1" x14ac:dyDescent="0.3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149999999999999" customHeight="1" x14ac:dyDescent="0.3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149999999999999" customHeight="1" x14ac:dyDescent="0.3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149999999999999" customHeight="1" x14ac:dyDescent="0.3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149999999999999" customHeight="1" x14ac:dyDescent="0.3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149999999999999" customHeight="1" x14ac:dyDescent="0.3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149999999999999" customHeight="1" x14ac:dyDescent="0.3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149999999999999" customHeight="1" x14ac:dyDescent="0.3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149999999999999" customHeight="1" x14ac:dyDescent="0.3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149999999999999" customHeight="1" x14ac:dyDescent="0.3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149999999999999" customHeight="1" x14ac:dyDescent="0.3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149999999999999" customHeight="1" x14ac:dyDescent="0.3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149999999999999" customHeight="1" x14ac:dyDescent="0.3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149999999999999" customHeight="1" x14ac:dyDescent="0.3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149999999999999" customHeight="1" x14ac:dyDescent="0.3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149999999999999" customHeight="1" x14ac:dyDescent="0.3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149999999999999" customHeight="1" x14ac:dyDescent="0.3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149999999999999" customHeight="1" x14ac:dyDescent="0.3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149999999999999" customHeight="1" x14ac:dyDescent="0.3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149999999999999" customHeight="1" x14ac:dyDescent="0.3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149999999999999" customHeight="1" x14ac:dyDescent="0.3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149999999999999" customHeight="1" x14ac:dyDescent="0.3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149999999999999" customHeight="1" x14ac:dyDescent="0.3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149999999999999" customHeight="1" x14ac:dyDescent="0.3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149999999999999" customHeight="1" x14ac:dyDescent="0.3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149999999999999" customHeight="1" x14ac:dyDescent="0.3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149999999999999" customHeight="1" x14ac:dyDescent="0.3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149999999999999" customHeight="1" x14ac:dyDescent="0.3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149999999999999" customHeight="1" x14ac:dyDescent="0.3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149999999999999" customHeight="1" x14ac:dyDescent="0.3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149999999999999" customHeight="1" x14ac:dyDescent="0.3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149999999999999" customHeight="1" x14ac:dyDescent="0.3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149999999999999" customHeight="1" x14ac:dyDescent="0.3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149999999999999" customHeight="1" x14ac:dyDescent="0.3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149999999999999" customHeight="1" x14ac:dyDescent="0.3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149999999999999" customHeight="1" x14ac:dyDescent="0.3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149999999999999" customHeight="1" x14ac:dyDescent="0.3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149999999999999" customHeight="1" x14ac:dyDescent="0.3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149999999999999" customHeight="1" x14ac:dyDescent="0.3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149999999999999" customHeight="1" x14ac:dyDescent="0.3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149999999999999" customHeight="1" x14ac:dyDescent="0.3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149999999999999" customHeight="1" x14ac:dyDescent="0.3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149999999999999" customHeight="1" x14ac:dyDescent="0.3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149999999999999" customHeight="1" x14ac:dyDescent="0.3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149999999999999" customHeight="1" x14ac:dyDescent="0.3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149999999999999" customHeight="1" x14ac:dyDescent="0.3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149999999999999" customHeight="1" x14ac:dyDescent="0.3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149999999999999" customHeight="1" x14ac:dyDescent="0.3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149999999999999" customHeight="1" x14ac:dyDescent="0.3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149999999999999" customHeight="1" x14ac:dyDescent="0.3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149999999999999" customHeight="1" x14ac:dyDescent="0.3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149999999999999" customHeight="1" x14ac:dyDescent="0.3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149999999999999" customHeight="1" x14ac:dyDescent="0.3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149999999999999" customHeight="1" x14ac:dyDescent="0.3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149999999999999" customHeight="1" x14ac:dyDescent="0.3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149999999999999" customHeight="1" x14ac:dyDescent="0.3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149999999999999" customHeight="1" x14ac:dyDescent="0.3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149999999999999" customHeight="1" x14ac:dyDescent="0.3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149999999999999" customHeight="1" x14ac:dyDescent="0.3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149999999999999" customHeight="1" x14ac:dyDescent="0.3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149999999999999" customHeight="1" x14ac:dyDescent="0.3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149999999999999" customHeight="1" x14ac:dyDescent="0.3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149999999999999" customHeight="1" x14ac:dyDescent="0.3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149999999999999" customHeight="1" x14ac:dyDescent="0.3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149999999999999" customHeight="1" x14ac:dyDescent="0.3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149999999999999" customHeight="1" x14ac:dyDescent="0.3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149999999999999" customHeight="1" x14ac:dyDescent="0.3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149999999999999" customHeight="1" x14ac:dyDescent="0.3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149999999999999" customHeight="1" x14ac:dyDescent="0.3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149999999999999" customHeight="1" x14ac:dyDescent="0.3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149999999999999" customHeight="1" x14ac:dyDescent="0.3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149999999999999" customHeight="1" x14ac:dyDescent="0.3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149999999999999" customHeight="1" x14ac:dyDescent="0.3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149999999999999" customHeight="1" x14ac:dyDescent="0.3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149999999999999" customHeight="1" x14ac:dyDescent="0.3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149999999999999" customHeight="1" x14ac:dyDescent="0.3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149999999999999" customHeight="1" x14ac:dyDescent="0.3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149999999999999" customHeight="1" x14ac:dyDescent="0.3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149999999999999" customHeight="1" x14ac:dyDescent="0.3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149999999999999" customHeight="1" x14ac:dyDescent="0.3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149999999999999" customHeight="1" x14ac:dyDescent="0.3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149999999999999" customHeight="1" x14ac:dyDescent="0.3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149999999999999" customHeight="1" x14ac:dyDescent="0.3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149999999999999" customHeight="1" x14ac:dyDescent="0.3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149999999999999" customHeight="1" x14ac:dyDescent="0.3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149999999999999" customHeight="1" x14ac:dyDescent="0.3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149999999999999" customHeight="1" x14ac:dyDescent="0.3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149999999999999" customHeight="1" x14ac:dyDescent="0.3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149999999999999" customHeight="1" x14ac:dyDescent="0.3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149999999999999" customHeight="1" x14ac:dyDescent="0.3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149999999999999" customHeight="1" x14ac:dyDescent="0.3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149999999999999" customHeight="1" x14ac:dyDescent="0.3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149999999999999" customHeight="1" x14ac:dyDescent="0.3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149999999999999" customHeight="1" x14ac:dyDescent="0.3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149999999999999" customHeight="1" x14ac:dyDescent="0.3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149999999999999" customHeight="1" x14ac:dyDescent="0.3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149999999999999" customHeight="1" x14ac:dyDescent="0.3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149999999999999" customHeight="1" x14ac:dyDescent="0.3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149999999999999" customHeight="1" x14ac:dyDescent="0.3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149999999999999" customHeight="1" x14ac:dyDescent="0.3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149999999999999" customHeight="1" x14ac:dyDescent="0.3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149999999999999" customHeight="1" x14ac:dyDescent="0.3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149999999999999" customHeight="1" x14ac:dyDescent="0.3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149999999999999" customHeight="1" x14ac:dyDescent="0.3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149999999999999" customHeight="1" x14ac:dyDescent="0.3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149999999999999" customHeight="1" x14ac:dyDescent="0.3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149999999999999" customHeight="1" x14ac:dyDescent="0.3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149999999999999" customHeight="1" x14ac:dyDescent="0.3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149999999999999" customHeight="1" x14ac:dyDescent="0.3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149999999999999" customHeight="1" x14ac:dyDescent="0.3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149999999999999" customHeight="1" x14ac:dyDescent="0.3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149999999999999" customHeight="1" x14ac:dyDescent="0.3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149999999999999" customHeight="1" x14ac:dyDescent="0.3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149999999999999" customHeight="1" x14ac:dyDescent="0.3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149999999999999" customHeight="1" x14ac:dyDescent="0.3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149999999999999" customHeight="1" x14ac:dyDescent="0.3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149999999999999" customHeight="1" x14ac:dyDescent="0.3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149999999999999" customHeight="1" x14ac:dyDescent="0.3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149999999999999" customHeight="1" x14ac:dyDescent="0.3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149999999999999" customHeight="1" x14ac:dyDescent="0.3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149999999999999" customHeight="1" x14ac:dyDescent="0.3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149999999999999" customHeight="1" x14ac:dyDescent="0.3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149999999999999" customHeight="1" x14ac:dyDescent="0.3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149999999999999" customHeight="1" x14ac:dyDescent="0.3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149999999999999" customHeight="1" x14ac:dyDescent="0.3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149999999999999" customHeight="1" x14ac:dyDescent="0.3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149999999999999" customHeight="1" x14ac:dyDescent="0.3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149999999999999" customHeight="1" x14ac:dyDescent="0.3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149999999999999" customHeight="1" x14ac:dyDescent="0.3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149999999999999" customHeight="1" x14ac:dyDescent="0.3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149999999999999" customHeight="1" x14ac:dyDescent="0.3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149999999999999" customHeight="1" x14ac:dyDescent="0.3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149999999999999" customHeight="1" x14ac:dyDescent="0.3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149999999999999" customHeight="1" x14ac:dyDescent="0.3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149999999999999" customHeight="1" x14ac:dyDescent="0.3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149999999999999" customHeight="1" x14ac:dyDescent="0.3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149999999999999" customHeight="1" x14ac:dyDescent="0.3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149999999999999" customHeight="1" x14ac:dyDescent="0.3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149999999999999" customHeight="1" x14ac:dyDescent="0.3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149999999999999" customHeight="1" x14ac:dyDescent="0.3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149999999999999" customHeight="1" x14ac:dyDescent="0.3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149999999999999" customHeight="1" x14ac:dyDescent="0.3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149999999999999" customHeight="1" x14ac:dyDescent="0.3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149999999999999" customHeight="1" x14ac:dyDescent="0.3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149999999999999" customHeight="1" x14ac:dyDescent="0.3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149999999999999" customHeight="1" x14ac:dyDescent="0.3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149999999999999" customHeight="1" x14ac:dyDescent="0.3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149999999999999" customHeight="1" x14ac:dyDescent="0.3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149999999999999" customHeight="1" x14ac:dyDescent="0.3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149999999999999" customHeight="1" x14ac:dyDescent="0.3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149999999999999" customHeight="1" x14ac:dyDescent="0.3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149999999999999" customHeight="1" x14ac:dyDescent="0.3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149999999999999" customHeight="1" x14ac:dyDescent="0.3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149999999999999" customHeight="1" x14ac:dyDescent="0.3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149999999999999" customHeight="1" x14ac:dyDescent="0.3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149999999999999" customHeight="1" x14ac:dyDescent="0.3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149999999999999" customHeight="1" x14ac:dyDescent="0.3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149999999999999" customHeight="1" x14ac:dyDescent="0.3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149999999999999" customHeight="1" x14ac:dyDescent="0.3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149999999999999" customHeight="1" x14ac:dyDescent="0.3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149999999999999" customHeight="1" x14ac:dyDescent="0.3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149999999999999" customHeight="1" x14ac:dyDescent="0.3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149999999999999" customHeight="1" x14ac:dyDescent="0.3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149999999999999" customHeight="1" x14ac:dyDescent="0.3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149999999999999" customHeight="1" x14ac:dyDescent="0.3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149999999999999" customHeight="1" x14ac:dyDescent="0.3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149999999999999" customHeight="1" x14ac:dyDescent="0.3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149999999999999" customHeight="1" x14ac:dyDescent="0.3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149999999999999" customHeight="1" x14ac:dyDescent="0.3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149999999999999" customHeight="1" x14ac:dyDescent="0.3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149999999999999" customHeight="1" x14ac:dyDescent="0.3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149999999999999" customHeight="1" x14ac:dyDescent="0.3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149999999999999" customHeight="1" x14ac:dyDescent="0.3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149999999999999" customHeight="1" x14ac:dyDescent="0.3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149999999999999" customHeight="1" x14ac:dyDescent="0.3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149999999999999" customHeight="1" x14ac:dyDescent="0.3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149999999999999" customHeight="1" x14ac:dyDescent="0.3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149999999999999" customHeight="1" x14ac:dyDescent="0.3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149999999999999" customHeight="1" x14ac:dyDescent="0.3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149999999999999" customHeight="1" x14ac:dyDescent="0.3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149999999999999" customHeight="1" x14ac:dyDescent="0.3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149999999999999" customHeight="1" x14ac:dyDescent="0.3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149999999999999" customHeight="1" x14ac:dyDescent="0.3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149999999999999" customHeight="1" x14ac:dyDescent="0.3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149999999999999" customHeight="1" x14ac:dyDescent="0.3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149999999999999" customHeight="1" x14ac:dyDescent="0.3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149999999999999" customHeight="1" x14ac:dyDescent="0.3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149999999999999" customHeight="1" x14ac:dyDescent="0.3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149999999999999" customHeight="1" x14ac:dyDescent="0.3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149999999999999" customHeight="1" x14ac:dyDescent="0.3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149999999999999" customHeight="1" x14ac:dyDescent="0.3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149999999999999" customHeight="1" x14ac:dyDescent="0.3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149999999999999" customHeight="1" x14ac:dyDescent="0.3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149999999999999" customHeight="1" x14ac:dyDescent="0.3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149999999999999" customHeight="1" x14ac:dyDescent="0.3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149999999999999" customHeight="1" x14ac:dyDescent="0.3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149999999999999" customHeight="1" x14ac:dyDescent="0.3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149999999999999" customHeight="1" x14ac:dyDescent="0.3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149999999999999" customHeight="1" x14ac:dyDescent="0.3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149999999999999" customHeight="1" x14ac:dyDescent="0.3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149999999999999" customHeight="1" x14ac:dyDescent="0.3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149999999999999" customHeight="1" x14ac:dyDescent="0.3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149999999999999" customHeight="1" x14ac:dyDescent="0.3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149999999999999" customHeight="1" x14ac:dyDescent="0.3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149999999999999" customHeight="1" x14ac:dyDescent="0.3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149999999999999" customHeight="1" x14ac:dyDescent="0.3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149999999999999" customHeight="1" x14ac:dyDescent="0.3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149999999999999" customHeight="1" x14ac:dyDescent="0.3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149999999999999" customHeight="1" x14ac:dyDescent="0.3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149999999999999" customHeight="1" x14ac:dyDescent="0.3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149999999999999" customHeight="1" x14ac:dyDescent="0.3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149999999999999" customHeight="1" x14ac:dyDescent="0.3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149999999999999" customHeight="1" x14ac:dyDescent="0.3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149999999999999" customHeight="1" x14ac:dyDescent="0.3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149999999999999" customHeight="1" x14ac:dyDescent="0.3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149999999999999" customHeight="1" x14ac:dyDescent="0.3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149999999999999" customHeight="1" x14ac:dyDescent="0.3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149999999999999" customHeight="1" x14ac:dyDescent="0.3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149999999999999" customHeight="1" x14ac:dyDescent="0.3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149999999999999" customHeight="1" x14ac:dyDescent="0.3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149999999999999" customHeight="1" x14ac:dyDescent="0.3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149999999999999" customHeight="1" x14ac:dyDescent="0.3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149999999999999" customHeight="1" x14ac:dyDescent="0.3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149999999999999" customHeight="1" x14ac:dyDescent="0.3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149999999999999" customHeight="1" x14ac:dyDescent="0.3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149999999999999" customHeight="1" x14ac:dyDescent="0.3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149999999999999" customHeight="1" x14ac:dyDescent="0.3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149999999999999" customHeight="1" x14ac:dyDescent="0.3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149999999999999" customHeight="1" x14ac:dyDescent="0.3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149999999999999" customHeight="1" x14ac:dyDescent="0.3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149999999999999" customHeight="1" x14ac:dyDescent="0.3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149999999999999" customHeight="1" x14ac:dyDescent="0.3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149999999999999" customHeight="1" x14ac:dyDescent="0.3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149999999999999" customHeight="1" x14ac:dyDescent="0.3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149999999999999" customHeight="1" x14ac:dyDescent="0.3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149999999999999" customHeight="1" x14ac:dyDescent="0.3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149999999999999" customHeight="1" x14ac:dyDescent="0.3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149999999999999" customHeight="1" x14ac:dyDescent="0.3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149999999999999" customHeight="1" x14ac:dyDescent="0.3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149999999999999" customHeight="1" x14ac:dyDescent="0.3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149999999999999" customHeight="1" x14ac:dyDescent="0.3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149999999999999" customHeight="1" x14ac:dyDescent="0.3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149999999999999" customHeight="1" x14ac:dyDescent="0.3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149999999999999" customHeight="1" x14ac:dyDescent="0.3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149999999999999" customHeight="1" x14ac:dyDescent="0.3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149999999999999" customHeight="1" x14ac:dyDescent="0.3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149999999999999" customHeight="1" x14ac:dyDescent="0.3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149999999999999" customHeight="1" x14ac:dyDescent="0.3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149999999999999" customHeight="1" x14ac:dyDescent="0.3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149999999999999" customHeight="1" x14ac:dyDescent="0.3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149999999999999" customHeight="1" x14ac:dyDescent="0.3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149999999999999" customHeight="1" x14ac:dyDescent="0.3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149999999999999" customHeight="1" x14ac:dyDescent="0.3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149999999999999" customHeight="1" x14ac:dyDescent="0.3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149999999999999" customHeight="1" x14ac:dyDescent="0.3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149999999999999" customHeight="1" x14ac:dyDescent="0.3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149999999999999" customHeight="1" x14ac:dyDescent="0.3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149999999999999" customHeight="1" x14ac:dyDescent="0.3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149999999999999" customHeight="1" x14ac:dyDescent="0.3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149999999999999" customHeight="1" x14ac:dyDescent="0.3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149999999999999" customHeight="1" x14ac:dyDescent="0.3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149999999999999" customHeight="1" x14ac:dyDescent="0.3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149999999999999" customHeight="1" x14ac:dyDescent="0.3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149999999999999" customHeight="1" x14ac:dyDescent="0.3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149999999999999" customHeight="1" x14ac:dyDescent="0.3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149999999999999" customHeight="1" x14ac:dyDescent="0.3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149999999999999" customHeight="1" x14ac:dyDescent="0.3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149999999999999" customHeight="1" x14ac:dyDescent="0.3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149999999999999" customHeight="1" x14ac:dyDescent="0.3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149999999999999" customHeight="1" x14ac:dyDescent="0.3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149999999999999" customHeight="1" x14ac:dyDescent="0.3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149999999999999" customHeight="1" x14ac:dyDescent="0.3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149999999999999" customHeight="1" x14ac:dyDescent="0.3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149999999999999" customHeight="1" x14ac:dyDescent="0.3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149999999999999" customHeight="1" x14ac:dyDescent="0.3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149999999999999" customHeight="1" x14ac:dyDescent="0.3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149999999999999" customHeight="1" x14ac:dyDescent="0.3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149999999999999" customHeight="1" x14ac:dyDescent="0.3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149999999999999" customHeight="1" x14ac:dyDescent="0.3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149999999999999" customHeight="1" x14ac:dyDescent="0.3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149999999999999" customHeight="1" x14ac:dyDescent="0.3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149999999999999" customHeight="1" x14ac:dyDescent="0.3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149999999999999" customHeight="1" x14ac:dyDescent="0.3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149999999999999" customHeight="1" x14ac:dyDescent="0.3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149999999999999" customHeight="1" x14ac:dyDescent="0.3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149999999999999" customHeight="1" x14ac:dyDescent="0.3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149999999999999" customHeight="1" x14ac:dyDescent="0.3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149999999999999" customHeight="1" x14ac:dyDescent="0.3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149999999999999" customHeight="1" x14ac:dyDescent="0.3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149999999999999" customHeight="1" x14ac:dyDescent="0.3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149999999999999" customHeight="1" x14ac:dyDescent="0.3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149999999999999" customHeight="1" x14ac:dyDescent="0.3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149999999999999" customHeight="1" x14ac:dyDescent="0.3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149999999999999" customHeight="1" x14ac:dyDescent="0.3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149999999999999" customHeight="1" x14ac:dyDescent="0.3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149999999999999" customHeight="1" x14ac:dyDescent="0.3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149999999999999" customHeight="1" x14ac:dyDescent="0.3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149999999999999" customHeight="1" x14ac:dyDescent="0.3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149999999999999" customHeight="1" x14ac:dyDescent="0.3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149999999999999" customHeight="1" x14ac:dyDescent="0.3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149999999999999" customHeight="1" x14ac:dyDescent="0.3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149999999999999" customHeight="1" x14ac:dyDescent="0.3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149999999999999" customHeight="1" x14ac:dyDescent="0.3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149999999999999" customHeight="1" x14ac:dyDescent="0.3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149999999999999" customHeight="1" x14ac:dyDescent="0.3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149999999999999" customHeight="1" x14ac:dyDescent="0.3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149999999999999" customHeight="1" x14ac:dyDescent="0.3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149999999999999" customHeight="1" x14ac:dyDescent="0.3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149999999999999" customHeight="1" x14ac:dyDescent="0.3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149999999999999" customHeight="1" x14ac:dyDescent="0.3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149999999999999" customHeight="1" x14ac:dyDescent="0.3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149999999999999" customHeight="1" x14ac:dyDescent="0.3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149999999999999" customHeight="1" x14ac:dyDescent="0.3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149999999999999" customHeight="1" x14ac:dyDescent="0.3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149999999999999" customHeight="1" x14ac:dyDescent="0.3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149999999999999" customHeight="1" x14ac:dyDescent="0.3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149999999999999" customHeight="1" x14ac:dyDescent="0.3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149999999999999" customHeight="1" x14ac:dyDescent="0.3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149999999999999" customHeight="1" x14ac:dyDescent="0.3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149999999999999" customHeight="1" x14ac:dyDescent="0.3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149999999999999" customHeight="1" x14ac:dyDescent="0.3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149999999999999" customHeight="1" x14ac:dyDescent="0.3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149999999999999" customHeight="1" x14ac:dyDescent="0.3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149999999999999" customHeight="1" x14ac:dyDescent="0.3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149999999999999" customHeight="1" x14ac:dyDescent="0.3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149999999999999" customHeight="1" x14ac:dyDescent="0.3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149999999999999" customHeight="1" x14ac:dyDescent="0.3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149999999999999" customHeight="1" x14ac:dyDescent="0.3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149999999999999" customHeight="1" x14ac:dyDescent="0.3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149999999999999" customHeight="1" x14ac:dyDescent="0.3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149999999999999" customHeight="1" x14ac:dyDescent="0.3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149999999999999" customHeight="1" x14ac:dyDescent="0.3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149999999999999" customHeight="1" x14ac:dyDescent="0.3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149999999999999" customHeight="1" x14ac:dyDescent="0.3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149999999999999" customHeight="1" x14ac:dyDescent="0.3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149999999999999" customHeight="1" x14ac:dyDescent="0.3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149999999999999" customHeight="1" x14ac:dyDescent="0.3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149999999999999" customHeight="1" x14ac:dyDescent="0.3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149999999999999" customHeight="1" x14ac:dyDescent="0.3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149999999999999" customHeight="1" x14ac:dyDescent="0.3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149999999999999" customHeight="1" x14ac:dyDescent="0.3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149999999999999" customHeight="1" x14ac:dyDescent="0.3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149999999999999" customHeight="1" x14ac:dyDescent="0.3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149999999999999" customHeight="1" x14ac:dyDescent="0.3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149999999999999" customHeight="1" x14ac:dyDescent="0.3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149999999999999" customHeight="1" x14ac:dyDescent="0.3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149999999999999" customHeight="1" x14ac:dyDescent="0.3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149999999999999" customHeight="1" x14ac:dyDescent="0.3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149999999999999" customHeight="1" x14ac:dyDescent="0.3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149999999999999" customHeight="1" x14ac:dyDescent="0.3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149999999999999" customHeight="1" x14ac:dyDescent="0.3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149999999999999" customHeight="1" x14ac:dyDescent="0.3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149999999999999" customHeight="1" x14ac:dyDescent="0.3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149999999999999" customHeight="1" x14ac:dyDescent="0.3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149999999999999" customHeight="1" x14ac:dyDescent="0.3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149999999999999" customHeight="1" x14ac:dyDescent="0.3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149999999999999" customHeight="1" x14ac:dyDescent="0.3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149999999999999" customHeight="1" x14ac:dyDescent="0.3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149999999999999" customHeight="1" x14ac:dyDescent="0.3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149999999999999" customHeight="1" x14ac:dyDescent="0.3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149999999999999" customHeight="1" x14ac:dyDescent="0.3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149999999999999" customHeight="1" x14ac:dyDescent="0.3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149999999999999" customHeight="1" x14ac:dyDescent="0.3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149999999999999" customHeight="1" x14ac:dyDescent="0.3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149999999999999" customHeight="1" x14ac:dyDescent="0.3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149999999999999" customHeight="1" x14ac:dyDescent="0.3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149999999999999" customHeight="1" x14ac:dyDescent="0.3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149999999999999" customHeight="1" x14ac:dyDescent="0.3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149999999999999" customHeight="1" x14ac:dyDescent="0.3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149999999999999" customHeight="1" x14ac:dyDescent="0.3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149999999999999" customHeight="1" x14ac:dyDescent="0.3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149999999999999" customHeight="1" x14ac:dyDescent="0.3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149999999999999" customHeight="1" x14ac:dyDescent="0.3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149999999999999" customHeight="1" x14ac:dyDescent="0.3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149999999999999" customHeight="1" x14ac:dyDescent="0.3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149999999999999" customHeight="1" x14ac:dyDescent="0.3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149999999999999" customHeight="1" x14ac:dyDescent="0.3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149999999999999" customHeight="1" x14ac:dyDescent="0.3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149999999999999" customHeight="1" x14ac:dyDescent="0.3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149999999999999" customHeight="1" x14ac:dyDescent="0.3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149999999999999" customHeight="1" x14ac:dyDescent="0.3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149999999999999" customHeight="1" x14ac:dyDescent="0.3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149999999999999" customHeight="1" x14ac:dyDescent="0.3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149999999999999" customHeight="1" x14ac:dyDescent="0.3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149999999999999" customHeight="1" x14ac:dyDescent="0.3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149999999999999" customHeight="1" x14ac:dyDescent="0.3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149999999999999" customHeight="1" x14ac:dyDescent="0.3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149999999999999" customHeight="1" x14ac:dyDescent="0.3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149999999999999" customHeight="1" x14ac:dyDescent="0.3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149999999999999" customHeight="1" x14ac:dyDescent="0.3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149999999999999" customHeight="1" x14ac:dyDescent="0.3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149999999999999" customHeight="1" x14ac:dyDescent="0.3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149999999999999" customHeight="1" x14ac:dyDescent="0.3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149999999999999" customHeight="1" x14ac:dyDescent="0.3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149999999999999" customHeight="1" x14ac:dyDescent="0.3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149999999999999" customHeight="1" x14ac:dyDescent="0.3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149999999999999" customHeight="1" x14ac:dyDescent="0.3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149999999999999" customHeight="1" x14ac:dyDescent="0.3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149999999999999" customHeight="1" x14ac:dyDescent="0.3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149999999999999" customHeight="1" x14ac:dyDescent="0.3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149999999999999" customHeight="1" x14ac:dyDescent="0.3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149999999999999" customHeight="1" x14ac:dyDescent="0.3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149999999999999" customHeight="1" x14ac:dyDescent="0.3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149999999999999" customHeight="1" x14ac:dyDescent="0.3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149999999999999" customHeight="1" x14ac:dyDescent="0.3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149999999999999" customHeight="1" x14ac:dyDescent="0.3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149999999999999" customHeight="1" x14ac:dyDescent="0.3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149999999999999" customHeight="1" x14ac:dyDescent="0.3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149999999999999" customHeight="1" x14ac:dyDescent="0.3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149999999999999" customHeight="1" x14ac:dyDescent="0.3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149999999999999" customHeight="1" x14ac:dyDescent="0.3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149999999999999" customHeight="1" x14ac:dyDescent="0.3">
      <c r="W3439" s="50"/>
      <c r="X3439" s="50"/>
      <c r="Y3439" s="50"/>
      <c r="AY3439" s="50"/>
      <c r="AZ3439" s="50"/>
      <c r="BA3439" s="50"/>
    </row>
    <row r="3440" spans="23:53" ht="16.149999999999999" customHeight="1" x14ac:dyDescent="0.3">
      <c r="W3440" s="50"/>
      <c r="X3440" s="50"/>
      <c r="Y3440" s="50"/>
      <c r="AY3440" s="50"/>
      <c r="AZ3440" s="50"/>
      <c r="BA3440" s="50"/>
    </row>
    <row r="3441" spans="23:53" ht="16.149999999999999" customHeight="1" x14ac:dyDescent="0.3">
      <c r="W3441" s="50"/>
      <c r="X3441" s="50"/>
      <c r="Y3441" s="50"/>
      <c r="AY3441" s="50"/>
      <c r="AZ3441" s="50"/>
      <c r="BA3441" s="50"/>
    </row>
  </sheetData>
  <mergeCells count="283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75" defaultRowHeight="18" customHeight="1" x14ac:dyDescent="0.3"/>
  <cols>
    <col min="1" max="6" width="9.875" style="21"/>
    <col min="7" max="7" width="10.875" style="33" bestFit="1" customWidth="1"/>
    <col min="8" max="8" width="9.875" style="38"/>
    <col min="9" max="9" width="10.875" style="33" bestFit="1" customWidth="1"/>
    <col min="10" max="10" width="9.875" style="38"/>
    <col min="11" max="11" width="9.875" style="35"/>
    <col min="12" max="12" width="9.875" style="38"/>
    <col min="13" max="13" width="12.5" style="36" bestFit="1" customWidth="1"/>
    <col min="14" max="14" width="9.875" style="38"/>
    <col min="15" max="15" width="9.875" style="21"/>
    <col min="16" max="16" width="10.875" style="55" bestFit="1" customWidth="1"/>
    <col min="17" max="17" width="9.875" style="56"/>
    <col min="18" max="18" width="9.875" style="55"/>
    <col min="19" max="19" width="9.875" style="56"/>
    <col min="20" max="20" width="9.875" style="55"/>
    <col min="21" max="21" width="9.875" style="56"/>
    <col min="22" max="22" width="9.875" style="55"/>
    <col min="23" max="23" width="9.875" style="56"/>
    <col min="24" max="16384" width="9.875" style="21"/>
  </cols>
  <sheetData>
    <row r="1" spans="1:23" ht="18" customHeight="1" x14ac:dyDescent="0.3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3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3">
      <c r="A3" s="175" t="s">
        <v>59</v>
      </c>
      <c r="B3" s="175"/>
      <c r="C3" s="175"/>
      <c r="D3" s="175"/>
      <c r="E3" s="175"/>
      <c r="G3" s="175" t="s">
        <v>82</v>
      </c>
      <c r="H3" s="175"/>
      <c r="I3" s="175"/>
      <c r="J3" s="175"/>
      <c r="K3" s="175"/>
      <c r="L3" s="21"/>
      <c r="M3" s="21"/>
      <c r="N3" s="21"/>
      <c r="P3" s="175" t="s">
        <v>83</v>
      </c>
      <c r="Q3" s="175"/>
      <c r="R3" s="175"/>
      <c r="S3" s="175"/>
      <c r="T3" s="175"/>
      <c r="U3" s="21"/>
      <c r="V3" s="21"/>
      <c r="W3" s="21"/>
    </row>
    <row r="4" spans="1:23" ht="18" customHeight="1" x14ac:dyDescent="0.3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3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3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3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3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3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3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3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3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3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3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3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3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3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3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3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3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3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3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3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3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3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3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3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3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3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3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3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3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3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3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3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3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3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3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3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3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3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3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3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3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3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3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3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3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3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3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3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3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3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3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3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3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3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3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3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3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3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3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3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3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3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3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3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3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3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3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3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3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3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3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3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3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3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3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3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3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3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3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3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3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3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3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3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3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3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3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3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3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3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3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3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3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3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3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3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3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3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3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3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3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3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3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3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3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3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3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3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3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3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3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3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3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3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3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3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3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3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3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3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3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3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3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3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3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3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3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3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3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3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3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3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3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3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3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3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3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3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3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3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3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3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3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3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3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3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3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3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3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3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3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3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3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3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3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3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3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3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3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3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3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3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3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3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3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3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3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3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3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3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3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3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3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3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3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3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3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3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3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3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3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3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3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3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3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3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3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3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3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3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3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3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3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3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3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3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3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3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3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3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3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3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3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3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3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3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3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3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3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3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3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3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3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3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3">
      <c r="G218" s="32"/>
      <c r="H218" s="37"/>
      <c r="I218" s="32"/>
      <c r="J218" s="37"/>
      <c r="K218" s="32"/>
      <c r="L218" s="37"/>
    </row>
    <row r="219" spans="7:12" ht="18" customHeight="1" x14ac:dyDescent="0.3">
      <c r="G219" s="32"/>
      <c r="H219" s="37"/>
      <c r="I219" s="32"/>
      <c r="J219" s="37"/>
      <c r="K219" s="32"/>
      <c r="L219" s="37"/>
    </row>
    <row r="220" spans="7:12" ht="18" customHeight="1" x14ac:dyDescent="0.3">
      <c r="G220" s="32"/>
      <c r="H220" s="37"/>
      <c r="I220" s="32"/>
      <c r="J220" s="37"/>
      <c r="K220" s="32"/>
      <c r="L220" s="37"/>
    </row>
    <row r="221" spans="7:12" ht="18" customHeight="1" x14ac:dyDescent="0.3">
      <c r="G221" s="32"/>
      <c r="H221" s="37"/>
      <c r="I221" s="32"/>
      <c r="J221" s="37"/>
      <c r="K221" s="32"/>
      <c r="L221" s="37"/>
    </row>
    <row r="222" spans="7:12" ht="18" customHeight="1" x14ac:dyDescent="0.3">
      <c r="G222" s="32"/>
      <c r="H222" s="37"/>
      <c r="I222" s="32"/>
      <c r="J222" s="37"/>
      <c r="K222" s="32"/>
      <c r="L222" s="37"/>
    </row>
    <row r="223" spans="7:12" ht="18" customHeight="1" x14ac:dyDescent="0.3">
      <c r="G223" s="32"/>
      <c r="H223" s="37"/>
      <c r="I223" s="32"/>
      <c r="J223" s="37"/>
      <c r="K223" s="32"/>
      <c r="L223" s="37"/>
    </row>
    <row r="224" spans="7:12" ht="18" customHeight="1" x14ac:dyDescent="0.3">
      <c r="G224" s="32"/>
      <c r="H224" s="37"/>
      <c r="I224" s="32"/>
      <c r="J224" s="37"/>
      <c r="K224" s="32"/>
      <c r="L224" s="37"/>
    </row>
    <row r="225" spans="7:12" ht="18" customHeight="1" x14ac:dyDescent="0.3">
      <c r="G225" s="32"/>
      <c r="H225" s="37"/>
      <c r="I225" s="32"/>
      <c r="J225" s="37"/>
      <c r="K225" s="32"/>
      <c r="L225" s="37"/>
    </row>
    <row r="226" spans="7:12" ht="18" customHeight="1" x14ac:dyDescent="0.3">
      <c r="G226" s="32"/>
      <c r="H226" s="37"/>
      <c r="I226" s="32"/>
      <c r="J226" s="37"/>
      <c r="K226" s="32"/>
      <c r="L226" s="37"/>
    </row>
    <row r="227" spans="7:12" ht="18" customHeight="1" x14ac:dyDescent="0.3">
      <c r="G227" s="32"/>
      <c r="H227" s="37"/>
      <c r="I227" s="32"/>
      <c r="J227" s="37"/>
      <c r="K227" s="32"/>
      <c r="L227" s="37"/>
    </row>
    <row r="228" spans="7:12" ht="18" customHeight="1" x14ac:dyDescent="0.3">
      <c r="G228" s="32"/>
      <c r="H228" s="37"/>
      <c r="I228" s="32"/>
      <c r="J228" s="37"/>
      <c r="K228" s="32"/>
      <c r="L228" s="37"/>
    </row>
    <row r="229" spans="7:12" ht="18" customHeight="1" x14ac:dyDescent="0.3">
      <c r="G229" s="32"/>
      <c r="H229" s="37"/>
      <c r="I229" s="32"/>
      <c r="J229" s="37"/>
      <c r="K229" s="32"/>
      <c r="L229" s="37"/>
    </row>
    <row r="230" spans="7:12" ht="18" customHeight="1" x14ac:dyDescent="0.3">
      <c r="G230" s="32"/>
      <c r="H230" s="37"/>
      <c r="I230" s="32"/>
      <c r="J230" s="37"/>
      <c r="K230" s="32"/>
      <c r="L230" s="37"/>
    </row>
    <row r="231" spans="7:12" ht="18" customHeight="1" x14ac:dyDescent="0.3">
      <c r="G231" s="32"/>
      <c r="H231" s="37"/>
      <c r="I231" s="32"/>
      <c r="J231" s="37"/>
      <c r="K231" s="32"/>
      <c r="L231" s="37"/>
    </row>
    <row r="232" spans="7:12" ht="18" customHeight="1" x14ac:dyDescent="0.3">
      <c r="G232" s="32"/>
      <c r="H232" s="37"/>
      <c r="I232" s="32"/>
      <c r="J232" s="37"/>
      <c r="K232" s="32"/>
      <c r="L232" s="37"/>
    </row>
    <row r="233" spans="7:12" ht="18" customHeight="1" x14ac:dyDescent="0.3">
      <c r="G233" s="32"/>
      <c r="H233" s="37"/>
      <c r="I233" s="32"/>
      <c r="J233" s="37"/>
      <c r="K233" s="32"/>
      <c r="L233" s="37"/>
    </row>
    <row r="234" spans="7:12" ht="18" customHeight="1" x14ac:dyDescent="0.3">
      <c r="G234" s="32"/>
      <c r="H234" s="37"/>
      <c r="I234" s="32"/>
      <c r="J234" s="37"/>
      <c r="K234" s="32"/>
      <c r="L234" s="37"/>
    </row>
    <row r="235" spans="7:12" ht="18" customHeight="1" x14ac:dyDescent="0.3">
      <c r="G235" s="32"/>
      <c r="H235" s="37"/>
      <c r="I235" s="32"/>
      <c r="J235" s="37"/>
      <c r="K235" s="32"/>
      <c r="L235" s="37"/>
    </row>
    <row r="236" spans="7:12" ht="18" customHeight="1" x14ac:dyDescent="0.3">
      <c r="G236" s="32"/>
      <c r="H236" s="37"/>
      <c r="I236" s="32"/>
      <c r="J236" s="37"/>
      <c r="K236" s="32"/>
      <c r="L236" s="37"/>
    </row>
    <row r="237" spans="7:12" ht="18" customHeight="1" x14ac:dyDescent="0.3">
      <c r="G237" s="32"/>
      <c r="H237" s="37"/>
      <c r="I237" s="32"/>
      <c r="J237" s="37"/>
      <c r="K237" s="32"/>
      <c r="L237" s="37"/>
    </row>
    <row r="238" spans="7:12" ht="18" customHeight="1" x14ac:dyDescent="0.3">
      <c r="G238" s="32"/>
      <c r="H238" s="37"/>
      <c r="I238" s="32"/>
      <c r="J238" s="37"/>
      <c r="K238" s="32"/>
      <c r="L238" s="37"/>
    </row>
    <row r="239" spans="7:12" ht="18" customHeight="1" x14ac:dyDescent="0.3">
      <c r="G239" s="32"/>
      <c r="H239" s="37"/>
      <c r="I239" s="32"/>
      <c r="J239" s="37"/>
      <c r="K239" s="32"/>
      <c r="L239" s="37"/>
    </row>
    <row r="240" spans="7:12" ht="18" customHeight="1" x14ac:dyDescent="0.3">
      <c r="G240" s="32"/>
      <c r="H240" s="37"/>
      <c r="I240" s="32"/>
      <c r="J240" s="37"/>
      <c r="K240" s="32"/>
      <c r="L240" s="37"/>
    </row>
    <row r="241" spans="7:12" ht="18" customHeight="1" x14ac:dyDescent="0.3">
      <c r="G241" s="32"/>
      <c r="H241" s="37"/>
      <c r="I241" s="32"/>
      <c r="J241" s="37"/>
      <c r="K241" s="32"/>
      <c r="L241" s="37"/>
    </row>
    <row r="242" spans="7:12" ht="18" customHeight="1" x14ac:dyDescent="0.3">
      <c r="G242" s="32"/>
      <c r="H242" s="37"/>
      <c r="I242" s="32"/>
      <c r="J242" s="37"/>
      <c r="K242" s="32"/>
      <c r="L242" s="37"/>
    </row>
    <row r="243" spans="7:12" ht="18" customHeight="1" x14ac:dyDescent="0.3">
      <c r="G243" s="32"/>
      <c r="H243" s="37"/>
      <c r="I243" s="32"/>
      <c r="J243" s="37"/>
      <c r="K243" s="32"/>
      <c r="L243" s="37"/>
    </row>
    <row r="244" spans="7:12" ht="18" customHeight="1" x14ac:dyDescent="0.3">
      <c r="G244" s="32"/>
      <c r="H244" s="37"/>
      <c r="I244" s="32"/>
      <c r="J244" s="37"/>
      <c r="K244" s="32"/>
      <c r="L244" s="37"/>
    </row>
    <row r="245" spans="7:12" ht="18" customHeight="1" x14ac:dyDescent="0.3">
      <c r="G245" s="32"/>
      <c r="H245" s="37"/>
      <c r="I245" s="32"/>
      <c r="J245" s="37"/>
      <c r="K245" s="32"/>
      <c r="L245" s="37"/>
    </row>
    <row r="246" spans="7:12" ht="18" customHeight="1" x14ac:dyDescent="0.3">
      <c r="G246" s="32"/>
      <c r="H246" s="37"/>
      <c r="I246" s="32"/>
      <c r="J246" s="37"/>
      <c r="K246" s="32"/>
      <c r="L246" s="37"/>
    </row>
    <row r="247" spans="7:12" ht="18" customHeight="1" x14ac:dyDescent="0.3">
      <c r="G247" s="32"/>
      <c r="H247" s="37"/>
      <c r="I247" s="32"/>
      <c r="J247" s="37"/>
      <c r="K247" s="32"/>
      <c r="L247" s="37"/>
    </row>
    <row r="248" spans="7:12" ht="18" customHeight="1" x14ac:dyDescent="0.3">
      <c r="G248" s="32"/>
      <c r="H248" s="37"/>
      <c r="I248" s="32"/>
      <c r="J248" s="37"/>
      <c r="K248" s="32"/>
      <c r="L248" s="37"/>
    </row>
    <row r="249" spans="7:12" ht="18" customHeight="1" x14ac:dyDescent="0.3">
      <c r="G249" s="32"/>
      <c r="H249" s="37"/>
      <c r="I249" s="32"/>
      <c r="J249" s="37"/>
      <c r="K249" s="32"/>
      <c r="L249" s="37"/>
    </row>
    <row r="250" spans="7:12" ht="18" customHeight="1" x14ac:dyDescent="0.3">
      <c r="G250" s="32"/>
      <c r="H250" s="37"/>
      <c r="I250" s="32"/>
      <c r="J250" s="37"/>
      <c r="K250" s="32"/>
      <c r="L250" s="37"/>
    </row>
    <row r="251" spans="7:12" ht="18" customHeight="1" x14ac:dyDescent="0.3">
      <c r="G251" s="32"/>
      <c r="H251" s="37"/>
      <c r="I251" s="32"/>
      <c r="J251" s="37"/>
      <c r="K251" s="32"/>
      <c r="L251" s="37"/>
    </row>
    <row r="252" spans="7:12" ht="18" customHeight="1" x14ac:dyDescent="0.3">
      <c r="G252" s="32"/>
      <c r="H252" s="37"/>
      <c r="I252" s="32"/>
      <c r="J252" s="37"/>
      <c r="K252" s="32"/>
      <c r="L252" s="37"/>
    </row>
    <row r="253" spans="7:12" ht="18" customHeight="1" x14ac:dyDescent="0.3">
      <c r="G253" s="32"/>
      <c r="H253" s="37"/>
      <c r="I253" s="32"/>
      <c r="J253" s="37"/>
      <c r="K253" s="32"/>
      <c r="L253" s="37"/>
    </row>
    <row r="254" spans="7:12" ht="18" customHeight="1" x14ac:dyDescent="0.3">
      <c r="G254" s="32"/>
      <c r="H254" s="37"/>
      <c r="I254" s="32"/>
      <c r="J254" s="37"/>
      <c r="K254" s="32"/>
      <c r="L254" s="37"/>
    </row>
    <row r="255" spans="7:12" ht="18" customHeight="1" x14ac:dyDescent="0.3">
      <c r="G255" s="32"/>
      <c r="H255" s="37"/>
      <c r="I255" s="32"/>
      <c r="J255" s="37"/>
      <c r="K255" s="32"/>
      <c r="L255" s="37"/>
    </row>
    <row r="256" spans="7:12" ht="18" customHeight="1" x14ac:dyDescent="0.3">
      <c r="G256" s="32"/>
      <c r="H256" s="37"/>
      <c r="I256" s="32"/>
      <c r="J256" s="37"/>
      <c r="K256" s="32"/>
      <c r="L256" s="37"/>
    </row>
    <row r="257" spans="7:12" ht="18" customHeight="1" x14ac:dyDescent="0.3">
      <c r="G257" s="32"/>
      <c r="H257" s="37"/>
      <c r="I257" s="32"/>
      <c r="J257" s="37"/>
      <c r="K257" s="32"/>
      <c r="L257" s="37"/>
    </row>
    <row r="258" spans="7:12" ht="18" customHeight="1" x14ac:dyDescent="0.3">
      <c r="G258" s="32"/>
      <c r="H258" s="37"/>
      <c r="I258" s="32"/>
      <c r="J258" s="37"/>
      <c r="K258" s="32"/>
      <c r="L258" s="37"/>
    </row>
    <row r="259" spans="7:12" ht="18" customHeight="1" x14ac:dyDescent="0.3">
      <c r="G259" s="32"/>
      <c r="H259" s="37"/>
      <c r="I259" s="32"/>
      <c r="J259" s="37"/>
      <c r="K259" s="32"/>
      <c r="L259" s="37"/>
    </row>
    <row r="260" spans="7:12" ht="18" customHeight="1" x14ac:dyDescent="0.3">
      <c r="G260" s="32"/>
      <c r="H260" s="37"/>
      <c r="I260" s="32"/>
      <c r="J260" s="37"/>
      <c r="K260" s="32"/>
      <c r="L260" s="37"/>
    </row>
    <row r="261" spans="7:12" ht="18" customHeight="1" x14ac:dyDescent="0.3">
      <c r="G261" s="32"/>
      <c r="H261" s="37"/>
      <c r="I261" s="32"/>
      <c r="J261" s="37"/>
      <c r="K261" s="32"/>
      <c r="L261" s="37"/>
    </row>
    <row r="262" spans="7:12" ht="18" customHeight="1" x14ac:dyDescent="0.3">
      <c r="G262" s="32"/>
      <c r="H262" s="37"/>
      <c r="I262" s="32"/>
      <c r="J262" s="37"/>
      <c r="K262" s="32"/>
      <c r="L262" s="37"/>
    </row>
    <row r="263" spans="7:12" ht="18" customHeight="1" x14ac:dyDescent="0.3">
      <c r="G263" s="32"/>
      <c r="H263" s="37"/>
      <c r="I263" s="32"/>
      <c r="J263" s="37"/>
      <c r="K263" s="32"/>
      <c r="L263" s="37"/>
    </row>
    <row r="264" spans="7:12" ht="18" customHeight="1" x14ac:dyDescent="0.3">
      <c r="G264" s="32"/>
      <c r="H264" s="37"/>
      <c r="I264" s="32"/>
      <c r="J264" s="37"/>
      <c r="K264" s="32"/>
      <c r="L264" s="37"/>
    </row>
    <row r="265" spans="7:12" ht="18" customHeight="1" x14ac:dyDescent="0.3">
      <c r="G265" s="32"/>
      <c r="H265" s="37"/>
      <c r="I265" s="32"/>
      <c r="J265" s="37"/>
      <c r="K265" s="32"/>
      <c r="L265" s="37"/>
    </row>
    <row r="266" spans="7:12" ht="18" customHeight="1" x14ac:dyDescent="0.3">
      <c r="G266" s="32"/>
      <c r="H266" s="37"/>
      <c r="I266" s="32"/>
      <c r="J266" s="37"/>
      <c r="K266" s="32"/>
      <c r="L266" s="37"/>
    </row>
    <row r="267" spans="7:12" ht="18" customHeight="1" x14ac:dyDescent="0.3">
      <c r="G267" s="32"/>
      <c r="H267" s="37"/>
      <c r="I267" s="32"/>
      <c r="J267" s="37"/>
      <c r="K267" s="32"/>
      <c r="L267" s="37"/>
    </row>
    <row r="268" spans="7:12" ht="18" customHeight="1" x14ac:dyDescent="0.3">
      <c r="G268" s="32"/>
      <c r="H268" s="37"/>
      <c r="I268" s="32"/>
      <c r="J268" s="37"/>
      <c r="K268" s="32"/>
      <c r="L268" s="37"/>
    </row>
    <row r="269" spans="7:12" ht="18" customHeight="1" x14ac:dyDescent="0.3">
      <c r="G269" s="32"/>
      <c r="H269" s="37"/>
      <c r="I269" s="32"/>
      <c r="J269" s="37"/>
      <c r="K269" s="32"/>
      <c r="L269" s="37"/>
    </row>
    <row r="270" spans="7:12" ht="18" customHeight="1" x14ac:dyDescent="0.3">
      <c r="G270" s="32"/>
      <c r="H270" s="37"/>
      <c r="I270" s="32"/>
      <c r="J270" s="37"/>
      <c r="K270" s="32"/>
      <c r="L270" s="37"/>
    </row>
    <row r="271" spans="7:12" ht="18" customHeight="1" x14ac:dyDescent="0.3">
      <c r="G271" s="32"/>
      <c r="H271" s="37"/>
      <c r="I271" s="32"/>
      <c r="J271" s="37"/>
      <c r="K271" s="32"/>
      <c r="L271" s="37"/>
    </row>
    <row r="272" spans="7:12" ht="18" customHeight="1" x14ac:dyDescent="0.3">
      <c r="G272" s="32"/>
      <c r="H272" s="37"/>
      <c r="I272" s="32"/>
      <c r="J272" s="37"/>
      <c r="K272" s="32"/>
      <c r="L272" s="37"/>
    </row>
    <row r="273" spans="7:12" ht="18" customHeight="1" x14ac:dyDescent="0.3">
      <c r="G273" s="32"/>
      <c r="H273" s="37"/>
      <c r="I273" s="32"/>
      <c r="J273" s="37"/>
      <c r="K273" s="32"/>
      <c r="L273" s="37"/>
    </row>
    <row r="274" spans="7:12" ht="18" customHeight="1" x14ac:dyDescent="0.3">
      <c r="G274" s="32"/>
      <c r="H274" s="37"/>
      <c r="I274" s="32"/>
      <c r="J274" s="37"/>
      <c r="K274" s="32"/>
      <c r="L274" s="37"/>
    </row>
    <row r="275" spans="7:12" ht="18" customHeight="1" x14ac:dyDescent="0.3">
      <c r="G275" s="32"/>
      <c r="H275" s="37"/>
      <c r="I275" s="32"/>
      <c r="J275" s="37"/>
      <c r="K275" s="32"/>
      <c r="L275" s="37"/>
    </row>
    <row r="276" spans="7:12" ht="18" customHeight="1" x14ac:dyDescent="0.3">
      <c r="G276" s="32"/>
      <c r="H276" s="37"/>
      <c r="I276" s="32"/>
      <c r="J276" s="37"/>
      <c r="K276" s="32"/>
      <c r="L276" s="37"/>
    </row>
    <row r="277" spans="7:12" ht="18" customHeight="1" x14ac:dyDescent="0.3">
      <c r="G277" s="32"/>
      <c r="H277" s="37"/>
      <c r="I277" s="32"/>
      <c r="J277" s="37"/>
      <c r="K277" s="32"/>
      <c r="L277" s="37"/>
    </row>
    <row r="278" spans="7:12" ht="18" customHeight="1" x14ac:dyDescent="0.3">
      <c r="G278" s="32"/>
      <c r="H278" s="37"/>
      <c r="I278" s="32"/>
      <c r="J278" s="37"/>
      <c r="K278" s="32"/>
      <c r="L278" s="37"/>
    </row>
    <row r="279" spans="7:12" ht="18" customHeight="1" x14ac:dyDescent="0.3">
      <c r="G279" s="32"/>
      <c r="H279" s="37"/>
      <c r="I279" s="32"/>
      <c r="J279" s="37"/>
      <c r="K279" s="32"/>
      <c r="L279" s="37"/>
    </row>
    <row r="280" spans="7:12" ht="18" customHeight="1" x14ac:dyDescent="0.3">
      <c r="G280" s="32"/>
      <c r="H280" s="37"/>
      <c r="I280" s="32"/>
      <c r="J280" s="37"/>
      <c r="K280" s="32"/>
      <c r="L280" s="37"/>
    </row>
    <row r="281" spans="7:12" ht="18" customHeight="1" x14ac:dyDescent="0.3">
      <c r="G281" s="32"/>
      <c r="H281" s="37"/>
      <c r="I281" s="32"/>
      <c r="J281" s="37"/>
      <c r="K281" s="32"/>
      <c r="L281" s="37"/>
    </row>
    <row r="282" spans="7:12" ht="18" customHeight="1" x14ac:dyDescent="0.3">
      <c r="G282" s="32"/>
      <c r="H282" s="37"/>
      <c r="I282" s="32"/>
      <c r="J282" s="37"/>
      <c r="K282" s="32"/>
      <c r="L282" s="37"/>
    </row>
    <row r="283" spans="7:12" ht="18" customHeight="1" x14ac:dyDescent="0.3">
      <c r="G283" s="32"/>
      <c r="H283" s="37"/>
      <c r="I283" s="32"/>
      <c r="J283" s="37"/>
      <c r="K283" s="32"/>
      <c r="L283" s="37"/>
    </row>
    <row r="284" spans="7:12" ht="18" customHeight="1" x14ac:dyDescent="0.3">
      <c r="G284" s="32"/>
      <c r="H284" s="37"/>
      <c r="I284" s="32"/>
      <c r="J284" s="37"/>
      <c r="K284" s="32"/>
      <c r="L284" s="37"/>
    </row>
    <row r="285" spans="7:12" ht="18" customHeight="1" x14ac:dyDescent="0.3">
      <c r="G285" s="32"/>
      <c r="H285" s="37"/>
      <c r="I285" s="32"/>
      <c r="J285" s="37"/>
      <c r="K285" s="32"/>
      <c r="L285" s="37"/>
    </row>
    <row r="286" spans="7:12" ht="18" customHeight="1" x14ac:dyDescent="0.3">
      <c r="G286" s="32"/>
      <c r="H286" s="37"/>
      <c r="I286" s="32"/>
      <c r="J286" s="37"/>
      <c r="K286" s="32"/>
      <c r="L286" s="37"/>
    </row>
    <row r="287" spans="7:12" ht="18" customHeight="1" x14ac:dyDescent="0.3">
      <c r="G287" s="32"/>
      <c r="H287" s="37"/>
      <c r="I287" s="32"/>
      <c r="J287" s="37"/>
      <c r="K287" s="32"/>
      <c r="L287" s="37"/>
    </row>
    <row r="288" spans="7:12" ht="18" customHeight="1" x14ac:dyDescent="0.3">
      <c r="G288" s="32"/>
      <c r="H288" s="37"/>
      <c r="I288" s="32"/>
      <c r="J288" s="37"/>
      <c r="K288" s="32"/>
      <c r="L288" s="37"/>
    </row>
    <row r="289" spans="7:12" ht="18" customHeight="1" x14ac:dyDescent="0.3">
      <c r="G289" s="32"/>
      <c r="H289" s="37"/>
      <c r="I289" s="32"/>
      <c r="J289" s="37"/>
      <c r="K289" s="32"/>
      <c r="L289" s="37"/>
    </row>
    <row r="290" spans="7:12" ht="18" customHeight="1" x14ac:dyDescent="0.3">
      <c r="G290" s="32"/>
      <c r="H290" s="37"/>
      <c r="I290" s="32"/>
      <c r="J290" s="37"/>
      <c r="K290" s="32"/>
      <c r="L290" s="37"/>
    </row>
    <row r="291" spans="7:12" ht="18" customHeight="1" x14ac:dyDescent="0.3">
      <c r="G291" s="32"/>
      <c r="H291" s="37"/>
      <c r="I291" s="32"/>
      <c r="J291" s="37"/>
      <c r="K291" s="32"/>
      <c r="L291" s="37"/>
    </row>
    <row r="292" spans="7:12" ht="18" customHeight="1" x14ac:dyDescent="0.3">
      <c r="G292" s="32"/>
      <c r="H292" s="37"/>
      <c r="I292" s="32"/>
      <c r="J292" s="37"/>
      <c r="K292" s="32"/>
      <c r="L292" s="37"/>
    </row>
    <row r="293" spans="7:12" ht="18" customHeight="1" x14ac:dyDescent="0.3">
      <c r="G293" s="32"/>
      <c r="H293" s="37"/>
      <c r="I293" s="32"/>
      <c r="J293" s="37"/>
      <c r="K293" s="32"/>
      <c r="L293" s="37"/>
    </row>
    <row r="294" spans="7:12" ht="18" customHeight="1" x14ac:dyDescent="0.3">
      <c r="G294" s="32"/>
      <c r="H294" s="37"/>
      <c r="I294" s="32"/>
      <c r="J294" s="37"/>
      <c r="K294" s="32"/>
      <c r="L294" s="37"/>
    </row>
    <row r="295" spans="7:12" ht="18" customHeight="1" x14ac:dyDescent="0.3">
      <c r="G295" s="32"/>
      <c r="H295" s="37"/>
      <c r="I295" s="32"/>
      <c r="J295" s="37"/>
      <c r="K295" s="32"/>
      <c r="L295" s="37"/>
    </row>
    <row r="296" spans="7:12" ht="18" customHeight="1" x14ac:dyDescent="0.3">
      <c r="G296" s="32"/>
      <c r="H296" s="37"/>
      <c r="I296" s="32"/>
      <c r="J296" s="37"/>
      <c r="K296" s="32"/>
      <c r="L296" s="37"/>
    </row>
    <row r="297" spans="7:12" ht="18" customHeight="1" x14ac:dyDescent="0.3">
      <c r="G297" s="32"/>
      <c r="H297" s="37"/>
      <c r="I297" s="32"/>
      <c r="J297" s="37"/>
      <c r="K297" s="32"/>
      <c r="L297" s="37"/>
    </row>
    <row r="298" spans="7:12" ht="18" customHeight="1" x14ac:dyDescent="0.3">
      <c r="G298" s="32"/>
      <c r="H298" s="37"/>
      <c r="I298" s="32"/>
      <c r="J298" s="37"/>
      <c r="K298" s="32"/>
      <c r="L298" s="37"/>
    </row>
    <row r="299" spans="7:12" ht="18" customHeight="1" x14ac:dyDescent="0.3">
      <c r="G299" s="32"/>
      <c r="H299" s="37"/>
      <c r="I299" s="32"/>
      <c r="J299" s="37"/>
      <c r="K299" s="32"/>
      <c r="L299" s="37"/>
    </row>
    <row r="300" spans="7:12" ht="18" customHeight="1" x14ac:dyDescent="0.3">
      <c r="G300" s="32"/>
      <c r="H300" s="37"/>
      <c r="I300" s="32"/>
      <c r="J300" s="37"/>
      <c r="K300" s="32"/>
      <c r="L300" s="37"/>
    </row>
    <row r="301" spans="7:12" ht="18" customHeight="1" x14ac:dyDescent="0.3">
      <c r="G301" s="32"/>
      <c r="H301" s="37"/>
      <c r="I301" s="32"/>
      <c r="J301" s="37"/>
      <c r="K301" s="32"/>
      <c r="L301" s="37"/>
    </row>
    <row r="302" spans="7:12" ht="18" customHeight="1" x14ac:dyDescent="0.3">
      <c r="G302" s="32"/>
      <c r="H302" s="37"/>
      <c r="I302" s="32"/>
      <c r="J302" s="37"/>
      <c r="K302" s="32"/>
      <c r="L302" s="37"/>
    </row>
    <row r="303" spans="7:12" ht="18" customHeight="1" x14ac:dyDescent="0.3">
      <c r="G303" s="32"/>
      <c r="H303" s="37"/>
      <c r="I303" s="32"/>
      <c r="J303" s="37"/>
      <c r="K303" s="32"/>
      <c r="L303" s="37"/>
    </row>
    <row r="304" spans="7:12" ht="18" customHeight="1" x14ac:dyDescent="0.3">
      <c r="G304" s="32"/>
      <c r="H304" s="37"/>
      <c r="I304" s="32"/>
      <c r="J304" s="37"/>
      <c r="K304" s="32"/>
      <c r="L304" s="37"/>
    </row>
    <row r="305" spans="7:12" ht="18" customHeight="1" x14ac:dyDescent="0.3">
      <c r="G305" s="32"/>
      <c r="H305" s="37"/>
      <c r="I305" s="32"/>
      <c r="J305" s="37"/>
      <c r="K305" s="32"/>
      <c r="L305" s="37"/>
    </row>
    <row r="306" spans="7:12" ht="18" customHeight="1" x14ac:dyDescent="0.3">
      <c r="G306" s="32"/>
      <c r="H306" s="37"/>
      <c r="I306" s="32"/>
      <c r="J306" s="37"/>
      <c r="K306" s="32"/>
      <c r="L306" s="37"/>
    </row>
    <row r="307" spans="7:12" ht="18" customHeight="1" x14ac:dyDescent="0.3">
      <c r="G307" s="32"/>
      <c r="H307" s="37"/>
      <c r="I307" s="32"/>
      <c r="J307" s="37"/>
      <c r="K307" s="32"/>
      <c r="L307" s="37"/>
    </row>
    <row r="308" spans="7:12" ht="18" customHeight="1" x14ac:dyDescent="0.3">
      <c r="G308" s="32"/>
      <c r="H308" s="37"/>
      <c r="I308" s="32"/>
      <c r="J308" s="37"/>
      <c r="K308" s="32"/>
      <c r="L308" s="37"/>
    </row>
    <row r="309" spans="7:12" ht="18" customHeight="1" x14ac:dyDescent="0.3">
      <c r="G309" s="32"/>
      <c r="H309" s="37"/>
      <c r="I309" s="32"/>
      <c r="J309" s="37"/>
      <c r="K309" s="32"/>
      <c r="L309" s="37"/>
    </row>
    <row r="310" spans="7:12" ht="18" customHeight="1" x14ac:dyDescent="0.3">
      <c r="G310" s="32"/>
      <c r="H310" s="37"/>
      <c r="I310" s="32"/>
      <c r="J310" s="37"/>
      <c r="K310" s="32"/>
      <c r="L310" s="37"/>
    </row>
    <row r="311" spans="7:12" ht="18" customHeight="1" x14ac:dyDescent="0.3">
      <c r="G311" s="32"/>
      <c r="H311" s="37"/>
      <c r="I311" s="32"/>
      <c r="J311" s="37"/>
      <c r="K311" s="32"/>
      <c r="L311" s="37"/>
    </row>
    <row r="312" spans="7:12" ht="18" customHeight="1" x14ac:dyDescent="0.3">
      <c r="G312" s="32"/>
      <c r="H312" s="37"/>
      <c r="I312" s="32"/>
      <c r="J312" s="37"/>
      <c r="K312" s="32"/>
      <c r="L312" s="37"/>
    </row>
    <row r="313" spans="7:12" ht="18" customHeight="1" x14ac:dyDescent="0.3">
      <c r="G313" s="32"/>
      <c r="H313" s="37"/>
      <c r="I313" s="32"/>
      <c r="J313" s="37"/>
      <c r="K313" s="32"/>
      <c r="L313" s="37"/>
    </row>
    <row r="314" spans="7:12" ht="18" customHeight="1" x14ac:dyDescent="0.3">
      <c r="G314" s="32"/>
      <c r="H314" s="37"/>
      <c r="I314" s="32"/>
      <c r="J314" s="37"/>
      <c r="K314" s="32"/>
      <c r="L314" s="37"/>
    </row>
    <row r="315" spans="7:12" ht="18" customHeight="1" x14ac:dyDescent="0.3">
      <c r="G315" s="32"/>
      <c r="H315" s="37"/>
      <c r="I315" s="32"/>
      <c r="J315" s="37"/>
      <c r="K315" s="32"/>
      <c r="L315" s="37"/>
    </row>
    <row r="316" spans="7:12" ht="18" customHeight="1" x14ac:dyDescent="0.3">
      <c r="G316" s="32"/>
      <c r="H316" s="37"/>
      <c r="I316" s="32"/>
      <c r="J316" s="37"/>
      <c r="K316" s="32"/>
      <c r="L316" s="37"/>
    </row>
    <row r="317" spans="7:12" ht="18" customHeight="1" x14ac:dyDescent="0.3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J14" sqref="J14"/>
    </sheetView>
  </sheetViews>
  <sheetFormatPr defaultColWidth="13.875" defaultRowHeight="16.5" x14ac:dyDescent="0.3"/>
  <cols>
    <col min="1" max="1" width="17.625" style="21" bestFit="1" customWidth="1"/>
    <col min="2" max="2" width="13.875" style="57"/>
    <col min="3" max="5" width="13.875" style="58"/>
    <col min="6" max="8" width="13.875" style="59"/>
    <col min="9" max="9" width="13.875" style="57"/>
    <col min="10" max="12" width="13.875" style="58"/>
    <col min="13" max="15" width="13.875" style="59"/>
    <col min="16" max="16384" width="13.875" style="21"/>
  </cols>
  <sheetData>
    <row r="1" spans="1:15" x14ac:dyDescent="0.3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3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3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3">
      <c r="B4" s="177" t="s">
        <v>58</v>
      </c>
      <c r="C4" s="177"/>
      <c r="D4" s="178">
        <v>1000</v>
      </c>
      <c r="E4" s="178"/>
      <c r="F4" s="21"/>
      <c r="G4" s="179" t="s">
        <v>79</v>
      </c>
      <c r="H4" s="180"/>
      <c r="I4" s="181">
        <v>9917.0095343722132</v>
      </c>
      <c r="J4" s="182"/>
      <c r="K4" s="21"/>
      <c r="L4" s="31">
        <v>44665.437083333331</v>
      </c>
      <c r="M4" s="1" t="s">
        <v>5</v>
      </c>
      <c r="N4" s="80" t="s">
        <v>6</v>
      </c>
      <c r="O4" s="80"/>
    </row>
    <row r="5" spans="1:15" x14ac:dyDescent="0.3">
      <c r="B5" s="177" t="s">
        <v>30</v>
      </c>
      <c r="C5" s="177"/>
      <c r="D5" s="178">
        <v>0</v>
      </c>
      <c r="E5" s="178"/>
      <c r="F5" s="21"/>
      <c r="G5" s="179" t="s">
        <v>80</v>
      </c>
      <c r="H5" s="180"/>
      <c r="I5" s="181">
        <v>9949.9426512588616</v>
      </c>
      <c r="J5" s="182"/>
      <c r="K5" s="21"/>
      <c r="L5" s="31">
        <v>44665.437094907407</v>
      </c>
      <c r="M5" s="21"/>
      <c r="N5" s="80"/>
      <c r="O5" s="80"/>
    </row>
    <row r="6" spans="1:15" x14ac:dyDescent="0.3">
      <c r="B6" s="21"/>
      <c r="C6" s="21"/>
      <c r="D6" s="21"/>
      <c r="E6" s="21"/>
      <c r="F6" s="21"/>
      <c r="G6" s="179" t="s">
        <v>64</v>
      </c>
      <c r="H6" s="180"/>
      <c r="I6" s="181">
        <v>-34.411207524588498</v>
      </c>
      <c r="J6" s="182"/>
      <c r="K6" s="21"/>
      <c r="L6" s="31"/>
      <c r="M6" s="21"/>
      <c r="N6" s="80"/>
      <c r="O6" s="80"/>
    </row>
    <row r="7" spans="1:15" x14ac:dyDescent="0.3">
      <c r="B7" s="21"/>
      <c r="C7" s="21"/>
      <c r="D7" s="21">
        <v>1</v>
      </c>
      <c r="E7" s="21"/>
      <c r="F7" s="21"/>
      <c r="G7" s="179" t="s">
        <v>94</v>
      </c>
      <c r="H7" s="180"/>
      <c r="I7" s="181">
        <v>1.4780906379401502</v>
      </c>
      <c r="J7" s="182"/>
      <c r="K7" s="21"/>
      <c r="L7" s="21"/>
      <c r="M7" s="21"/>
      <c r="N7" s="21"/>
      <c r="O7" s="21"/>
    </row>
    <row r="8" spans="1:15" x14ac:dyDescent="0.3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3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3">
      <c r="A10" s="69"/>
      <c r="B10" s="176" t="s">
        <v>65</v>
      </c>
      <c r="C10" s="176"/>
      <c r="D10" s="176"/>
      <c r="E10" s="176"/>
      <c r="F10" s="176"/>
      <c r="G10" s="176"/>
      <c r="H10" s="176"/>
      <c r="I10" s="176" t="s">
        <v>68</v>
      </c>
      <c r="J10" s="176"/>
      <c r="K10" s="176"/>
      <c r="L10" s="176"/>
      <c r="M10" s="176"/>
      <c r="N10" s="176"/>
      <c r="O10" s="176"/>
    </row>
    <row r="11" spans="1:15" x14ac:dyDescent="0.3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3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3">
      <c r="B13" s="64">
        <v>44692</v>
      </c>
      <c r="C13" s="65">
        <v>1.6118618640602021E-2</v>
      </c>
      <c r="D13" s="65">
        <v>1.0765479183546799E-2</v>
      </c>
      <c r="E13" s="65"/>
      <c r="F13" s="66"/>
      <c r="G13" s="67">
        <v>161.2207413428381</v>
      </c>
      <c r="H13" s="66">
        <v>0.99214165988187142</v>
      </c>
      <c r="I13" s="64">
        <v>44692</v>
      </c>
      <c r="J13" s="65">
        <v>1.6095221374498061E-2</v>
      </c>
      <c r="K13" s="65"/>
      <c r="L13" s="65"/>
      <c r="M13" s="66"/>
      <c r="N13" s="67">
        <v>48.767123287670181</v>
      </c>
      <c r="O13" s="66">
        <v>0.99226384152913194</v>
      </c>
    </row>
    <row r="14" spans="1:15" x14ac:dyDescent="0.3">
      <c r="B14" s="64">
        <v>44784</v>
      </c>
      <c r="C14" s="65">
        <v>1.8721295414938468E-2</v>
      </c>
      <c r="D14" s="65">
        <v>1.085174676457536E-2</v>
      </c>
      <c r="E14" s="65"/>
      <c r="F14" s="66"/>
      <c r="G14" s="67">
        <v>153.51010880698428</v>
      </c>
      <c r="H14" s="66">
        <v>0.9873764138904626</v>
      </c>
      <c r="I14" s="64">
        <v>44784</v>
      </c>
      <c r="J14" s="65">
        <v>1.8730699716965591E-2</v>
      </c>
      <c r="K14" s="65"/>
      <c r="L14" s="65"/>
      <c r="M14" s="66"/>
      <c r="N14" s="67">
        <v>50.410958904109322</v>
      </c>
      <c r="O14" s="66">
        <v>0.98758741309197129</v>
      </c>
    </row>
    <row r="15" spans="1:15" x14ac:dyDescent="0.3">
      <c r="B15" s="64">
        <v>44876</v>
      </c>
      <c r="C15" s="65">
        <v>2.1620183908974792E-2</v>
      </c>
      <c r="D15" s="65">
        <v>1.1141158758358211E-2</v>
      </c>
      <c r="E15" s="65"/>
      <c r="F15" s="66"/>
      <c r="G15" s="67">
        <v>16.283167425027404</v>
      </c>
      <c r="H15" s="66">
        <v>0.98194840564154751</v>
      </c>
      <c r="I15" s="64">
        <v>44876</v>
      </c>
      <c r="J15" s="65">
        <v>2.1631090434238047E-2</v>
      </c>
      <c r="K15" s="65"/>
      <c r="L15" s="65"/>
      <c r="M15" s="66"/>
      <c r="N15" s="67">
        <v>50.410958904109322</v>
      </c>
      <c r="O15" s="66">
        <v>0.98223314964000863</v>
      </c>
    </row>
    <row r="16" spans="1:15" x14ac:dyDescent="0.3">
      <c r="B16" s="64">
        <v>44968</v>
      </c>
      <c r="C16" s="65">
        <v>2.1493546790229079E-2</v>
      </c>
      <c r="D16" s="65">
        <v>1.2207287013611576E-2</v>
      </c>
      <c r="E16" s="65"/>
      <c r="F16" s="66"/>
      <c r="G16" s="67">
        <v>25.130953176754701</v>
      </c>
      <c r="H16" s="66">
        <v>0.97655261110294611</v>
      </c>
      <c r="I16" s="64">
        <v>44968</v>
      </c>
      <c r="J16" s="65">
        <v>2.1499965727885428E-2</v>
      </c>
      <c r="K16" s="65"/>
      <c r="L16" s="65"/>
      <c r="M16" s="66"/>
      <c r="N16" s="67">
        <v>50.410958904109322</v>
      </c>
      <c r="O16" s="66">
        <v>0.97693179129254937</v>
      </c>
    </row>
    <row r="17" spans="2:15" x14ac:dyDescent="0.3">
      <c r="B17" s="64">
        <v>45057</v>
      </c>
      <c r="C17" s="65">
        <v>2.2930444773468821E-2</v>
      </c>
      <c r="D17" s="65">
        <v>1.277776345401545E-2</v>
      </c>
      <c r="E17" s="65"/>
      <c r="F17" s="66"/>
      <c r="G17" s="67">
        <v>5.7550117865425277</v>
      </c>
      <c r="H17" s="66">
        <v>0.97102516101542136</v>
      </c>
      <c r="I17" s="64">
        <v>45057</v>
      </c>
      <c r="J17" s="65">
        <v>2.291098634976409E-2</v>
      </c>
      <c r="K17" s="65"/>
      <c r="L17" s="65"/>
      <c r="M17" s="66"/>
      <c r="N17" s="67">
        <v>48.767123287670181</v>
      </c>
      <c r="O17" s="66">
        <v>0.97150384445256888</v>
      </c>
    </row>
    <row r="18" spans="2:15" x14ac:dyDescent="0.3">
      <c r="B18" s="64">
        <v>45149</v>
      </c>
      <c r="C18" s="65">
        <v>2.434140437553222E-2</v>
      </c>
      <c r="D18" s="65">
        <v>1.3332405558308428E-2</v>
      </c>
      <c r="E18" s="65"/>
      <c r="F18" s="66"/>
      <c r="G18" s="67">
        <v>0.87667855736315858</v>
      </c>
      <c r="H18" s="66">
        <v>0.96498195194245195</v>
      </c>
      <c r="I18" s="64">
        <v>45149</v>
      </c>
      <c r="J18" s="65">
        <v>2.4347962678417753E-2</v>
      </c>
      <c r="K18" s="65"/>
      <c r="L18" s="65"/>
      <c r="M18" s="66"/>
      <c r="N18" s="67">
        <v>50.410958904109322</v>
      </c>
      <c r="O18" s="66">
        <v>0.96557187675003497</v>
      </c>
    </row>
    <row r="19" spans="2:15" x14ac:dyDescent="0.3">
      <c r="B19" s="64">
        <v>45241</v>
      </c>
      <c r="C19" s="65">
        <v>2.5802710419514464E-2</v>
      </c>
      <c r="D19" s="65">
        <v>1.387905982627257E-2</v>
      </c>
      <c r="E19" s="65"/>
      <c r="F19" s="66"/>
      <c r="G19" s="67">
        <v>0</v>
      </c>
      <c r="H19" s="66">
        <v>0.9587384361505864</v>
      </c>
      <c r="I19" s="64">
        <v>45241</v>
      </c>
      <c r="J19" s="65">
        <v>2.5809346571592076E-2</v>
      </c>
      <c r="K19" s="65"/>
      <c r="L19" s="65"/>
      <c r="M19" s="66"/>
      <c r="N19" s="67">
        <v>50.410958904109322</v>
      </c>
      <c r="O19" s="66">
        <v>0.95934481571191232</v>
      </c>
    </row>
    <row r="20" spans="2:15" x14ac:dyDescent="0.3">
      <c r="B20" s="64">
        <v>45333</v>
      </c>
      <c r="C20" s="65">
        <v>2.2973100790437257E-2</v>
      </c>
      <c r="D20" s="65">
        <v>1.4679887727628143E-2</v>
      </c>
      <c r="E20" s="65"/>
      <c r="F20" s="66"/>
      <c r="G20" s="68">
        <v>14.330088630283143</v>
      </c>
      <c r="H20" s="66">
        <v>0.95312687698815424</v>
      </c>
      <c r="I20" s="64">
        <v>45333</v>
      </c>
      <c r="J20" s="65">
        <v>2.2975683250154623E-2</v>
      </c>
      <c r="K20" s="65"/>
      <c r="L20" s="65"/>
      <c r="M20" s="66"/>
      <c r="N20" s="68">
        <v>50.410958904109322</v>
      </c>
      <c r="O20" s="66">
        <v>0.95382043445842113</v>
      </c>
    </row>
    <row r="21" spans="2:15" x14ac:dyDescent="0.3">
      <c r="B21" s="64">
        <v>45423</v>
      </c>
      <c r="C21" s="65">
        <v>2.3456537011985572E-2</v>
      </c>
      <c r="D21" s="65">
        <v>1.5230577184209849E-2</v>
      </c>
      <c r="E21" s="65"/>
      <c r="F21" s="66"/>
      <c r="G21" s="68">
        <v>9.2328791744984393</v>
      </c>
      <c r="H21" s="66">
        <v>0.94755316369730391</v>
      </c>
      <c r="I21" s="64">
        <v>45423</v>
      </c>
      <c r="J21" s="65">
        <v>2.3452193554493368E-2</v>
      </c>
      <c r="K21" s="65"/>
      <c r="L21" s="65"/>
      <c r="M21" s="66"/>
      <c r="N21" s="68">
        <v>49.315068493150697</v>
      </c>
      <c r="O21" s="66">
        <v>0.94833409496639021</v>
      </c>
    </row>
    <row r="22" spans="2:15" x14ac:dyDescent="0.3">
      <c r="B22" s="64">
        <v>45515</v>
      </c>
      <c r="C22" s="65">
        <v>2.3908816881448428E-2</v>
      </c>
      <c r="D22" s="65">
        <v>1.592794621273954E-2</v>
      </c>
      <c r="E22" s="65"/>
      <c r="F22" s="66"/>
      <c r="G22" s="68">
        <v>8.0272370081675479</v>
      </c>
      <c r="H22" s="66">
        <v>0.94177441186196587</v>
      </c>
      <c r="I22" s="64">
        <v>45515</v>
      </c>
      <c r="J22" s="65">
        <v>2.3911446369036207E-2</v>
      </c>
      <c r="K22" s="65"/>
      <c r="L22" s="65"/>
      <c r="M22" s="66"/>
      <c r="N22" s="68">
        <v>50.410958904109322</v>
      </c>
      <c r="O22" s="66">
        <v>0.94264667766619281</v>
      </c>
    </row>
    <row r="23" spans="2:15" x14ac:dyDescent="0.3">
      <c r="B23" s="64">
        <v>45607</v>
      </c>
      <c r="C23" s="65">
        <v>2.4423448098379739E-2</v>
      </c>
      <c r="D23" s="65">
        <v>1.659746001321737E-2</v>
      </c>
      <c r="E23" s="65"/>
      <c r="F23" s="66"/>
      <c r="G23" s="68">
        <v>5.929339551043304</v>
      </c>
      <c r="H23" s="66">
        <v>0.93599088677626674</v>
      </c>
      <c r="I23" s="64">
        <v>45607</v>
      </c>
      <c r="J23" s="65">
        <v>2.4409856997138095E-2</v>
      </c>
      <c r="K23" s="65"/>
      <c r="L23" s="65"/>
      <c r="M23" s="66"/>
      <c r="N23" s="68">
        <v>50.410958904109322</v>
      </c>
      <c r="O23" s="66">
        <v>0.93687761792769764</v>
      </c>
    </row>
    <row r="24" spans="2:15" x14ac:dyDescent="0.3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3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3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3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3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3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3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3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3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3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676275</xdr:colOff>
                    <xdr:row>5</xdr:row>
                    <xdr:rowOff>171450</xdr:rowOff>
                  </from>
                  <to>
                    <xdr:col>2</xdr:col>
                    <xdr:colOff>447675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2022-02-28T06:40:16Z</dcterms:created>
  <dcterms:modified xsi:type="dcterms:W3CDTF">2022-04-14T01:29:46Z</dcterms:modified>
</cp:coreProperties>
</file>