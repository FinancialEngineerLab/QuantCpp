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HiFive_ELS\"/>
    </mc:Choice>
  </mc:AlternateContent>
  <bookViews>
    <workbookView xWindow="0" yWindow="0" windowWidth="28800" windowHeight="12255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9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9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9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</text>
    </comment>
    <comment ref="P15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</commentList>
</comments>
</file>

<file path=xl/sharedStrings.xml><?xml version="1.0" encoding="utf-8"?>
<sst xmlns="http://schemas.openxmlformats.org/spreadsheetml/2006/main" count="173" uniqueCount="82">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</sst>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1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2" borderId="1" xfId="0" applyNumberFormat="1" applyFont="1" applyFill="1" applyBorder="1" applyAlignment="1" applyProtection="1"/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866775</xdr:colOff>
          <xdr:row>2</xdr:row>
          <xdr:rowOff>114300</xdr:rowOff>
        </xdr:from>
        <xdr:to>
          <xdr:col>10</xdr:col>
          <xdr:colOff>785813</xdr:colOff>
          <xdr:row>5</xdr:row>
          <xdr:rowOff>104775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zoomScale="80" zoomScaleNormal="80" workbookViewId="0">
      <selection activeCell="G42" sqref="G42"/>
    </sheetView>
  </sheetViews>
  <sheetFormatPr defaultColWidth="13.6875" defaultRowHeight="21" customHeight="1" x14ac:dyDescent="0.6"/>
  <cols>
    <col min="1" max="6" width="13.6875" style="1"/>
    <col min="7" max="7" width="13.6875" style="1" customWidth="1"/>
    <col min="8" max="16384" width="13.6875" style="1"/>
  </cols>
  <sheetData>
    <row r="1" spans="1:49" ht="21" customHeight="1" x14ac:dyDescent="0.6">
      <c r="A1" s="121" t="s">
        <v>0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</row>
    <row r="2" spans="1:49" ht="21" customHeight="1" x14ac:dyDescent="0.6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</row>
    <row r="3" spans="1:49" s="3" customFormat="1" ht="21" customHeight="1" x14ac:dyDescent="0.6">
      <c r="A3" s="2"/>
      <c r="C3" s="2"/>
      <c r="D3" s="2"/>
      <c r="F3" s="102" t="s">
        <v>1</v>
      </c>
      <c r="G3" s="102"/>
      <c r="H3" s="122">
        <v>100000</v>
      </c>
      <c r="I3" s="123"/>
    </row>
    <row r="4" spans="1:49" s="3" customFormat="1" ht="21" customHeight="1" x14ac:dyDescent="0.6">
      <c r="A4" s="93" t="s">
        <v>2</v>
      </c>
      <c r="B4" s="94"/>
      <c r="C4" s="129">
        <v>10000</v>
      </c>
      <c r="D4" s="130"/>
      <c r="F4" s="102" t="s">
        <v>3</v>
      </c>
      <c r="G4" s="102"/>
      <c r="H4" s="122">
        <v>1</v>
      </c>
      <c r="I4" s="123"/>
      <c r="M4" s="4"/>
      <c r="N4" s="5" t="s">
        <v>4</v>
      </c>
      <c r="O4" s="6" t="s">
        <v>5</v>
      </c>
      <c r="P4" s="5" t="s">
        <v>6</v>
      </c>
      <c r="R4" s="90" t="s">
        <v>79</v>
      </c>
      <c r="S4" s="128">
        <v>1</v>
      </c>
      <c r="T4" s="128"/>
    </row>
    <row r="5" spans="1:49" s="3" customFormat="1" ht="21" customHeight="1" thickBot="1" x14ac:dyDescent="0.65">
      <c r="A5" s="93" t="s">
        <v>7</v>
      </c>
      <c r="B5" s="94"/>
      <c r="C5" s="131">
        <v>1</v>
      </c>
      <c r="D5" s="132"/>
      <c r="M5" s="7" t="s">
        <v>8</v>
      </c>
      <c r="N5" s="8">
        <v>27.260193603506195</v>
      </c>
      <c r="O5" s="8">
        <v>9.8658914414154424</v>
      </c>
      <c r="P5" s="8">
        <v>0</v>
      </c>
      <c r="R5" s="90" t="s">
        <v>77</v>
      </c>
      <c r="S5" s="126">
        <v>44803.661782407406</v>
      </c>
      <c r="T5" s="126"/>
    </row>
    <row r="6" spans="1:49" s="3" customFormat="1" ht="21" customHeight="1" thickBot="1" x14ac:dyDescent="0.65">
      <c r="A6" s="111" t="s">
        <v>9</v>
      </c>
      <c r="B6" s="112"/>
      <c r="C6" s="113">
        <v>42919</v>
      </c>
      <c r="D6" s="114"/>
      <c r="E6" s="2"/>
      <c r="F6" s="115" t="s">
        <v>10</v>
      </c>
      <c r="G6" s="115"/>
      <c r="H6" s="116">
        <v>10000</v>
      </c>
      <c r="I6" s="116"/>
      <c r="M6" s="7" t="s">
        <v>11</v>
      </c>
      <c r="N6" s="8">
        <v>22.551291848186338</v>
      </c>
      <c r="O6" s="8">
        <v>0.96821399276814191</v>
      </c>
      <c r="P6" s="8">
        <v>0</v>
      </c>
      <c r="R6" s="90" t="s">
        <v>78</v>
      </c>
      <c r="S6" s="126">
        <v>44803.661886574075</v>
      </c>
      <c r="T6" s="126"/>
    </row>
    <row r="7" spans="1:49" s="3" customFormat="1" ht="21" customHeight="1" thickBot="1" x14ac:dyDescent="0.65">
      <c r="A7" s="111" t="s">
        <v>23</v>
      </c>
      <c r="B7" s="112"/>
      <c r="C7" s="124">
        <v>3</v>
      </c>
      <c r="D7" s="125"/>
      <c r="F7" s="117" t="s">
        <v>12</v>
      </c>
      <c r="G7" s="118"/>
      <c r="H7" s="119">
        <v>1</v>
      </c>
      <c r="I7" s="120"/>
      <c r="M7" s="7" t="s">
        <v>13</v>
      </c>
      <c r="N7" s="8">
        <v>13.770467380092668</v>
      </c>
      <c r="O7" s="8">
        <v>1.5822828181662771</v>
      </c>
      <c r="P7" s="8">
        <v>0</v>
      </c>
      <c r="R7" s="90"/>
      <c r="S7" s="127"/>
      <c r="T7" s="127"/>
    </row>
    <row r="8" spans="1:49" s="3" customFormat="1" ht="21" customHeight="1" x14ac:dyDescent="0.6">
      <c r="A8" s="9"/>
      <c r="B8" s="9"/>
      <c r="C8" s="9"/>
      <c r="M8" s="7" t="s">
        <v>48</v>
      </c>
      <c r="N8" s="8"/>
      <c r="O8" s="8"/>
      <c r="P8" s="8"/>
    </row>
    <row r="9" spans="1:49" s="3" customFormat="1" ht="21" customHeight="1" x14ac:dyDescent="0.6">
      <c r="A9" s="9"/>
      <c r="B9" s="9"/>
      <c r="C9" s="9"/>
      <c r="M9" s="7" t="s">
        <v>49</v>
      </c>
      <c r="N9" s="8"/>
      <c r="O9" s="8"/>
      <c r="P9" s="8"/>
    </row>
    <row r="10" spans="1:49" s="3" customFormat="1" ht="21" hidden="1" customHeight="1" x14ac:dyDescent="0.6">
      <c r="A10" s="9"/>
      <c r="B10" s="9"/>
      <c r="C10" s="9"/>
    </row>
    <row r="11" spans="1:49" s="3" customFormat="1" ht="21" hidden="1" customHeight="1" x14ac:dyDescent="0.6">
      <c r="A11" s="9"/>
      <c r="B11" s="9"/>
      <c r="C11" s="9"/>
    </row>
    <row r="12" spans="1:49" s="3" customFormat="1" ht="21" hidden="1" customHeight="1" x14ac:dyDescent="0.6">
      <c r="A12" s="9"/>
      <c r="B12" s="9"/>
      <c r="C12" s="9"/>
    </row>
    <row r="13" spans="1:49" s="3" customFormat="1" ht="21" hidden="1" customHeight="1" x14ac:dyDescent="0.6">
      <c r="A13" s="9"/>
      <c r="B13" s="9"/>
      <c r="C13" s="9"/>
    </row>
    <row r="14" spans="1:49" s="3" customFormat="1" ht="21" hidden="1" customHeight="1" x14ac:dyDescent="0.6">
      <c r="A14" s="9"/>
      <c r="B14" s="9"/>
      <c r="C14" s="9"/>
    </row>
    <row r="15" spans="1:49" s="3" customFormat="1" ht="21" hidden="1" customHeight="1" x14ac:dyDescent="0.6">
      <c r="A15" s="9"/>
      <c r="B15" s="9"/>
      <c r="C15" s="9"/>
    </row>
    <row r="16" spans="1:49" s="3" customFormat="1" ht="21" customHeight="1" thickBot="1" x14ac:dyDescent="0.65">
      <c r="Q16" s="3">
        <f t="shared" ref="Q16:X16" si="1">Q17/Q18</f>
        <v>10250.000000000096</v>
      </c>
      <c r="R16" s="3">
        <f t="shared" si="1"/>
        <v>10499.999999999556</v>
      </c>
      <c r="S16" s="3">
        <f t="shared" si="1"/>
        <v>10749.99999999992</v>
      </c>
      <c r="T16" s="3">
        <f t="shared" si="1"/>
        <v>11000.000000000029</v>
      </c>
      <c r="U16" s="3">
        <f t="shared" si="1"/>
        <v>11250.000000000047</v>
      </c>
      <c r="V16" s="3">
        <f t="shared" si="1"/>
        <v>11500.000000000078</v>
      </c>
      <c r="W16" s="3">
        <f t="shared" si="1"/>
        <v>11499.999999999987</v>
      </c>
      <c r="X16" s="3">
        <f t="shared" si="1"/>
        <v>4528.1043597940461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65">
      <c r="A17" s="102" t="s">
        <v>81</v>
      </c>
      <c r="B17" s="102"/>
      <c r="C17" s="107">
        <v>6</v>
      </c>
      <c r="D17" s="106"/>
      <c r="F17" s="93" t="s">
        <v>51</v>
      </c>
      <c r="G17" s="94"/>
      <c r="H17" s="107">
        <v>0</v>
      </c>
      <c r="I17" s="106"/>
      <c r="K17" s="108" t="s">
        <v>14</v>
      </c>
      <c r="L17" s="108"/>
      <c r="M17" s="109">
        <v>9689.3219332312583</v>
      </c>
      <c r="N17" s="109"/>
      <c r="O17" s="100" t="s">
        <v>76</v>
      </c>
      <c r="P17" s="101"/>
      <c r="Q17" s="86">
        <v>6070.0499999995563</v>
      </c>
      <c r="R17" s="86">
        <v>1243.1999999999723</v>
      </c>
      <c r="S17" s="86">
        <v>683.70000000000346</v>
      </c>
      <c r="T17" s="86">
        <v>478.50000000000369</v>
      </c>
      <c r="U17" s="86">
        <v>337.5</v>
      </c>
      <c r="V17" s="86">
        <v>259.90000000000083</v>
      </c>
      <c r="W17" s="86">
        <v>376.04999999999853</v>
      </c>
      <c r="X17" s="86">
        <v>439.22612290003042</v>
      </c>
    </row>
    <row r="18" spans="1:111" s="3" customFormat="1" ht="21" customHeight="1" thickBot="1" x14ac:dyDescent="0.65">
      <c r="F18" s="102" t="s">
        <v>16</v>
      </c>
      <c r="G18" s="102"/>
      <c r="H18" s="103">
        <v>1</v>
      </c>
      <c r="I18" s="104"/>
      <c r="K18" s="108"/>
      <c r="L18" s="108"/>
      <c r="M18" s="109"/>
      <c r="N18" s="109"/>
      <c r="O18" s="100" t="s">
        <v>15</v>
      </c>
      <c r="P18" s="101"/>
      <c r="Q18" s="10">
        <v>0.5921999999999511</v>
      </c>
      <c r="R18" s="10">
        <v>0.11840000000000236</v>
      </c>
      <c r="S18" s="10">
        <v>6.3600000000000795E-2</v>
      </c>
      <c r="T18" s="10">
        <v>4.3500000000000219E-2</v>
      </c>
      <c r="U18" s="10">
        <v>2.9999999999999874E-2</v>
      </c>
      <c r="V18" s="10">
        <v>2.2599999999999919E-2</v>
      </c>
      <c r="W18" s="10">
        <v>3.269999999999991E-2</v>
      </c>
      <c r="X18" s="10">
        <v>9.7000000000001751E-2</v>
      </c>
    </row>
    <row r="19" spans="1:111" s="3" customFormat="1" ht="21" customHeight="1" x14ac:dyDescent="0.6">
      <c r="A19" s="102" t="s">
        <v>17</v>
      </c>
      <c r="B19" s="102"/>
      <c r="C19" s="105">
        <v>0.5</v>
      </c>
      <c r="D19" s="106"/>
      <c r="K19" s="110" t="s">
        <v>80</v>
      </c>
      <c r="L19" s="110"/>
      <c r="M19" s="110"/>
      <c r="N19" s="110"/>
      <c r="X19" s="87">
        <f>SUM(Q18:Z18)</f>
        <v>0.99999999999995604</v>
      </c>
    </row>
    <row r="20" spans="1:111" s="3" customFormat="1" ht="21" customHeight="1" x14ac:dyDescent="0.6">
      <c r="A20" s="9"/>
      <c r="B20" s="9"/>
      <c r="C20" s="9"/>
    </row>
    <row r="21" spans="1:111" s="3" customFormat="1" ht="21" hidden="1" customHeight="1" x14ac:dyDescent="0.6">
      <c r="A21" s="9"/>
      <c r="B21" s="9"/>
      <c r="C21" s="9"/>
    </row>
    <row r="22" spans="1:111" s="3" customFormat="1" ht="21" hidden="1" customHeight="1" x14ac:dyDescent="0.6">
      <c r="A22" s="9"/>
      <c r="B22" s="9"/>
      <c r="C22" s="9"/>
    </row>
    <row r="23" spans="1:111" s="3" customFormat="1" ht="21" hidden="1" customHeight="1" x14ac:dyDescent="0.6">
      <c r="A23" s="9"/>
      <c r="B23" s="9"/>
      <c r="C23" s="9"/>
    </row>
    <row r="24" spans="1:111" s="3" customFormat="1" ht="21" hidden="1" customHeight="1" x14ac:dyDescent="0.6">
      <c r="A24" s="9"/>
      <c r="B24" s="9"/>
      <c r="C24" s="9"/>
    </row>
    <row r="25" spans="1:111" s="3" customFormat="1" ht="21" hidden="1" customHeight="1" x14ac:dyDescent="0.6">
      <c r="A25" s="9"/>
      <c r="B25" s="9"/>
      <c r="C25" s="9"/>
    </row>
    <row r="26" spans="1:111" s="11" customFormat="1" ht="21" customHeight="1" x14ac:dyDescent="0.6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6">
      <c r="A27" s="93" t="s">
        <v>18</v>
      </c>
      <c r="B27" s="94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6">
      <c r="A28" s="93" t="s">
        <v>19</v>
      </c>
      <c r="B28" s="94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6">
      <c r="A29" s="93" t="s">
        <v>43</v>
      </c>
      <c r="B29" s="94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6">
      <c r="A30" s="93" t="s">
        <v>53</v>
      </c>
      <c r="B30" s="94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6">
      <c r="A31" s="93" t="s">
        <v>54</v>
      </c>
      <c r="B31" s="94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6">
      <c r="A32" s="93"/>
      <c r="B32" s="94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6">
      <c r="A33" s="93"/>
      <c r="B33" s="94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6">
      <c r="A34" s="93" t="s">
        <v>20</v>
      </c>
      <c r="B34" s="94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6">
      <c r="A35" s="93" t="s">
        <v>55</v>
      </c>
      <c r="B35" s="94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6">
      <c r="A36" s="93" t="s">
        <v>56</v>
      </c>
      <c r="B36" s="94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6">
      <c r="A37" s="93" t="s">
        <v>21</v>
      </c>
      <c r="B37" s="94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6">
      <c r="A38" s="95" t="s">
        <v>57</v>
      </c>
      <c r="B38" s="96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6">
      <c r="A39" s="95" t="s">
        <v>58</v>
      </c>
      <c r="B39" s="96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6">
      <c r="A40" s="95" t="s">
        <v>59</v>
      </c>
      <c r="B40" s="96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6">
      <c r="A41" s="95" t="s">
        <v>63</v>
      </c>
      <c r="B41" s="96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6">
      <c r="A42" s="95" t="s">
        <v>62</v>
      </c>
      <c r="B42" s="96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6">
      <c r="A43" s="95" t="s">
        <v>61</v>
      </c>
      <c r="B43" s="96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6">
      <c r="A44" s="95" t="s">
        <v>60</v>
      </c>
      <c r="B44" s="96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6">
      <c r="A45" s="95" t="s">
        <v>72</v>
      </c>
      <c r="B45" s="96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6">
      <c r="A46" s="95" t="s">
        <v>64</v>
      </c>
      <c r="B46" s="96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6">
      <c r="A47" s="97"/>
      <c r="B47" s="97"/>
      <c r="C47" s="92" t="str">
        <f t="shared" ref="C47:AH47" si="2">IFERROR(IF(AND(C29="",D29="",B29&lt;&gt;"",C34&lt;&gt;""),"Not Autocalled Not KI Payoff",IF(AND(C29="",B29="",A29&lt;&gt;""),"Not Autocalled KI Payoff","")), "")</f>
        <v/>
      </c>
      <c r="D47" s="92" t="str">
        <f t="shared" si="2"/>
        <v/>
      </c>
      <c r="E47" s="92" t="str">
        <f t="shared" si="2"/>
        <v/>
      </c>
      <c r="F47" s="92" t="str">
        <f t="shared" si="2"/>
        <v/>
      </c>
      <c r="G47" s="92" t="str">
        <f t="shared" si="2"/>
        <v/>
      </c>
      <c r="H47" s="92" t="str">
        <f t="shared" si="2"/>
        <v/>
      </c>
      <c r="I47" s="92" t="str">
        <f t="shared" si="2"/>
        <v>Not Autocalled Not KI Payoff</v>
      </c>
      <c r="J47" s="92" t="str">
        <f t="shared" si="2"/>
        <v>Not Autocalled KI Payoff</v>
      </c>
      <c r="K47" s="92" t="str">
        <f t="shared" si="2"/>
        <v/>
      </c>
      <c r="L47" s="92" t="str">
        <f t="shared" si="2"/>
        <v/>
      </c>
      <c r="M47" s="92" t="str">
        <f t="shared" si="2"/>
        <v/>
      </c>
      <c r="N47" s="92" t="str">
        <f t="shared" si="2"/>
        <v/>
      </c>
      <c r="O47" s="92" t="str">
        <f t="shared" si="2"/>
        <v/>
      </c>
      <c r="P47" s="92" t="str">
        <f t="shared" si="2"/>
        <v/>
      </c>
      <c r="Q47" s="92" t="str">
        <f t="shared" si="2"/>
        <v/>
      </c>
      <c r="R47" s="92" t="str">
        <f t="shared" si="2"/>
        <v/>
      </c>
      <c r="S47" s="92" t="str">
        <f t="shared" si="2"/>
        <v/>
      </c>
      <c r="T47" s="92" t="str">
        <f t="shared" si="2"/>
        <v/>
      </c>
      <c r="U47" s="92" t="str">
        <f t="shared" si="2"/>
        <v/>
      </c>
      <c r="V47" s="92" t="str">
        <f t="shared" si="2"/>
        <v/>
      </c>
      <c r="W47" s="92" t="str">
        <f t="shared" si="2"/>
        <v/>
      </c>
      <c r="X47" s="92" t="str">
        <f t="shared" si="2"/>
        <v/>
      </c>
      <c r="Y47" s="92" t="str">
        <f t="shared" si="2"/>
        <v/>
      </c>
      <c r="Z47" s="92" t="str">
        <f t="shared" si="2"/>
        <v/>
      </c>
      <c r="AA47" s="92" t="str">
        <f t="shared" si="2"/>
        <v/>
      </c>
      <c r="AB47" s="92" t="str">
        <f t="shared" si="2"/>
        <v/>
      </c>
      <c r="AC47" s="92" t="str">
        <f t="shared" si="2"/>
        <v/>
      </c>
      <c r="AD47" s="92" t="str">
        <f t="shared" si="2"/>
        <v/>
      </c>
      <c r="AE47" s="92" t="str">
        <f t="shared" si="2"/>
        <v/>
      </c>
      <c r="AF47" s="92" t="str">
        <f t="shared" si="2"/>
        <v/>
      </c>
      <c r="AG47" s="92" t="str">
        <f t="shared" si="2"/>
        <v/>
      </c>
      <c r="AH47" s="92" t="str">
        <f t="shared" si="2"/>
        <v/>
      </c>
      <c r="AI47" s="92" t="str">
        <f t="shared" ref="AI47:BN47" si="3">IFERROR(IF(AND(AI29="",AJ29="",AH29&lt;&gt;"",AI34&lt;&gt;""),"Not Autocalled Not KI Payoff",IF(AND(AI29="",AH29="",AG29&lt;&gt;""),"Not Autocalled KI Payoff","")), "")</f>
        <v/>
      </c>
      <c r="AJ47" s="92" t="str">
        <f t="shared" si="3"/>
        <v/>
      </c>
      <c r="AK47" s="92" t="str">
        <f t="shared" si="3"/>
        <v/>
      </c>
      <c r="AL47" s="92" t="str">
        <f t="shared" si="3"/>
        <v/>
      </c>
      <c r="AM47" s="92" t="str">
        <f t="shared" si="3"/>
        <v/>
      </c>
      <c r="AN47" s="92" t="str">
        <f t="shared" si="3"/>
        <v/>
      </c>
      <c r="AO47" s="92" t="str">
        <f t="shared" si="3"/>
        <v/>
      </c>
      <c r="AP47" s="92" t="str">
        <f t="shared" si="3"/>
        <v/>
      </c>
      <c r="AQ47" s="92" t="str">
        <f t="shared" si="3"/>
        <v/>
      </c>
      <c r="AR47" s="92" t="str">
        <f t="shared" si="3"/>
        <v/>
      </c>
      <c r="AS47" s="92" t="str">
        <f t="shared" si="3"/>
        <v/>
      </c>
      <c r="AT47" s="92" t="str">
        <f t="shared" si="3"/>
        <v/>
      </c>
      <c r="AU47" s="92" t="str">
        <f t="shared" si="3"/>
        <v/>
      </c>
      <c r="AV47" s="92" t="str">
        <f t="shared" si="3"/>
        <v/>
      </c>
      <c r="AW47" s="92" t="str">
        <f t="shared" si="3"/>
        <v/>
      </c>
      <c r="AX47" s="92" t="str">
        <f t="shared" si="3"/>
        <v/>
      </c>
      <c r="AY47" s="92" t="str">
        <f t="shared" si="3"/>
        <v/>
      </c>
      <c r="AZ47" s="92" t="str">
        <f t="shared" si="3"/>
        <v/>
      </c>
      <c r="BA47" s="92" t="str">
        <f t="shared" si="3"/>
        <v/>
      </c>
      <c r="BB47" s="92" t="str">
        <f t="shared" si="3"/>
        <v/>
      </c>
      <c r="BC47" s="92" t="str">
        <f t="shared" si="3"/>
        <v/>
      </c>
      <c r="BD47" s="92" t="str">
        <f t="shared" si="3"/>
        <v/>
      </c>
      <c r="BE47" s="92" t="str">
        <f t="shared" si="3"/>
        <v/>
      </c>
      <c r="BF47" s="92" t="str">
        <f t="shared" si="3"/>
        <v/>
      </c>
      <c r="BG47" s="92" t="str">
        <f t="shared" si="3"/>
        <v/>
      </c>
      <c r="BH47" s="92" t="str">
        <f t="shared" si="3"/>
        <v/>
      </c>
      <c r="BI47" s="92" t="str">
        <f t="shared" si="3"/>
        <v/>
      </c>
      <c r="BJ47" s="92" t="str">
        <f t="shared" si="3"/>
        <v/>
      </c>
      <c r="BK47" s="92" t="str">
        <f t="shared" si="3"/>
        <v/>
      </c>
      <c r="BL47" s="92" t="str">
        <f t="shared" si="3"/>
        <v/>
      </c>
      <c r="BM47" s="92" t="str">
        <f t="shared" si="3"/>
        <v/>
      </c>
      <c r="BN47" s="92" t="str">
        <f t="shared" si="3"/>
        <v/>
      </c>
      <c r="BO47" s="92" t="str">
        <f t="shared" ref="BO47:CT47" si="4">IFERROR(IF(AND(BO29="",BP29="",BN29&lt;&gt;"",BO34&lt;&gt;""),"Not Autocalled Not KI Payoff",IF(AND(BO29="",BN29="",BM29&lt;&gt;""),"Not Autocalled KI Payoff","")), "")</f>
        <v/>
      </c>
      <c r="BP47" s="92" t="str">
        <f t="shared" si="4"/>
        <v/>
      </c>
      <c r="BQ47" s="92" t="str">
        <f t="shared" si="4"/>
        <v/>
      </c>
      <c r="BR47" s="92" t="str">
        <f t="shared" si="4"/>
        <v/>
      </c>
      <c r="BS47" s="92" t="str">
        <f t="shared" si="4"/>
        <v/>
      </c>
      <c r="BT47" s="92" t="str">
        <f t="shared" si="4"/>
        <v/>
      </c>
      <c r="BU47" s="92" t="str">
        <f t="shared" si="4"/>
        <v/>
      </c>
      <c r="BV47" s="92" t="str">
        <f t="shared" si="4"/>
        <v/>
      </c>
      <c r="BW47" s="92" t="str">
        <f t="shared" si="4"/>
        <v/>
      </c>
      <c r="BX47" s="92" t="str">
        <f t="shared" si="4"/>
        <v/>
      </c>
      <c r="BY47" s="92" t="str">
        <f t="shared" si="4"/>
        <v/>
      </c>
      <c r="BZ47" s="92" t="str">
        <f t="shared" si="4"/>
        <v/>
      </c>
      <c r="CA47" s="92" t="str">
        <f t="shared" si="4"/>
        <v/>
      </c>
      <c r="CB47" s="92" t="str">
        <f t="shared" si="4"/>
        <v/>
      </c>
      <c r="CC47" s="92" t="str">
        <f t="shared" si="4"/>
        <v/>
      </c>
      <c r="CD47" s="92" t="str">
        <f t="shared" si="4"/>
        <v/>
      </c>
      <c r="CE47" s="92" t="str">
        <f t="shared" si="4"/>
        <v/>
      </c>
      <c r="CF47" s="92" t="str">
        <f t="shared" si="4"/>
        <v/>
      </c>
      <c r="CG47" s="92" t="str">
        <f t="shared" si="4"/>
        <v/>
      </c>
      <c r="CH47" s="92" t="str">
        <f t="shared" si="4"/>
        <v/>
      </c>
      <c r="CI47" s="92" t="str">
        <f t="shared" si="4"/>
        <v/>
      </c>
      <c r="CJ47" s="92" t="str">
        <f t="shared" si="4"/>
        <v/>
      </c>
      <c r="CK47" s="92" t="str">
        <f t="shared" si="4"/>
        <v/>
      </c>
      <c r="CL47" s="92" t="str">
        <f t="shared" si="4"/>
        <v/>
      </c>
      <c r="CM47" s="92" t="str">
        <f t="shared" si="4"/>
        <v/>
      </c>
      <c r="CN47" s="92" t="str">
        <f t="shared" si="4"/>
        <v/>
      </c>
      <c r="CO47" s="92" t="str">
        <f t="shared" si="4"/>
        <v/>
      </c>
      <c r="CP47" s="92" t="str">
        <f t="shared" si="4"/>
        <v/>
      </c>
      <c r="CQ47" s="92" t="str">
        <f t="shared" si="4"/>
        <v/>
      </c>
      <c r="CR47" s="92" t="str">
        <f t="shared" si="4"/>
        <v/>
      </c>
      <c r="CS47" s="92" t="str">
        <f t="shared" si="4"/>
        <v/>
      </c>
      <c r="CT47" s="92" t="str">
        <f t="shared" si="4"/>
        <v/>
      </c>
      <c r="CU47" s="92" t="str">
        <f t="shared" ref="CU47:DF47" si="5">IFERROR(IF(AND(CU29="",CV29="",CT29&lt;&gt;"",CU34&lt;&gt;""),"Not Autocalled Not KI Payoff",IF(AND(CU29="",CT29="",CS29&lt;&gt;""),"Not Autocalled KI Payoff","")), "")</f>
        <v/>
      </c>
      <c r="CV47" s="92" t="str">
        <f t="shared" si="5"/>
        <v/>
      </c>
      <c r="CW47" s="92" t="str">
        <f t="shared" si="5"/>
        <v/>
      </c>
      <c r="CX47" s="92" t="str">
        <f t="shared" si="5"/>
        <v/>
      </c>
      <c r="CY47" s="92" t="str">
        <f t="shared" si="5"/>
        <v/>
      </c>
      <c r="CZ47" s="92" t="str">
        <f t="shared" si="5"/>
        <v/>
      </c>
      <c r="DA47" s="92" t="str">
        <f t="shared" si="5"/>
        <v/>
      </c>
      <c r="DB47" s="92" t="str">
        <f t="shared" si="5"/>
        <v/>
      </c>
      <c r="DC47" s="92" t="str">
        <f t="shared" si="5"/>
        <v/>
      </c>
      <c r="DD47" s="92" t="str">
        <f t="shared" si="5"/>
        <v/>
      </c>
      <c r="DE47" s="92" t="str">
        <f t="shared" si="5"/>
        <v/>
      </c>
      <c r="DF47" s="92" t="str">
        <f t="shared" si="5"/>
        <v/>
      </c>
      <c r="DG47" s="92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6">
      <c r="A48" s="97"/>
      <c r="B48" s="97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  <c r="CI48" s="92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  <c r="CU48" s="92"/>
      <c r="CV48" s="92"/>
      <c r="CW48" s="92"/>
      <c r="CX48" s="92"/>
      <c r="CY48" s="92"/>
      <c r="CZ48" s="92"/>
      <c r="DA48" s="92"/>
      <c r="DB48" s="92"/>
      <c r="DC48" s="92"/>
      <c r="DD48" s="92"/>
      <c r="DE48" s="92"/>
      <c r="DF48" s="92"/>
      <c r="DG48" s="92"/>
    </row>
    <row r="49" spans="1:108" s="29" customFormat="1" ht="21" hidden="1" customHeight="1" x14ac:dyDescent="0.6">
      <c r="A49" s="97"/>
      <c r="B49" s="97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6">
      <c r="A50" s="97"/>
      <c r="B50" s="97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6">
      <c r="A51" s="134" t="s">
        <v>46</v>
      </c>
      <c r="B51" s="134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6">
      <c r="A52" s="98" t="s">
        <v>47</v>
      </c>
      <c r="B52" s="99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6">
      <c r="A53" s="134" t="s">
        <v>44</v>
      </c>
      <c r="B53" s="134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6">
      <c r="A54" s="134" t="s">
        <v>45</v>
      </c>
      <c r="B54" s="134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6">
      <c r="A55" s="134" t="s">
        <v>50</v>
      </c>
      <c r="B55" s="134"/>
      <c r="C55" s="36">
        <v>0.05</v>
      </c>
    </row>
    <row r="56" spans="1:108" s="40" customFormat="1" ht="21" customHeight="1" x14ac:dyDescent="0.6">
      <c r="A56" s="134" t="s">
        <v>52</v>
      </c>
      <c r="B56" s="134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6">
      <c r="A57" s="97"/>
      <c r="B57" s="97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6">
      <c r="A58" s="97"/>
      <c r="B58" s="97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6">
      <c r="A59" s="97"/>
      <c r="B59" s="97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6">
      <c r="A60" s="97"/>
      <c r="B60" s="97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6">
      <c r="A61" s="97"/>
      <c r="B61" s="97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6">
      <c r="A62" s="121" t="s">
        <v>22</v>
      </c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J62" s="140" t="s">
        <v>71</v>
      </c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</row>
    <row r="63" spans="1:108" s="4" customFormat="1" ht="21" customHeight="1" x14ac:dyDescent="0.6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</row>
    <row r="64" spans="1:108" s="4" customFormat="1" ht="21" customHeight="1" x14ac:dyDescent="0.6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</row>
    <row r="65" spans="1:68" s="4" customFormat="1" ht="21" customHeight="1" x14ac:dyDescent="0.6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68" s="4" customFormat="1" ht="21" customHeight="1" x14ac:dyDescent="0.6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</row>
    <row r="67" spans="1:68" s="4" customFormat="1" ht="21" customHeight="1" x14ac:dyDescent="0.6">
      <c r="A67" s="135" t="s">
        <v>74</v>
      </c>
      <c r="B67" s="135"/>
      <c r="C67" s="135"/>
      <c r="D67" s="135"/>
      <c r="E67" s="135"/>
      <c r="F67" s="135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95" t="s">
        <v>68</v>
      </c>
      <c r="Q67" s="96"/>
      <c r="R67" s="38">
        <v>0</v>
      </c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</row>
    <row r="68" spans="1:68" s="4" customFormat="1" ht="21" customHeight="1" x14ac:dyDescent="0.6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136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136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</row>
    <row r="69" spans="1:68" s="4" customFormat="1" ht="21" customHeight="1" x14ac:dyDescent="0.6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137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137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</row>
    <row r="70" spans="1:68" ht="21" customHeight="1" x14ac:dyDescent="0.55000000000000004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0.4926087999522637</v>
      </c>
      <c r="AL70" s="91">
        <v>0.51406495251958739</v>
      </c>
      <c r="AM70" s="91">
        <v>0.44845266594704652</v>
      </c>
      <c r="AN70" s="91">
        <v>0.31181453174089535</v>
      </c>
      <c r="AO70" s="91">
        <v>0.28998092908098155</v>
      </c>
      <c r="AP70" s="91">
        <v>0.28571899997365113</v>
      </c>
      <c r="AQ70" s="91">
        <v>0.25767914622115945</v>
      </c>
      <c r="AR70" s="91">
        <v>0.20489585529914012</v>
      </c>
      <c r="AS70" s="91">
        <v>0.2154211996904411</v>
      </c>
      <c r="AT70" s="91">
        <v>0.24647809623094993</v>
      </c>
      <c r="AU70" s="46"/>
      <c r="AV70" s="46"/>
      <c r="AW70" s="46"/>
      <c r="AX70" s="46"/>
      <c r="AY70" s="46"/>
      <c r="AZ70" s="46"/>
      <c r="BA70" s="46"/>
      <c r="BB70" s="46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21" customHeight="1" x14ac:dyDescent="0.55000000000000004">
      <c r="A71" s="138" t="s">
        <v>31</v>
      </c>
      <c r="B71" s="138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0.47601435944476644</v>
      </c>
      <c r="AL71" s="91">
        <v>0.46322578804324815</v>
      </c>
      <c r="AM71" s="91">
        <v>0.4445854185741871</v>
      </c>
      <c r="AN71" s="91">
        <v>0.28168323818944296</v>
      </c>
      <c r="AO71" s="91">
        <v>0.24839393852106842</v>
      </c>
      <c r="AP71" s="91">
        <v>0.24738396938328522</v>
      </c>
      <c r="AQ71" s="91">
        <v>0.23963479544885419</v>
      </c>
      <c r="AR71" s="91">
        <v>0.19910426187417446</v>
      </c>
      <c r="AS71" s="91">
        <v>0.19797638483438448</v>
      </c>
      <c r="AT71" s="91">
        <v>0.22217085096563477</v>
      </c>
      <c r="AU71" s="46"/>
      <c r="AV71" s="46"/>
      <c r="AW71" s="46"/>
      <c r="AX71" s="46"/>
      <c r="AY71" s="46"/>
      <c r="AZ71" s="46"/>
      <c r="BA71" s="46"/>
      <c r="BB71" s="46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s="4" customFormat="1" ht="21" customHeight="1" x14ac:dyDescent="0.55000000000000004">
      <c r="A72" s="138"/>
      <c r="B72" s="138"/>
      <c r="C72" s="138"/>
      <c r="D72" s="138"/>
      <c r="E72" s="138"/>
      <c r="F72" s="138"/>
      <c r="G72" s="138"/>
      <c r="H72" s="138"/>
      <c r="I72" s="138"/>
      <c r="J72" s="138"/>
      <c r="K72" s="138"/>
      <c r="L72" s="138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0.40235820770625519</v>
      </c>
      <c r="AL72" s="91">
        <v>0.35245175977421372</v>
      </c>
      <c r="AM72" s="91">
        <v>0.29972845951231247</v>
      </c>
      <c r="AN72" s="91">
        <v>0.23001503677685312</v>
      </c>
      <c r="AO72" s="91">
        <v>0.2009829574323227</v>
      </c>
      <c r="AP72" s="91">
        <v>0.1957492666808705</v>
      </c>
      <c r="AQ72" s="91">
        <v>0.19955235020728596</v>
      </c>
      <c r="AR72" s="91">
        <v>0.18342343752612922</v>
      </c>
      <c r="AS72" s="91">
        <v>0.18564659724017882</v>
      </c>
      <c r="AT72" s="91">
        <v>0.19536097977274422</v>
      </c>
      <c r="AU72" s="46"/>
      <c r="AV72" s="46"/>
      <c r="AW72" s="46"/>
      <c r="AX72" s="46"/>
      <c r="AY72" s="46"/>
      <c r="AZ72" s="46"/>
      <c r="BA72" s="46"/>
      <c r="BB72" s="46"/>
    </row>
    <row r="73" spans="1:68" s="4" customFormat="1" ht="21" customHeight="1" x14ac:dyDescent="0.55000000000000004">
      <c r="A73" s="133" t="s">
        <v>32</v>
      </c>
      <c r="B73" s="133"/>
      <c r="C73" s="133" t="s">
        <v>33</v>
      </c>
      <c r="D73" s="133"/>
      <c r="E73" s="133" t="s">
        <v>34</v>
      </c>
      <c r="F73" s="133"/>
      <c r="G73" s="133" t="s">
        <v>35</v>
      </c>
      <c r="H73" s="133"/>
      <c r="I73" s="133" t="s">
        <v>65</v>
      </c>
      <c r="J73" s="133"/>
      <c r="K73" s="133" t="s">
        <v>67</v>
      </c>
      <c r="L73" s="133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0.31961667937981175</v>
      </c>
      <c r="AL73" s="91">
        <v>0.27551723924687704</v>
      </c>
      <c r="AM73" s="91">
        <v>0.24697827650314741</v>
      </c>
      <c r="AN73" s="91">
        <v>0.20288542829244954</v>
      </c>
      <c r="AO73" s="91">
        <v>0.17768116407603862</v>
      </c>
      <c r="AP73" s="91">
        <v>0.17579594500165535</v>
      </c>
      <c r="AQ73" s="91">
        <v>0.18308625560929873</v>
      </c>
      <c r="AR73" s="91">
        <v>0.17229854975289269</v>
      </c>
      <c r="AS73" s="91">
        <v>0.17289736795051758</v>
      </c>
      <c r="AT73" s="91">
        <v>0.17966700734488805</v>
      </c>
      <c r="AU73" s="46"/>
      <c r="AV73" s="46"/>
      <c r="AW73" s="46"/>
      <c r="AX73" s="46"/>
      <c r="AY73" s="46"/>
      <c r="AZ73" s="46"/>
      <c r="BA73" s="46"/>
      <c r="BB73" s="46"/>
    </row>
    <row r="74" spans="1:68" s="4" customFormat="1" ht="21" customHeight="1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0.22500306462385636</v>
      </c>
      <c r="AL74" s="91">
        <v>0.19463349074372141</v>
      </c>
      <c r="AM74" s="91">
        <v>0.1767359980248531</v>
      </c>
      <c r="AN74" s="91">
        <v>0.17571743456266936</v>
      </c>
      <c r="AO74" s="91">
        <v>0.16523286539600884</v>
      </c>
      <c r="AP74" s="91">
        <v>0.1656830324057523</v>
      </c>
      <c r="AQ74" s="91">
        <v>0.17374222620130561</v>
      </c>
      <c r="AR74" s="91">
        <v>0.16639656913015566</v>
      </c>
      <c r="AS74" s="91">
        <v>0.16864237164964019</v>
      </c>
      <c r="AT74" s="91">
        <v>0.17706200884911993</v>
      </c>
      <c r="AU74" s="46"/>
      <c r="AV74" s="46"/>
      <c r="AW74" s="46"/>
      <c r="AX74" s="46"/>
      <c r="AY74" s="46"/>
      <c r="AZ74" s="46"/>
      <c r="BA74" s="46"/>
      <c r="BB74" s="46"/>
    </row>
    <row r="75" spans="1:68" s="4" customFormat="1" ht="21" customHeight="1" x14ac:dyDescent="0.55000000000000004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0.13901236923345137</v>
      </c>
      <c r="AL75" s="91">
        <v>0.13738385725379196</v>
      </c>
      <c r="AM75" s="91">
        <v>0.13764873085834639</v>
      </c>
      <c r="AN75" s="91">
        <v>0.14774251095097901</v>
      </c>
      <c r="AO75" s="91">
        <v>0.14798334160708199</v>
      </c>
      <c r="AP75" s="91">
        <v>0.1525603347287611</v>
      </c>
      <c r="AQ75" s="91">
        <v>0.16338908484064693</v>
      </c>
      <c r="AR75" s="91">
        <v>0.15993223093217498</v>
      </c>
      <c r="AS75" s="91">
        <v>0.16081376383140289</v>
      </c>
      <c r="AT75" s="91">
        <v>0.16901770563910229</v>
      </c>
      <c r="AU75" s="46"/>
      <c r="AV75" s="46"/>
      <c r="AW75" s="46"/>
      <c r="AX75" s="46"/>
      <c r="AY75" s="46"/>
      <c r="AZ75" s="46"/>
      <c r="BA75" s="46"/>
      <c r="BB75" s="46"/>
    </row>
    <row r="76" spans="1:68" s="4" customFormat="1" ht="21" customHeight="1" x14ac:dyDescent="0.55000000000000004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0.10130417275435553</v>
      </c>
      <c r="AL76" s="91">
        <v>0.10973658038065179</v>
      </c>
      <c r="AM76" s="91">
        <v>0.12964637788531466</v>
      </c>
      <c r="AN76" s="91">
        <v>0.12947058024754293</v>
      </c>
      <c r="AO76" s="91">
        <v>0.1331180786001554</v>
      </c>
      <c r="AP76" s="91">
        <v>0.14454177771882606</v>
      </c>
      <c r="AQ76" s="91">
        <v>0.15344167513069529</v>
      </c>
      <c r="AR76" s="91">
        <v>0.15448695169891818</v>
      </c>
      <c r="AS76" s="91">
        <v>0.15763747876034731</v>
      </c>
      <c r="AT76" s="91">
        <v>0.15989649687108684</v>
      </c>
      <c r="AU76" s="46"/>
      <c r="AV76" s="46"/>
      <c r="AW76" s="46"/>
      <c r="AX76" s="46"/>
      <c r="AY76" s="46"/>
      <c r="AZ76" s="46"/>
      <c r="BA76" s="46"/>
      <c r="BB76" s="46"/>
    </row>
    <row r="77" spans="1:68" s="4" customFormat="1" ht="21" customHeight="1" x14ac:dyDescent="0.55000000000000004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0.12167320061672846</v>
      </c>
      <c r="AL77" s="91">
        <v>0.11936461487594137</v>
      </c>
      <c r="AM77" s="91">
        <v>0.12563379395993277</v>
      </c>
      <c r="AN77" s="91">
        <v>0.12571316574178271</v>
      </c>
      <c r="AO77" s="91">
        <v>0.13529898103869223</v>
      </c>
      <c r="AP77" s="91">
        <v>0.15073165602954025</v>
      </c>
      <c r="AQ77" s="91">
        <v>0.15946422225839274</v>
      </c>
      <c r="AR77" s="91">
        <v>0.16339695077899688</v>
      </c>
      <c r="AS77" s="91">
        <v>0.16669598360714638</v>
      </c>
      <c r="AT77" s="91">
        <v>0.16516460858362508</v>
      </c>
      <c r="AU77" s="46"/>
      <c r="AV77" s="46"/>
      <c r="AW77" s="46"/>
      <c r="AX77" s="46"/>
      <c r="AY77" s="46"/>
      <c r="AZ77" s="46"/>
      <c r="BA77" s="46"/>
      <c r="BB77" s="46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</row>
    <row r="78" spans="1:68" ht="21" customHeight="1" x14ac:dyDescent="0.55000000000000004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0.13335543634268796</v>
      </c>
      <c r="AL78" s="91">
        <v>0.13304107278814745</v>
      </c>
      <c r="AM78" s="91">
        <v>0.11883606727649595</v>
      </c>
      <c r="AN78" s="91">
        <v>0.13381124705782513</v>
      </c>
      <c r="AO78" s="91">
        <v>0.14016217406817694</v>
      </c>
      <c r="AP78" s="91">
        <v>0.15020774016183108</v>
      </c>
      <c r="AQ78" s="91">
        <v>0.16396947053222682</v>
      </c>
      <c r="AR78" s="91">
        <v>0.17112149706492916</v>
      </c>
      <c r="AS78" s="91">
        <v>0.1745198761542027</v>
      </c>
      <c r="AT78" s="91">
        <v>0.17200692273505047</v>
      </c>
      <c r="AU78" s="46"/>
      <c r="AV78" s="46"/>
      <c r="AW78" s="46"/>
      <c r="AX78" s="46"/>
      <c r="AY78" s="46"/>
      <c r="AZ78" s="46"/>
      <c r="BA78" s="46"/>
      <c r="BB78" s="46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  <row r="79" spans="1:68" ht="21" customHeight="1" x14ac:dyDescent="0.55000000000000004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</row>
    <row r="80" spans="1:68" s="4" customFormat="1" ht="21" customHeight="1" x14ac:dyDescent="0.55000000000000004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</row>
    <row r="81" spans="1:68" ht="21" customHeight="1" x14ac:dyDescent="0.55000000000000004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</row>
    <row r="82" spans="1:68" s="4" customFormat="1" ht="21" customHeight="1" x14ac:dyDescent="0.55000000000000004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</row>
    <row r="83" spans="1:68" s="4" customFormat="1" ht="21" customHeight="1" x14ac:dyDescent="0.55000000000000004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</row>
    <row r="84" spans="1:68" s="4" customFormat="1" ht="21" customHeight="1" x14ac:dyDescent="0.55000000000000004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</row>
    <row r="85" spans="1:68" s="4" customFormat="1" ht="21" customHeight="1" x14ac:dyDescent="0.55000000000000004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</row>
    <row r="86" spans="1:68" s="4" customFormat="1" ht="21" customHeight="1" x14ac:dyDescent="0.55000000000000004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</row>
    <row r="87" spans="1:68" s="4" customFormat="1" ht="21" customHeight="1" x14ac:dyDescent="0.55000000000000004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</row>
    <row r="88" spans="1:68" s="4" customFormat="1" ht="21" customHeight="1" x14ac:dyDescent="0.55000000000000004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</row>
    <row r="89" spans="1:68" s="4" customFormat="1" ht="21" customHeight="1" x14ac:dyDescent="0.55000000000000004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</row>
    <row r="90" spans="1:68" s="4" customFormat="1" ht="21" customHeight="1" x14ac:dyDescent="0.55000000000000004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</row>
    <row r="91" spans="1:68" s="4" customFormat="1" ht="21" customHeight="1" x14ac:dyDescent="0.55000000000000004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</row>
    <row r="92" spans="1:68" s="4" customFormat="1" ht="21" customHeight="1" x14ac:dyDescent="0.55000000000000004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</row>
    <row r="93" spans="1:68" s="4" customFormat="1" ht="21" customHeight="1" x14ac:dyDescent="0.55000000000000004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</row>
    <row r="94" spans="1:68" s="4" customFormat="1" ht="21" customHeight="1" x14ac:dyDescent="0.6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68" s="4" customFormat="1" ht="21" customHeight="1" x14ac:dyDescent="0.6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</row>
    <row r="96" spans="1:68" s="4" customFormat="1" ht="21" customHeight="1" x14ac:dyDescent="0.6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</row>
    <row r="97" spans="1:60" s="4" customFormat="1" ht="21" customHeight="1" x14ac:dyDescent="0.6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95" t="s">
        <v>68</v>
      </c>
      <c r="Q97" s="96"/>
      <c r="R97" s="38">
        <v>0</v>
      </c>
    </row>
    <row r="98" spans="1:60" s="4" customFormat="1" ht="21" customHeight="1" x14ac:dyDescent="0.6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136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136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E98" s="136" t="s">
        <v>29</v>
      </c>
      <c r="BF98" s="77" t="s">
        <v>66</v>
      </c>
      <c r="BG98" s="78"/>
      <c r="BH98" s="78"/>
    </row>
    <row r="99" spans="1:60" s="4" customFormat="1" ht="21" customHeight="1" x14ac:dyDescent="0.6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137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137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E99" s="137"/>
      <c r="BF99" s="45">
        <v>1</v>
      </c>
      <c r="BG99" s="45">
        <v>1.5</v>
      </c>
      <c r="BH99" s="45">
        <v>2</v>
      </c>
    </row>
    <row r="100" spans="1:60" s="4" customFormat="1" ht="21" customHeight="1" x14ac:dyDescent="0.55000000000000004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0.25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46">
        <v>0.22430663375481419</v>
      </c>
      <c r="AL100" s="46">
        <v>0.17367232486645334</v>
      </c>
      <c r="AM100" s="46">
        <v>0.1264586085148981</v>
      </c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E100" s="45">
        <v>0.9</v>
      </c>
      <c r="BF100" s="46">
        <v>0.23</v>
      </c>
      <c r="BG100" s="46">
        <v>0.24</v>
      </c>
      <c r="BH100" s="46">
        <v>0.245</v>
      </c>
    </row>
    <row r="101" spans="1:60" s="4" customFormat="1" ht="21" customHeight="1" x14ac:dyDescent="0.55000000000000004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46">
        <v>0.15850728653470889</v>
      </c>
      <c r="AL101" s="46">
        <v>0.11400164909965485</v>
      </c>
      <c r="AM101" s="46">
        <v>7.7184079509434456E-2</v>
      </c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E101" s="45">
        <v>1</v>
      </c>
      <c r="BF101" s="46">
        <v>0.22</v>
      </c>
      <c r="BG101" s="46">
        <v>0.2</v>
      </c>
      <c r="BH101" s="46">
        <v>0.19</v>
      </c>
    </row>
    <row r="102" spans="1:60" s="4" customFormat="1" ht="21" customHeight="1" x14ac:dyDescent="0.55000000000000004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M102" s="1"/>
      <c r="N102" s="1"/>
      <c r="O102" s="1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46">
        <v>0.14063181275002271</v>
      </c>
      <c r="AL102" s="46">
        <v>0.17948234870404806</v>
      </c>
      <c r="AM102" s="46">
        <v>0.23935389168270974</v>
      </c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E102" s="45">
        <v>1.1000000000000001</v>
      </c>
      <c r="BF102" s="46">
        <v>0.2</v>
      </c>
      <c r="BG102" s="46">
        <v>0.19</v>
      </c>
      <c r="BH102" s="46">
        <v>0.19500000000000001</v>
      </c>
    </row>
    <row r="103" spans="1:60" s="4" customFormat="1" ht="21" customHeight="1" x14ac:dyDescent="0.55000000000000004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M103" s="1"/>
      <c r="N103" s="1"/>
      <c r="O103" s="1"/>
      <c r="P103" s="45">
        <v>1.2</v>
      </c>
      <c r="Q103" s="46">
        <v>0.2</v>
      </c>
      <c r="R103" s="46">
        <v>0.18</v>
      </c>
      <c r="S103" s="46">
        <v>0.185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46">
        <v>0.12823198709470035</v>
      </c>
      <c r="AL103" s="46">
        <v>0.15495233967579464</v>
      </c>
      <c r="AM103" s="46">
        <v>0.40152370385598501</v>
      </c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E103" s="45">
        <v>1.2</v>
      </c>
      <c r="BF103" s="46">
        <v>0.2</v>
      </c>
      <c r="BG103" s="46">
        <v>0.18</v>
      </c>
      <c r="BH103" s="46">
        <v>0.185</v>
      </c>
    </row>
    <row r="104" spans="1:60" s="4" customFormat="1" ht="21" customHeight="1" x14ac:dyDescent="0.55000000000000004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M104" s="1"/>
      <c r="N104" s="1"/>
      <c r="O104" s="1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</row>
    <row r="105" spans="1:60" s="4" customFormat="1" ht="21" customHeight="1" x14ac:dyDescent="0.55000000000000004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</row>
    <row r="106" spans="1:60" s="4" customFormat="1" ht="21" customHeight="1" x14ac:dyDescent="0.55000000000000004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</row>
    <row r="107" spans="1:60" s="4" customFormat="1" ht="21" customHeight="1" x14ac:dyDescent="0.55000000000000004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</row>
    <row r="108" spans="1:60" s="4" customFormat="1" ht="21" customHeight="1" x14ac:dyDescent="0.55000000000000004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</row>
    <row r="109" spans="1:60" s="4" customFormat="1" ht="21" customHeight="1" x14ac:dyDescent="0.55000000000000004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</row>
    <row r="110" spans="1:60" s="4" customFormat="1" ht="21" customHeight="1" x14ac:dyDescent="0.55000000000000004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</row>
    <row r="111" spans="1:60" s="4" customFormat="1" ht="21" customHeight="1" x14ac:dyDescent="0.55000000000000004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</row>
    <row r="112" spans="1:60" s="4" customFormat="1" ht="21" customHeight="1" x14ac:dyDescent="0.55000000000000004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</row>
    <row r="113" spans="1:61" s="4" customFormat="1" ht="21" customHeight="1" x14ac:dyDescent="0.55000000000000004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</row>
    <row r="114" spans="1:61" s="4" customFormat="1" ht="21" customHeight="1" x14ac:dyDescent="0.55000000000000004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</row>
    <row r="115" spans="1:61" s="4" customFormat="1" ht="21" customHeight="1" x14ac:dyDescent="0.55000000000000004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</row>
    <row r="116" spans="1:61" s="4" customFormat="1" ht="21" customHeight="1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</row>
    <row r="117" spans="1:61" ht="21" customHeight="1" x14ac:dyDescent="0.55000000000000004">
      <c r="A117" s="138" t="s">
        <v>38</v>
      </c>
      <c r="B117" s="138"/>
      <c r="C117" s="138"/>
      <c r="D117" s="138"/>
      <c r="E117" s="138"/>
      <c r="F117" s="138"/>
      <c r="G117" s="138"/>
      <c r="H117" s="138"/>
      <c r="I117" s="138"/>
      <c r="J117" s="138"/>
      <c r="K117" s="138"/>
      <c r="L117" s="138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</row>
    <row r="118" spans="1:61" ht="21" customHeight="1" x14ac:dyDescent="0.55000000000000004">
      <c r="A118" s="138"/>
      <c r="B118" s="138"/>
      <c r="C118" s="138"/>
      <c r="D118" s="138"/>
      <c r="E118" s="138"/>
      <c r="F118" s="138"/>
      <c r="G118" s="138"/>
      <c r="H118" s="138"/>
      <c r="I118" s="138"/>
      <c r="J118" s="138"/>
      <c r="K118" s="138"/>
      <c r="L118" s="138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</row>
    <row r="119" spans="1:61" ht="21" customHeight="1" x14ac:dyDescent="0.55000000000000004">
      <c r="A119" s="133" t="s">
        <v>8</v>
      </c>
      <c r="B119" s="133"/>
      <c r="C119" s="133" t="s">
        <v>26</v>
      </c>
      <c r="D119" s="133"/>
      <c r="E119" s="133" t="s">
        <v>27</v>
      </c>
      <c r="F119" s="133"/>
      <c r="G119" s="133" t="s">
        <v>48</v>
      </c>
      <c r="H119" s="133"/>
      <c r="I119" s="133" t="s">
        <v>49</v>
      </c>
      <c r="J119" s="133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</row>
    <row r="120" spans="1:61" ht="21" customHeight="1" x14ac:dyDescent="0.55000000000000004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</row>
    <row r="121" spans="1:61" ht="21" customHeight="1" x14ac:dyDescent="0.55000000000000004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</row>
    <row r="122" spans="1:61" ht="21" customHeight="1" x14ac:dyDescent="0.55000000000000004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</row>
    <row r="123" spans="1:61" ht="21" customHeight="1" x14ac:dyDescent="0.55000000000000004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</row>
    <row r="124" spans="1:61" ht="21" customHeight="1" x14ac:dyDescent="0.55000000000000004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61" ht="21" customHeight="1" x14ac:dyDescent="0.55000000000000004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61" ht="21" customHeight="1" x14ac:dyDescent="0.55000000000000004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61" ht="21" customHeight="1" x14ac:dyDescent="0.55000000000000004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95" t="s">
        <v>68</v>
      </c>
      <c r="Q127" s="96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F127" s="136" t="s">
        <v>29</v>
      </c>
      <c r="BG127" s="77" t="s">
        <v>66</v>
      </c>
      <c r="BH127" s="78"/>
      <c r="BI127" s="78"/>
    </row>
    <row r="128" spans="1:61" ht="21" customHeight="1" x14ac:dyDescent="0.55000000000000004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136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136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F128" s="137"/>
      <c r="BG128" s="45">
        <v>0.5</v>
      </c>
      <c r="BH128" s="45">
        <v>1</v>
      </c>
      <c r="BI128" s="45">
        <v>1.5</v>
      </c>
    </row>
    <row r="129" spans="1:61" ht="21" customHeight="1" x14ac:dyDescent="0.55000000000000004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137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137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F129" s="45">
        <v>0.9</v>
      </c>
      <c r="BG129" s="46">
        <v>0.2</v>
      </c>
      <c r="BH129" s="46">
        <v>0.2</v>
      </c>
      <c r="BI129" s="46">
        <v>0.2</v>
      </c>
    </row>
    <row r="130" spans="1:61" ht="21" customHeight="1" x14ac:dyDescent="0.55000000000000004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46">
        <v>0.2</v>
      </c>
      <c r="AL130" s="46">
        <v>0.2</v>
      </c>
      <c r="AM130" s="46">
        <v>0.2</v>
      </c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F130" s="45">
        <v>1</v>
      </c>
      <c r="BG130" s="46">
        <v>0.2</v>
      </c>
      <c r="BH130" s="46">
        <v>0.2</v>
      </c>
      <c r="BI130" s="46">
        <v>0.2</v>
      </c>
    </row>
    <row r="131" spans="1:61" ht="21" customHeight="1" x14ac:dyDescent="0.55000000000000004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46">
        <v>0.2</v>
      </c>
      <c r="AL131" s="46">
        <v>0.2</v>
      </c>
      <c r="AM131" s="46">
        <v>0.2</v>
      </c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F131" s="45">
        <v>1.1000000000000001</v>
      </c>
      <c r="BG131" s="46">
        <v>0.2</v>
      </c>
      <c r="BH131" s="46">
        <v>0.2</v>
      </c>
      <c r="BI131" s="46">
        <v>0.2</v>
      </c>
    </row>
    <row r="132" spans="1:61" ht="21" customHeight="1" x14ac:dyDescent="0.55000000000000004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46">
        <v>0.2</v>
      </c>
      <c r="AL132" s="46">
        <v>0.2</v>
      </c>
      <c r="AM132" s="46">
        <v>0.2</v>
      </c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</row>
    <row r="133" spans="1:61" ht="21" customHeight="1" x14ac:dyDescent="0.55000000000000004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</row>
    <row r="134" spans="1:61" ht="21" customHeight="1" x14ac:dyDescent="0.55000000000000004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</row>
    <row r="135" spans="1:61" ht="21" customHeight="1" x14ac:dyDescent="0.55000000000000004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</row>
    <row r="136" spans="1:61" ht="21" customHeight="1" x14ac:dyDescent="0.55000000000000004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</row>
    <row r="137" spans="1:61" ht="21" customHeight="1" x14ac:dyDescent="0.55000000000000004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</row>
    <row r="138" spans="1:61" ht="21" customHeight="1" x14ac:dyDescent="0.55000000000000004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</row>
    <row r="139" spans="1:61" ht="21" customHeight="1" x14ac:dyDescent="0.55000000000000004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</row>
    <row r="140" spans="1:61" ht="21" customHeight="1" x14ac:dyDescent="0.55000000000000004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</row>
    <row r="141" spans="1:61" ht="21" customHeight="1" x14ac:dyDescent="0.55000000000000004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</row>
    <row r="142" spans="1:61" ht="21" customHeight="1" x14ac:dyDescent="0.55000000000000004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</row>
    <row r="143" spans="1:61" ht="21" customHeight="1" x14ac:dyDescent="0.55000000000000004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</row>
    <row r="144" spans="1:61" ht="21" customHeight="1" x14ac:dyDescent="0.55000000000000004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</row>
    <row r="145" spans="1:54" ht="21" customHeight="1" x14ac:dyDescent="0.55000000000000004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</row>
    <row r="146" spans="1:54" ht="21" customHeight="1" x14ac:dyDescent="0.55000000000000004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</row>
    <row r="147" spans="1:54" ht="21" customHeight="1" x14ac:dyDescent="0.55000000000000004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</row>
    <row r="148" spans="1:54" ht="21" customHeight="1" x14ac:dyDescent="0.55000000000000004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</row>
    <row r="149" spans="1:54" ht="21" customHeight="1" x14ac:dyDescent="0.55000000000000004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</row>
    <row r="150" spans="1:54" ht="21" customHeight="1" x14ac:dyDescent="0.55000000000000004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</row>
    <row r="151" spans="1:54" ht="21" customHeight="1" x14ac:dyDescent="0.55000000000000004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</row>
    <row r="152" spans="1:54" ht="21" customHeight="1" x14ac:dyDescent="0.55000000000000004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</row>
    <row r="153" spans="1:54" ht="21" customHeight="1" x14ac:dyDescent="0.55000000000000004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</row>
    <row r="154" spans="1:54" ht="21" customHeight="1" x14ac:dyDescent="0.6">
      <c r="A154" s="51"/>
      <c r="B154" s="52"/>
      <c r="C154" s="51"/>
      <c r="D154" s="52"/>
      <c r="E154" s="51"/>
      <c r="F154" s="52"/>
      <c r="G154" s="51"/>
      <c r="H154" s="52"/>
      <c r="I154" s="51"/>
      <c r="J154" s="52"/>
    </row>
    <row r="155" spans="1:54" ht="21" customHeight="1" x14ac:dyDescent="0.6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</row>
    <row r="156" spans="1:54" ht="21" customHeight="1" x14ac:dyDescent="0.6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</row>
    <row r="157" spans="1:54" ht="21" customHeight="1" x14ac:dyDescent="0.6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95" t="s">
        <v>68</v>
      </c>
      <c r="Q157" s="96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</row>
    <row r="158" spans="1:54" ht="21" customHeight="1" x14ac:dyDescent="0.6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136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136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</row>
    <row r="159" spans="1:54" ht="21" customHeight="1" x14ac:dyDescent="0.6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137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137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</row>
    <row r="160" spans="1:54" ht="21" customHeight="1" x14ac:dyDescent="0.55000000000000004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</row>
    <row r="161" spans="1:54" ht="21" customHeight="1" x14ac:dyDescent="0.55000000000000004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</row>
    <row r="162" spans="1:54" ht="21" customHeight="1" x14ac:dyDescent="0.55000000000000004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</row>
    <row r="163" spans="1:54" ht="21" customHeight="1" x14ac:dyDescent="0.55000000000000004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</row>
    <row r="164" spans="1:54" ht="21" customHeight="1" x14ac:dyDescent="0.55000000000000004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</row>
    <row r="165" spans="1:54" ht="21" customHeight="1" x14ac:dyDescent="0.55000000000000004">
      <c r="A165" s="138" t="s">
        <v>40</v>
      </c>
      <c r="B165" s="138"/>
      <c r="C165" s="138"/>
      <c r="D165" s="138"/>
      <c r="E165" s="138"/>
      <c r="F165" s="138"/>
      <c r="G165" s="138"/>
      <c r="H165" s="138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</row>
    <row r="166" spans="1:54" ht="21" customHeight="1" x14ac:dyDescent="0.55000000000000004">
      <c r="A166" s="138"/>
      <c r="B166" s="138"/>
      <c r="C166" s="138"/>
      <c r="D166" s="138"/>
      <c r="E166" s="138"/>
      <c r="F166" s="138"/>
      <c r="G166" s="138"/>
      <c r="H166" s="138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</row>
    <row r="167" spans="1:54" ht="21" customHeight="1" x14ac:dyDescent="0.55000000000000004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</row>
    <row r="168" spans="1:54" ht="21" customHeight="1" x14ac:dyDescent="0.55000000000000004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</row>
    <row r="169" spans="1:54" ht="21" customHeight="1" x14ac:dyDescent="0.55000000000000004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</row>
    <row r="170" spans="1:54" ht="21" customHeight="1" x14ac:dyDescent="0.55000000000000004">
      <c r="A170" s="139"/>
      <c r="B170" s="139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</row>
    <row r="171" spans="1:54" ht="21" customHeight="1" x14ac:dyDescent="0.55000000000000004">
      <c r="A171" s="133" t="s">
        <v>8</v>
      </c>
      <c r="B171" s="133"/>
      <c r="C171" s="133" t="s">
        <v>26</v>
      </c>
      <c r="D171" s="133"/>
      <c r="E171" s="133" t="s">
        <v>27</v>
      </c>
      <c r="F171" s="133"/>
      <c r="G171" s="133" t="s">
        <v>48</v>
      </c>
      <c r="H171" s="133"/>
      <c r="I171" s="133" t="s">
        <v>49</v>
      </c>
      <c r="J171" s="133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</row>
    <row r="172" spans="1:54" ht="21" customHeight="1" x14ac:dyDescent="0.55000000000000004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</row>
    <row r="173" spans="1:54" ht="21" customHeight="1" x14ac:dyDescent="0.55000000000000004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</row>
    <row r="174" spans="1:54" ht="21" customHeight="1" x14ac:dyDescent="0.55000000000000004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</row>
    <row r="175" spans="1:54" ht="21" customHeight="1" x14ac:dyDescent="0.55000000000000004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</row>
    <row r="176" spans="1:54" ht="21" customHeight="1" x14ac:dyDescent="0.55000000000000004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</row>
    <row r="177" spans="1:54" ht="21" customHeight="1" x14ac:dyDescent="0.55000000000000004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</row>
    <row r="178" spans="1:54" ht="21" customHeight="1" x14ac:dyDescent="0.55000000000000004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</row>
    <row r="179" spans="1:54" ht="21" customHeight="1" x14ac:dyDescent="0.55000000000000004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</row>
    <row r="180" spans="1:54" ht="21" customHeight="1" x14ac:dyDescent="0.55000000000000004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</row>
    <row r="181" spans="1:54" ht="21" customHeight="1" x14ac:dyDescent="0.55000000000000004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</row>
    <row r="182" spans="1:54" ht="21" customHeight="1" x14ac:dyDescent="0.55000000000000004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</row>
    <row r="183" spans="1:54" ht="21" customHeight="1" x14ac:dyDescent="0.55000000000000004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</row>
    <row r="184" spans="1:54" ht="21" customHeight="1" x14ac:dyDescent="0.55000000000000004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54" ht="21" customHeight="1" x14ac:dyDescent="0.6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</row>
    <row r="186" spans="1:54" ht="21" customHeight="1" x14ac:dyDescent="0.6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</row>
    <row r="187" spans="1:54" ht="21" customHeight="1" x14ac:dyDescent="0.6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95" t="s">
        <v>68</v>
      </c>
      <c r="Q187" s="96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</row>
    <row r="188" spans="1:54" ht="21" customHeight="1" x14ac:dyDescent="0.6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136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136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</row>
    <row r="189" spans="1:54" ht="21" customHeight="1" x14ac:dyDescent="0.55000000000000004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137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137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</row>
    <row r="190" spans="1:54" ht="21" customHeight="1" x14ac:dyDescent="0.55000000000000004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</row>
    <row r="191" spans="1:54" ht="21" customHeight="1" x14ac:dyDescent="0.55000000000000004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</row>
    <row r="192" spans="1:54" ht="21" customHeight="1" x14ac:dyDescent="0.55000000000000004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</row>
    <row r="193" spans="1:54" ht="21" customHeight="1" x14ac:dyDescent="0.55000000000000004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</row>
    <row r="194" spans="1:54" ht="21" customHeight="1" x14ac:dyDescent="0.55000000000000004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</row>
    <row r="195" spans="1:54" ht="21" customHeight="1" x14ac:dyDescent="0.55000000000000004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</row>
    <row r="196" spans="1:54" ht="21" customHeight="1" x14ac:dyDescent="0.55000000000000004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</row>
    <row r="197" spans="1:54" ht="21" customHeight="1" x14ac:dyDescent="0.55000000000000004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</row>
    <row r="198" spans="1:54" ht="21" customHeight="1" x14ac:dyDescent="0.55000000000000004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</row>
    <row r="199" spans="1:54" ht="21" customHeight="1" x14ac:dyDescent="0.55000000000000004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</row>
    <row r="200" spans="1:54" ht="21" customHeight="1" x14ac:dyDescent="0.55000000000000004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</row>
    <row r="201" spans="1:54" ht="21" customHeight="1" x14ac:dyDescent="0.55000000000000004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</row>
    <row r="202" spans="1:54" ht="21" customHeight="1" x14ac:dyDescent="0.55000000000000004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</row>
    <row r="203" spans="1:54" ht="21" customHeight="1" x14ac:dyDescent="0.55000000000000004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</row>
    <row r="204" spans="1:54" ht="21" customHeight="1" x14ac:dyDescent="0.55000000000000004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</row>
    <row r="205" spans="1:54" ht="21" customHeight="1" x14ac:dyDescent="0.55000000000000004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</row>
    <row r="206" spans="1:54" ht="21" customHeight="1" x14ac:dyDescent="0.55000000000000004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</row>
    <row r="207" spans="1:54" ht="21" customHeight="1" x14ac:dyDescent="0.55000000000000004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</row>
    <row r="208" spans="1:54" ht="21" customHeight="1" x14ac:dyDescent="0.55000000000000004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</row>
    <row r="209" spans="1:54" ht="21" customHeight="1" x14ac:dyDescent="0.55000000000000004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</row>
    <row r="210" spans="1:54" ht="21" customHeight="1" x14ac:dyDescent="0.55000000000000004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</row>
    <row r="211" spans="1:54" ht="21" customHeight="1" x14ac:dyDescent="0.55000000000000004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</row>
    <row r="212" spans="1:54" ht="21" customHeight="1" x14ac:dyDescent="0.55000000000000004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</row>
    <row r="213" spans="1:54" ht="21" customHeight="1" x14ac:dyDescent="0.55000000000000004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</row>
    <row r="214" spans="1:54" ht="21" customHeight="1" x14ac:dyDescent="0.6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19">
    <mergeCell ref="BE98:BE99"/>
    <mergeCell ref="BF127:BF128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P67:Q67"/>
    <mergeCell ref="A62:AH62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BM47:BM48"/>
    <mergeCell ref="BN47:BN48"/>
    <mergeCell ref="BO47:BO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DC47:DC48"/>
    <mergeCell ref="A36:B36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DD47:DD48"/>
    <mergeCell ref="DE47:DE48"/>
    <mergeCell ref="DF47:DF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866775</xdr:colOff>
                    <xdr:row>2</xdr:row>
                    <xdr:rowOff>114300</xdr:rowOff>
                  </from>
                  <to>
                    <xdr:col>10</xdr:col>
                    <xdr:colOff>785813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2021-12-29T01:27:14Z</dcterms:created>
  <dcterms:modified xsi:type="dcterms:W3CDTF">2022-08-30T07:42:16Z</dcterms:modified>
</cp:coreProperties>
</file>