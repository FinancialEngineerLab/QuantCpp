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Equity\HiFive\"/>
    </mc:Choice>
  </mc:AlternateContent>
  <bookViews>
    <workbookView xWindow="0" yWindow="0" windowWidth="28800" windowHeight="12255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" i="1" l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P15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</commentList>
</comments>
</file>

<file path=xl/sharedStrings.xml><?xml version="1.0" encoding="utf-8"?>
<sst xmlns="http://schemas.openxmlformats.org/spreadsheetml/2006/main" count="175" uniqueCount="82">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</sst>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9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3" borderId="6" xfId="0" applyFont="1" applyFill="1" applyBorder="1" applyProtection="1">
      <alignment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0" borderId="6" xfId="0" applyNumberFormat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2</xdr:row>
          <xdr:rowOff>114300</xdr:rowOff>
        </xdr:from>
        <xdr:to>
          <xdr:col>10</xdr:col>
          <xdr:colOff>781050</xdr:colOff>
          <xdr:row>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zoomScale="80" zoomScaleNormal="80" workbookViewId="0">
      <selection activeCell="I27" sqref="I27"/>
    </sheetView>
  </sheetViews>
  <sheetFormatPr defaultColWidth="13.75" defaultRowHeight="21" customHeight="1" x14ac:dyDescent="0.3"/>
  <cols>
    <col min="1" max="6" width="13.75" style="1"/>
    <col min="7" max="7" width="13.75" style="1" customWidth="1"/>
    <col min="8" max="16384" width="13.75" style="1"/>
  </cols>
  <sheetData>
    <row r="1" spans="1:49" ht="21" customHeight="1" x14ac:dyDescent="0.3">
      <c r="A1" s="120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</row>
    <row r="2" spans="1:49" ht="21" customHeight="1" x14ac:dyDescent="0.3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</row>
    <row r="3" spans="1:49" s="3" customFormat="1" ht="21" customHeight="1" x14ac:dyDescent="0.3">
      <c r="A3" s="2"/>
      <c r="C3" s="2"/>
      <c r="D3" s="2"/>
      <c r="F3" s="101" t="s">
        <v>1</v>
      </c>
      <c r="G3" s="101"/>
      <c r="H3" s="121">
        <v>100000</v>
      </c>
      <c r="I3" s="122"/>
    </row>
    <row r="4" spans="1:49" s="3" customFormat="1" ht="21" customHeight="1" x14ac:dyDescent="0.3">
      <c r="A4" s="92" t="s">
        <v>2</v>
      </c>
      <c r="B4" s="93"/>
      <c r="C4" s="127">
        <v>10000</v>
      </c>
      <c r="D4" s="128"/>
      <c r="F4" s="101" t="s">
        <v>3</v>
      </c>
      <c r="G4" s="101"/>
      <c r="H4" s="121">
        <v>1</v>
      </c>
      <c r="I4" s="122"/>
      <c r="M4" s="4"/>
      <c r="N4" s="5" t="s">
        <v>4</v>
      </c>
      <c r="O4" s="6" t="s">
        <v>5</v>
      </c>
      <c r="P4" s="5" t="s">
        <v>6</v>
      </c>
      <c r="R4" s="90" t="s">
        <v>79</v>
      </c>
      <c r="S4" s="109">
        <v>1</v>
      </c>
      <c r="T4" s="109"/>
    </row>
    <row r="5" spans="1:49" s="3" customFormat="1" ht="21" customHeight="1" thickBot="1" x14ac:dyDescent="0.35">
      <c r="A5" s="92" t="s">
        <v>7</v>
      </c>
      <c r="B5" s="93"/>
      <c r="C5" s="129">
        <v>1</v>
      </c>
      <c r="D5" s="130"/>
      <c r="M5" s="7" t="s">
        <v>8</v>
      </c>
      <c r="N5" s="8"/>
      <c r="O5" s="8"/>
      <c r="P5" s="8"/>
      <c r="R5" s="90" t="s">
        <v>77</v>
      </c>
      <c r="S5" s="125">
        <v>44665.435011574074</v>
      </c>
      <c r="T5" s="125"/>
    </row>
    <row r="6" spans="1:49" s="3" customFormat="1" ht="21" customHeight="1" thickBot="1" x14ac:dyDescent="0.35">
      <c r="A6" s="110" t="s">
        <v>9</v>
      </c>
      <c r="B6" s="111"/>
      <c r="C6" s="112">
        <v>42919</v>
      </c>
      <c r="D6" s="113"/>
      <c r="E6" s="2"/>
      <c r="F6" s="114" t="s">
        <v>10</v>
      </c>
      <c r="G6" s="114"/>
      <c r="H6" s="115">
        <v>10000</v>
      </c>
      <c r="I6" s="115"/>
      <c r="M6" s="7" t="s">
        <v>11</v>
      </c>
      <c r="N6" s="8"/>
      <c r="O6" s="8"/>
      <c r="P6" s="8"/>
      <c r="R6" s="90" t="s">
        <v>78</v>
      </c>
      <c r="S6" s="125">
        <v>44665.435011574074</v>
      </c>
      <c r="T6" s="125"/>
    </row>
    <row r="7" spans="1:49" s="3" customFormat="1" ht="21" customHeight="1" thickBot="1" x14ac:dyDescent="0.35">
      <c r="A7" s="110" t="s">
        <v>23</v>
      </c>
      <c r="B7" s="111"/>
      <c r="C7" s="123">
        <v>3</v>
      </c>
      <c r="D7" s="124"/>
      <c r="F7" s="116" t="s">
        <v>12</v>
      </c>
      <c r="G7" s="117"/>
      <c r="H7" s="118">
        <v>0</v>
      </c>
      <c r="I7" s="119"/>
      <c r="M7" s="7" t="s">
        <v>13</v>
      </c>
      <c r="N7" s="8"/>
      <c r="O7" s="8"/>
      <c r="P7" s="8"/>
      <c r="R7" s="90"/>
      <c r="S7" s="126"/>
      <c r="T7" s="126"/>
    </row>
    <row r="8" spans="1:49" s="3" customFormat="1" ht="21" customHeight="1" x14ac:dyDescent="0.3">
      <c r="A8" s="9"/>
      <c r="B8" s="9"/>
      <c r="C8" s="9"/>
      <c r="M8" s="7" t="s">
        <v>48</v>
      </c>
      <c r="N8" s="8"/>
      <c r="O8" s="8"/>
      <c r="P8" s="8"/>
    </row>
    <row r="9" spans="1:49" s="3" customFormat="1" ht="21" customHeight="1" x14ac:dyDescent="0.3">
      <c r="A9" s="9"/>
      <c r="B9" s="9"/>
      <c r="C9" s="9"/>
      <c r="M9" s="7" t="s">
        <v>49</v>
      </c>
      <c r="N9" s="8"/>
      <c r="O9" s="8"/>
      <c r="P9" s="8"/>
      <c r="Q9" s="3">
        <f>Q17/X17</f>
        <v>12.164477092076725</v>
      </c>
    </row>
    <row r="10" spans="1:49" s="3" customFormat="1" ht="21" hidden="1" customHeight="1" x14ac:dyDescent="0.3">
      <c r="A10" s="9"/>
      <c r="B10" s="9"/>
      <c r="C10" s="9"/>
    </row>
    <row r="11" spans="1:49" s="3" customFormat="1" ht="21" hidden="1" customHeight="1" x14ac:dyDescent="0.3">
      <c r="A11" s="9"/>
      <c r="B11" s="9"/>
      <c r="C11" s="9"/>
    </row>
    <row r="12" spans="1:49" s="3" customFormat="1" ht="21" hidden="1" customHeight="1" x14ac:dyDescent="0.3">
      <c r="A12" s="9"/>
      <c r="B12" s="9"/>
      <c r="C12" s="9"/>
    </row>
    <row r="13" spans="1:49" s="3" customFormat="1" ht="21" hidden="1" customHeight="1" x14ac:dyDescent="0.3">
      <c r="A13" s="9"/>
      <c r="B13" s="9"/>
      <c r="C13" s="9"/>
    </row>
    <row r="14" spans="1:49" s="3" customFormat="1" ht="21" hidden="1" customHeight="1" x14ac:dyDescent="0.3">
      <c r="A14" s="9"/>
      <c r="B14" s="9"/>
      <c r="C14" s="9"/>
    </row>
    <row r="15" spans="1:49" s="3" customFormat="1" ht="21" hidden="1" customHeight="1" x14ac:dyDescent="0.3">
      <c r="A15" s="9"/>
      <c r="B15" s="9"/>
      <c r="C15" s="9"/>
    </row>
    <row r="16" spans="1:49" s="3" customFormat="1" ht="21" customHeight="1" thickBot="1" x14ac:dyDescent="0.35">
      <c r="Q16" s="3">
        <f t="shared" ref="Q16:X16" si="1">Q17/Q18</f>
        <v>10250.000000000106</v>
      </c>
      <c r="R16" s="3">
        <f t="shared" si="1"/>
        <v>10499.999999999553</v>
      </c>
      <c r="S16" s="3">
        <f t="shared" si="1"/>
        <v>10749.999999999893</v>
      </c>
      <c r="T16" s="3">
        <f t="shared" si="1"/>
        <v>11000.000000000056</v>
      </c>
      <c r="U16" s="3">
        <f t="shared" si="1"/>
        <v>11250.000000000044</v>
      </c>
      <c r="V16" s="3">
        <f t="shared" si="1"/>
        <v>11500.00000000008</v>
      </c>
      <c r="W16" s="3">
        <f t="shared" si="1"/>
        <v>11500.000000000015</v>
      </c>
      <c r="X16" s="3">
        <f t="shared" si="1"/>
        <v>4441.0450743181755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35">
      <c r="A17" s="101" t="s">
        <v>81</v>
      </c>
      <c r="B17" s="101"/>
      <c r="C17" s="106">
        <v>6</v>
      </c>
      <c r="D17" s="105"/>
      <c r="F17" s="92" t="s">
        <v>51</v>
      </c>
      <c r="G17" s="93"/>
      <c r="H17" s="106">
        <v>0</v>
      </c>
      <c r="I17" s="105"/>
      <c r="K17" s="107" t="s">
        <v>14</v>
      </c>
      <c r="L17" s="107"/>
      <c r="M17" s="108">
        <v>9584.012125922065</v>
      </c>
      <c r="N17" s="108"/>
      <c r="O17" s="99" t="s">
        <v>76</v>
      </c>
      <c r="P17" s="100"/>
      <c r="Q17" s="86">
        <v>6050.5749999995633</v>
      </c>
      <c r="R17" s="86">
        <v>1327.1999999999687</v>
      </c>
      <c r="S17" s="86">
        <v>608.45000000000027</v>
      </c>
      <c r="T17" s="86">
        <v>391.6000000000019</v>
      </c>
      <c r="U17" s="86">
        <v>297</v>
      </c>
      <c r="V17" s="86">
        <v>250.70000000000087</v>
      </c>
      <c r="W17" s="86">
        <v>355.34999999999894</v>
      </c>
      <c r="X17" s="86">
        <v>497.39704832364532</v>
      </c>
    </row>
    <row r="18" spans="1:111" s="3" customFormat="1" ht="21" customHeight="1" thickBot="1" x14ac:dyDescent="0.35">
      <c r="F18" s="101" t="s">
        <v>16</v>
      </c>
      <c r="G18" s="101"/>
      <c r="H18" s="102">
        <v>1</v>
      </c>
      <c r="I18" s="103"/>
      <c r="K18" s="107"/>
      <c r="L18" s="107"/>
      <c r="M18" s="108"/>
      <c r="N18" s="108"/>
      <c r="O18" s="99" t="s">
        <v>15</v>
      </c>
      <c r="P18" s="100"/>
      <c r="Q18" s="10">
        <v>0.59029999999995131</v>
      </c>
      <c r="R18" s="10">
        <v>0.1264000000000024</v>
      </c>
      <c r="S18" s="10">
        <v>5.6600000000000594E-2</v>
      </c>
      <c r="T18" s="10">
        <v>3.5599999999999993E-2</v>
      </c>
      <c r="U18" s="10">
        <v>2.6399999999999896E-2</v>
      </c>
      <c r="V18" s="10">
        <v>2.1799999999999924E-2</v>
      </c>
      <c r="W18" s="10">
        <v>3.0899999999999869E-2</v>
      </c>
      <c r="X18" s="10">
        <v>0.11200000000000218</v>
      </c>
    </row>
    <row r="19" spans="1:111" s="3" customFormat="1" ht="21" customHeight="1" x14ac:dyDescent="0.3">
      <c r="A19" s="101" t="s">
        <v>17</v>
      </c>
      <c r="B19" s="101"/>
      <c r="C19" s="104">
        <v>0.5</v>
      </c>
      <c r="D19" s="105"/>
      <c r="K19" s="109" t="s">
        <v>80</v>
      </c>
      <c r="L19" s="109"/>
      <c r="M19" s="109"/>
      <c r="N19" s="109"/>
      <c r="X19" s="87">
        <f>SUM(Q18:Z18)</f>
        <v>0.99999999999995615</v>
      </c>
    </row>
    <row r="20" spans="1:111" s="3" customFormat="1" ht="21" customHeight="1" x14ac:dyDescent="0.3">
      <c r="A20" s="9"/>
      <c r="B20" s="9"/>
      <c r="C20" s="9"/>
    </row>
    <row r="21" spans="1:111" s="3" customFormat="1" ht="21" hidden="1" customHeight="1" x14ac:dyDescent="0.3">
      <c r="A21" s="9"/>
      <c r="B21" s="9"/>
      <c r="C21" s="9"/>
    </row>
    <row r="22" spans="1:111" s="3" customFormat="1" ht="21" hidden="1" customHeight="1" x14ac:dyDescent="0.3">
      <c r="A22" s="9"/>
      <c r="B22" s="9"/>
      <c r="C22" s="9"/>
    </row>
    <row r="23" spans="1:111" s="3" customFormat="1" ht="21" hidden="1" customHeight="1" x14ac:dyDescent="0.3">
      <c r="A23" s="9"/>
      <c r="B23" s="9"/>
      <c r="C23" s="9"/>
    </row>
    <row r="24" spans="1:111" s="3" customFormat="1" ht="21" hidden="1" customHeight="1" x14ac:dyDescent="0.3">
      <c r="A24" s="9"/>
      <c r="B24" s="9"/>
      <c r="C24" s="9"/>
    </row>
    <row r="25" spans="1:111" s="3" customFormat="1" ht="21" hidden="1" customHeight="1" x14ac:dyDescent="0.3">
      <c r="A25" s="9"/>
      <c r="B25" s="9"/>
      <c r="C25" s="9"/>
    </row>
    <row r="26" spans="1:111" s="11" customFormat="1" ht="21" customHeight="1" x14ac:dyDescent="0.3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3">
      <c r="A27" s="92" t="s">
        <v>18</v>
      </c>
      <c r="B27" s="93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3">
      <c r="A28" s="92" t="s">
        <v>19</v>
      </c>
      <c r="B28" s="93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3">
      <c r="A29" s="92" t="s">
        <v>43</v>
      </c>
      <c r="B29" s="93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3">
      <c r="A30" s="92" t="s">
        <v>53</v>
      </c>
      <c r="B30" s="93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3">
      <c r="A31" s="92" t="s">
        <v>54</v>
      </c>
      <c r="B31" s="93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3">
      <c r="A32" s="92"/>
      <c r="B32" s="93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3">
      <c r="A33" s="92"/>
      <c r="B33" s="93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3">
      <c r="A34" s="92" t="s">
        <v>20</v>
      </c>
      <c r="B34" s="93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3">
      <c r="A35" s="92" t="s">
        <v>55</v>
      </c>
      <c r="B35" s="93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3">
      <c r="A36" s="92" t="s">
        <v>56</v>
      </c>
      <c r="B36" s="93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3">
      <c r="A37" s="92" t="s">
        <v>21</v>
      </c>
      <c r="B37" s="93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3">
      <c r="A38" s="94" t="s">
        <v>57</v>
      </c>
      <c r="B38" s="95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3">
      <c r="A39" s="94" t="s">
        <v>58</v>
      </c>
      <c r="B39" s="95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3">
      <c r="A40" s="94" t="s">
        <v>59</v>
      </c>
      <c r="B40" s="95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3">
      <c r="A41" s="94" t="s">
        <v>63</v>
      </c>
      <c r="B41" s="95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3">
      <c r="A42" s="94" t="s">
        <v>62</v>
      </c>
      <c r="B42" s="95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3">
      <c r="A43" s="94" t="s">
        <v>61</v>
      </c>
      <c r="B43" s="95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3">
      <c r="A44" s="94" t="s">
        <v>60</v>
      </c>
      <c r="B44" s="95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3">
      <c r="A45" s="94" t="s">
        <v>72</v>
      </c>
      <c r="B45" s="95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3">
      <c r="A46" s="94" t="s">
        <v>64</v>
      </c>
      <c r="B46" s="95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3">
      <c r="A47" s="96"/>
      <c r="B47" s="96"/>
      <c r="C47" s="91" t="str">
        <f t="shared" ref="C47:AH47" si="2">IFERROR(IF(AND(C29="",D29="",B29&lt;&gt;"",C34&lt;&gt;""),"Not Autocalled Not KI Payoff",IF(AND(C29="",B29="",A29&lt;&gt;""),"Not Autocalled KI Payoff","")), "")</f>
        <v/>
      </c>
      <c r="D47" s="91" t="str">
        <f t="shared" si="2"/>
        <v/>
      </c>
      <c r="E47" s="91" t="str">
        <f t="shared" si="2"/>
        <v/>
      </c>
      <c r="F47" s="91" t="str">
        <f t="shared" si="2"/>
        <v/>
      </c>
      <c r="G47" s="91" t="str">
        <f t="shared" si="2"/>
        <v/>
      </c>
      <c r="H47" s="91" t="str">
        <f t="shared" si="2"/>
        <v/>
      </c>
      <c r="I47" s="91" t="str">
        <f t="shared" si="2"/>
        <v>Not Autocalled Not KI Payoff</v>
      </c>
      <c r="J47" s="91" t="str">
        <f t="shared" si="2"/>
        <v>Not Autocalled KI Payoff</v>
      </c>
      <c r="K47" s="91" t="str">
        <f t="shared" si="2"/>
        <v/>
      </c>
      <c r="L47" s="91" t="str">
        <f t="shared" si="2"/>
        <v/>
      </c>
      <c r="M47" s="91" t="str">
        <f t="shared" si="2"/>
        <v/>
      </c>
      <c r="N47" s="91" t="str">
        <f t="shared" si="2"/>
        <v/>
      </c>
      <c r="O47" s="91" t="str">
        <f t="shared" si="2"/>
        <v/>
      </c>
      <c r="P47" s="91" t="str">
        <f t="shared" si="2"/>
        <v/>
      </c>
      <c r="Q47" s="91" t="str">
        <f t="shared" si="2"/>
        <v/>
      </c>
      <c r="R47" s="91" t="str">
        <f t="shared" si="2"/>
        <v/>
      </c>
      <c r="S47" s="91" t="str">
        <f t="shared" si="2"/>
        <v/>
      </c>
      <c r="T47" s="91" t="str">
        <f t="shared" si="2"/>
        <v/>
      </c>
      <c r="U47" s="91" t="str">
        <f t="shared" si="2"/>
        <v/>
      </c>
      <c r="V47" s="91" t="str">
        <f t="shared" si="2"/>
        <v/>
      </c>
      <c r="W47" s="91" t="str">
        <f t="shared" si="2"/>
        <v/>
      </c>
      <c r="X47" s="91" t="str">
        <f t="shared" si="2"/>
        <v/>
      </c>
      <c r="Y47" s="91" t="str">
        <f t="shared" si="2"/>
        <v/>
      </c>
      <c r="Z47" s="91" t="str">
        <f t="shared" si="2"/>
        <v/>
      </c>
      <c r="AA47" s="91" t="str">
        <f t="shared" si="2"/>
        <v/>
      </c>
      <c r="AB47" s="91" t="str">
        <f t="shared" si="2"/>
        <v/>
      </c>
      <c r="AC47" s="91" t="str">
        <f t="shared" si="2"/>
        <v/>
      </c>
      <c r="AD47" s="91" t="str">
        <f t="shared" si="2"/>
        <v/>
      </c>
      <c r="AE47" s="91" t="str">
        <f t="shared" si="2"/>
        <v/>
      </c>
      <c r="AF47" s="91" t="str">
        <f t="shared" si="2"/>
        <v/>
      </c>
      <c r="AG47" s="91" t="str">
        <f t="shared" si="2"/>
        <v/>
      </c>
      <c r="AH47" s="91" t="str">
        <f t="shared" si="2"/>
        <v/>
      </c>
      <c r="AI47" s="91" t="str">
        <f t="shared" ref="AI47:BN47" si="3">IFERROR(IF(AND(AI29="",AJ29="",AH29&lt;&gt;"",AI34&lt;&gt;""),"Not Autocalled Not KI Payoff",IF(AND(AI29="",AH29="",AG29&lt;&gt;""),"Not Autocalled KI Payoff","")), "")</f>
        <v/>
      </c>
      <c r="AJ47" s="91" t="str">
        <f t="shared" si="3"/>
        <v/>
      </c>
      <c r="AK47" s="91" t="str">
        <f t="shared" si="3"/>
        <v/>
      </c>
      <c r="AL47" s="91" t="str">
        <f t="shared" si="3"/>
        <v/>
      </c>
      <c r="AM47" s="91" t="str">
        <f t="shared" si="3"/>
        <v/>
      </c>
      <c r="AN47" s="91" t="str">
        <f t="shared" si="3"/>
        <v/>
      </c>
      <c r="AO47" s="91" t="str">
        <f t="shared" si="3"/>
        <v/>
      </c>
      <c r="AP47" s="91" t="str">
        <f t="shared" si="3"/>
        <v/>
      </c>
      <c r="AQ47" s="91" t="str">
        <f t="shared" si="3"/>
        <v/>
      </c>
      <c r="AR47" s="91" t="str">
        <f t="shared" si="3"/>
        <v/>
      </c>
      <c r="AS47" s="91" t="str">
        <f t="shared" si="3"/>
        <v/>
      </c>
      <c r="AT47" s="91" t="str">
        <f t="shared" si="3"/>
        <v/>
      </c>
      <c r="AU47" s="91" t="str">
        <f t="shared" si="3"/>
        <v/>
      </c>
      <c r="AV47" s="91" t="str">
        <f t="shared" si="3"/>
        <v/>
      </c>
      <c r="AW47" s="91" t="str">
        <f t="shared" si="3"/>
        <v/>
      </c>
      <c r="AX47" s="91" t="str">
        <f t="shared" si="3"/>
        <v/>
      </c>
      <c r="AY47" s="91" t="str">
        <f t="shared" si="3"/>
        <v/>
      </c>
      <c r="AZ47" s="91" t="str">
        <f t="shared" si="3"/>
        <v/>
      </c>
      <c r="BA47" s="91" t="str">
        <f t="shared" si="3"/>
        <v/>
      </c>
      <c r="BB47" s="91" t="str">
        <f t="shared" si="3"/>
        <v/>
      </c>
      <c r="BC47" s="91" t="str">
        <f t="shared" si="3"/>
        <v/>
      </c>
      <c r="BD47" s="91" t="str">
        <f t="shared" si="3"/>
        <v/>
      </c>
      <c r="BE47" s="91" t="str">
        <f t="shared" si="3"/>
        <v/>
      </c>
      <c r="BF47" s="91" t="str">
        <f t="shared" si="3"/>
        <v/>
      </c>
      <c r="BG47" s="91" t="str">
        <f t="shared" si="3"/>
        <v/>
      </c>
      <c r="BH47" s="91" t="str">
        <f t="shared" si="3"/>
        <v/>
      </c>
      <c r="BI47" s="91" t="str">
        <f t="shared" si="3"/>
        <v/>
      </c>
      <c r="BJ47" s="91" t="str">
        <f t="shared" si="3"/>
        <v/>
      </c>
      <c r="BK47" s="91" t="str">
        <f t="shared" si="3"/>
        <v/>
      </c>
      <c r="BL47" s="91" t="str">
        <f t="shared" si="3"/>
        <v/>
      </c>
      <c r="BM47" s="91" t="str">
        <f t="shared" si="3"/>
        <v/>
      </c>
      <c r="BN47" s="91" t="str">
        <f t="shared" si="3"/>
        <v/>
      </c>
      <c r="BO47" s="91" t="str">
        <f t="shared" ref="BO47:CT47" si="4">IFERROR(IF(AND(BO29="",BP29="",BN29&lt;&gt;"",BO34&lt;&gt;""),"Not Autocalled Not KI Payoff",IF(AND(BO29="",BN29="",BM29&lt;&gt;""),"Not Autocalled KI Payoff","")), "")</f>
        <v/>
      </c>
      <c r="BP47" s="91" t="str">
        <f t="shared" si="4"/>
        <v/>
      </c>
      <c r="BQ47" s="91" t="str">
        <f t="shared" si="4"/>
        <v/>
      </c>
      <c r="BR47" s="91" t="str">
        <f t="shared" si="4"/>
        <v/>
      </c>
      <c r="BS47" s="91" t="str">
        <f t="shared" si="4"/>
        <v/>
      </c>
      <c r="BT47" s="91" t="str">
        <f t="shared" si="4"/>
        <v/>
      </c>
      <c r="BU47" s="91" t="str">
        <f t="shared" si="4"/>
        <v/>
      </c>
      <c r="BV47" s="91" t="str">
        <f t="shared" si="4"/>
        <v/>
      </c>
      <c r="BW47" s="91" t="str">
        <f t="shared" si="4"/>
        <v/>
      </c>
      <c r="BX47" s="91" t="str">
        <f t="shared" si="4"/>
        <v/>
      </c>
      <c r="BY47" s="91" t="str">
        <f t="shared" si="4"/>
        <v/>
      </c>
      <c r="BZ47" s="91" t="str">
        <f t="shared" si="4"/>
        <v/>
      </c>
      <c r="CA47" s="91" t="str">
        <f t="shared" si="4"/>
        <v/>
      </c>
      <c r="CB47" s="91" t="str">
        <f t="shared" si="4"/>
        <v/>
      </c>
      <c r="CC47" s="91" t="str">
        <f t="shared" si="4"/>
        <v/>
      </c>
      <c r="CD47" s="91" t="str">
        <f t="shared" si="4"/>
        <v/>
      </c>
      <c r="CE47" s="91" t="str">
        <f t="shared" si="4"/>
        <v/>
      </c>
      <c r="CF47" s="91" t="str">
        <f t="shared" si="4"/>
        <v/>
      </c>
      <c r="CG47" s="91" t="str">
        <f t="shared" si="4"/>
        <v/>
      </c>
      <c r="CH47" s="91" t="str">
        <f t="shared" si="4"/>
        <v/>
      </c>
      <c r="CI47" s="91" t="str">
        <f t="shared" si="4"/>
        <v/>
      </c>
      <c r="CJ47" s="91" t="str">
        <f t="shared" si="4"/>
        <v/>
      </c>
      <c r="CK47" s="91" t="str">
        <f t="shared" si="4"/>
        <v/>
      </c>
      <c r="CL47" s="91" t="str">
        <f t="shared" si="4"/>
        <v/>
      </c>
      <c r="CM47" s="91" t="str">
        <f t="shared" si="4"/>
        <v/>
      </c>
      <c r="CN47" s="91" t="str">
        <f t="shared" si="4"/>
        <v/>
      </c>
      <c r="CO47" s="91" t="str">
        <f t="shared" si="4"/>
        <v/>
      </c>
      <c r="CP47" s="91" t="str">
        <f t="shared" si="4"/>
        <v/>
      </c>
      <c r="CQ47" s="91" t="str">
        <f t="shared" si="4"/>
        <v/>
      </c>
      <c r="CR47" s="91" t="str">
        <f t="shared" si="4"/>
        <v/>
      </c>
      <c r="CS47" s="91" t="str">
        <f t="shared" si="4"/>
        <v/>
      </c>
      <c r="CT47" s="91" t="str">
        <f t="shared" si="4"/>
        <v/>
      </c>
      <c r="CU47" s="91" t="str">
        <f t="shared" ref="CU47:DF47" si="5">IFERROR(IF(AND(CU29="",CV29="",CT29&lt;&gt;"",CU34&lt;&gt;""),"Not Autocalled Not KI Payoff",IF(AND(CU29="",CT29="",CS29&lt;&gt;""),"Not Autocalled KI Payoff","")), "")</f>
        <v/>
      </c>
      <c r="CV47" s="91" t="str">
        <f t="shared" si="5"/>
        <v/>
      </c>
      <c r="CW47" s="91" t="str">
        <f t="shared" si="5"/>
        <v/>
      </c>
      <c r="CX47" s="91" t="str">
        <f t="shared" si="5"/>
        <v/>
      </c>
      <c r="CY47" s="91" t="str">
        <f t="shared" si="5"/>
        <v/>
      </c>
      <c r="CZ47" s="91" t="str">
        <f t="shared" si="5"/>
        <v/>
      </c>
      <c r="DA47" s="91" t="str">
        <f t="shared" si="5"/>
        <v/>
      </c>
      <c r="DB47" s="91" t="str">
        <f t="shared" si="5"/>
        <v/>
      </c>
      <c r="DC47" s="91" t="str">
        <f t="shared" si="5"/>
        <v/>
      </c>
      <c r="DD47" s="91" t="str">
        <f t="shared" si="5"/>
        <v/>
      </c>
      <c r="DE47" s="91" t="str">
        <f t="shared" si="5"/>
        <v/>
      </c>
      <c r="DF47" s="91" t="str">
        <f t="shared" si="5"/>
        <v/>
      </c>
      <c r="DG47" s="91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3">
      <c r="A48" s="96"/>
      <c r="B48" s="96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1"/>
      <c r="BN48" s="91"/>
      <c r="BO48" s="91"/>
      <c r="BP48" s="91"/>
      <c r="BQ48" s="91"/>
      <c r="BR48" s="91"/>
      <c r="BS48" s="91"/>
      <c r="BT48" s="91"/>
      <c r="BU48" s="91"/>
      <c r="BV48" s="91"/>
      <c r="BW48" s="91"/>
      <c r="BX48" s="91"/>
      <c r="BY48" s="91"/>
      <c r="BZ48" s="91"/>
      <c r="CA48" s="91"/>
      <c r="CB48" s="91"/>
      <c r="CC48" s="91"/>
      <c r="CD48" s="91"/>
      <c r="CE48" s="91"/>
      <c r="CF48" s="91"/>
      <c r="CG48" s="91"/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</row>
    <row r="49" spans="1:108" s="29" customFormat="1" ht="21" hidden="1" customHeight="1" x14ac:dyDescent="0.3">
      <c r="A49" s="96"/>
      <c r="B49" s="9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3">
      <c r="A50" s="96"/>
      <c r="B50" s="9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3">
      <c r="A51" s="132" t="s">
        <v>46</v>
      </c>
      <c r="B51" s="132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3">
      <c r="A52" s="97" t="s">
        <v>47</v>
      </c>
      <c r="B52" s="98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3">
      <c r="A53" s="132" t="s">
        <v>44</v>
      </c>
      <c r="B53" s="132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3">
      <c r="A54" s="132" t="s">
        <v>45</v>
      </c>
      <c r="B54" s="132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3">
      <c r="A55" s="132" t="s">
        <v>50</v>
      </c>
      <c r="B55" s="132"/>
      <c r="C55" s="36">
        <v>0.05</v>
      </c>
    </row>
    <row r="56" spans="1:108" s="40" customFormat="1" ht="21" customHeight="1" x14ac:dyDescent="0.3">
      <c r="A56" s="132" t="s">
        <v>52</v>
      </c>
      <c r="B56" s="132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3">
      <c r="A57" s="96"/>
      <c r="B57" s="9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3">
      <c r="A58" s="96"/>
      <c r="B58" s="9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3">
      <c r="A59" s="96"/>
      <c r="B59" s="9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3">
      <c r="A60" s="96"/>
      <c r="B60" s="9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3">
      <c r="A61" s="96"/>
      <c r="B61" s="9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3">
      <c r="A62" s="120" t="s">
        <v>22</v>
      </c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J62" s="138" t="s">
        <v>71</v>
      </c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</row>
    <row r="63" spans="1:108" s="4" customFormat="1" ht="21" customHeight="1" x14ac:dyDescent="0.3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</row>
    <row r="64" spans="1:108" s="4" customFormat="1" ht="21" customHeight="1" x14ac:dyDescent="0.3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</row>
    <row r="65" spans="1:68" s="4" customFormat="1" ht="21" customHeight="1" x14ac:dyDescent="0.3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68" s="4" customFormat="1" ht="21" customHeight="1" x14ac:dyDescent="0.3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</row>
    <row r="67" spans="1:68" s="4" customFormat="1" ht="21" customHeight="1" x14ac:dyDescent="0.3">
      <c r="A67" s="133" t="s">
        <v>74</v>
      </c>
      <c r="B67" s="133"/>
      <c r="C67" s="133"/>
      <c r="D67" s="133"/>
      <c r="E67" s="133"/>
      <c r="F67" s="133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4" t="s">
        <v>68</v>
      </c>
      <c r="Q67" s="95"/>
      <c r="R67" s="38">
        <v>0</v>
      </c>
    </row>
    <row r="68" spans="1:68" s="4" customFormat="1" ht="21" customHeight="1" x14ac:dyDescent="0.3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34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134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F68" s="134" t="s">
        <v>29</v>
      </c>
      <c r="BG68" s="77" t="s">
        <v>66</v>
      </c>
      <c r="BH68" s="78"/>
      <c r="BI68" s="78"/>
      <c r="BJ68" s="78"/>
      <c r="BK68" s="78"/>
      <c r="BL68" s="78"/>
      <c r="BM68" s="78"/>
      <c r="BN68" s="78"/>
      <c r="BO68" s="78"/>
      <c r="BP68" s="78"/>
    </row>
    <row r="69" spans="1:68" s="4" customFormat="1" ht="21" customHeight="1" x14ac:dyDescent="0.3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35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35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F69" s="135"/>
      <c r="BG69" s="45">
        <v>0.33333333333333331</v>
      </c>
      <c r="BH69" s="45">
        <v>0.66666666666666663</v>
      </c>
      <c r="BI69" s="45">
        <v>1</v>
      </c>
      <c r="BJ69" s="45">
        <v>1.3333333333333333</v>
      </c>
      <c r="BK69" s="45">
        <v>1.6666666666666665</v>
      </c>
      <c r="BL69" s="45">
        <v>1.9999999999999998</v>
      </c>
      <c r="BM69" s="45">
        <v>2.333333333333333</v>
      </c>
      <c r="BN69" s="45">
        <v>2.6666666666666665</v>
      </c>
      <c r="BO69" s="45">
        <v>3</v>
      </c>
      <c r="BP69" s="45">
        <v>3.3333333333333335</v>
      </c>
    </row>
    <row r="70" spans="1:68" ht="21" customHeight="1" x14ac:dyDescent="0.2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46">
        <v>0.49231178412238674</v>
      </c>
      <c r="AL70" s="46">
        <v>0.5133353773952265</v>
      </c>
      <c r="AM70" s="46">
        <v>0.44746223041656713</v>
      </c>
      <c r="AN70" s="46">
        <v>0.311001438112323</v>
      </c>
      <c r="AO70" s="46">
        <v>0.28912180415247146</v>
      </c>
      <c r="AP70" s="46">
        <v>0.28475053260926719</v>
      </c>
      <c r="AQ70" s="46">
        <v>0.25672676707248565</v>
      </c>
      <c r="AR70" s="46">
        <v>0.20408637359703938</v>
      </c>
      <c r="AS70" s="46">
        <v>0.2145438396992479</v>
      </c>
      <c r="AT70" s="46">
        <v>0.24543082075401682</v>
      </c>
      <c r="AU70" s="46"/>
      <c r="AV70" s="46"/>
      <c r="AW70" s="46"/>
      <c r="AX70" s="46"/>
      <c r="AY70" s="46"/>
      <c r="AZ70" s="46"/>
      <c r="BA70" s="46"/>
      <c r="BB70" s="46"/>
      <c r="BF70" s="45">
        <v>0.5</v>
      </c>
      <c r="BG70" s="46">
        <v>0.39953</v>
      </c>
      <c r="BH70" s="46">
        <v>0.35431000000000001</v>
      </c>
      <c r="BI70" s="46">
        <v>0.34103</v>
      </c>
      <c r="BJ70" s="46">
        <v>0.31208000000000002</v>
      </c>
      <c r="BK70" s="46">
        <v>0.29199999999999998</v>
      </c>
      <c r="BL70" s="46">
        <v>0.27834999999999999</v>
      </c>
      <c r="BM70" s="46">
        <v>0.26856000000000002</v>
      </c>
      <c r="BN70" s="46">
        <v>0.25846999999999998</v>
      </c>
      <c r="BO70" s="46">
        <v>0.2477</v>
      </c>
      <c r="BP70" s="46">
        <v>0.24334</v>
      </c>
    </row>
    <row r="71" spans="1:68" ht="21" customHeight="1" x14ac:dyDescent="0.25">
      <c r="A71" s="136" t="s">
        <v>31</v>
      </c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46">
        <v>0.47537723336268195</v>
      </c>
      <c r="AL71" s="46">
        <v>0.46217560674740032</v>
      </c>
      <c r="AM71" s="46">
        <v>0.44279671498114703</v>
      </c>
      <c r="AN71" s="46">
        <v>0.28050998570730812</v>
      </c>
      <c r="AO71" s="46">
        <v>0.2473038911185903</v>
      </c>
      <c r="AP71" s="46">
        <v>0.24617314251492547</v>
      </c>
      <c r="AQ71" s="46">
        <v>0.23839727963236046</v>
      </c>
      <c r="AR71" s="46">
        <v>0.19804503566789136</v>
      </c>
      <c r="AS71" s="46">
        <v>0.19694852236706353</v>
      </c>
      <c r="AT71" s="46">
        <v>0.22098896962941975</v>
      </c>
      <c r="AU71" s="46"/>
      <c r="AV71" s="46"/>
      <c r="AW71" s="46"/>
      <c r="AX71" s="46"/>
      <c r="AY71" s="46"/>
      <c r="AZ71" s="46"/>
      <c r="BA71" s="46"/>
      <c r="BB71" s="46"/>
      <c r="BF71" s="45">
        <v>0.6</v>
      </c>
      <c r="BG71" s="46">
        <v>0.35871999999999998</v>
      </c>
      <c r="BH71" s="46">
        <v>0.30496000000000001</v>
      </c>
      <c r="BI71" s="46">
        <v>0.29508000000000001</v>
      </c>
      <c r="BJ71" s="46">
        <v>0.26927000000000001</v>
      </c>
      <c r="BK71" s="46">
        <v>0.25139</v>
      </c>
      <c r="BL71" s="46">
        <v>0.23854</v>
      </c>
      <c r="BM71" s="46">
        <v>0.23055</v>
      </c>
      <c r="BN71" s="46">
        <v>0.22373000000000001</v>
      </c>
      <c r="BO71" s="46">
        <v>0.21529999999999999</v>
      </c>
      <c r="BP71" s="46">
        <v>0.21249999999999999</v>
      </c>
    </row>
    <row r="72" spans="1:68" s="4" customFormat="1" ht="21" customHeight="1" x14ac:dyDescent="0.25">
      <c r="A72" s="136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46">
        <v>0.40165152946888144</v>
      </c>
      <c r="AL72" s="46">
        <v>0.35154843780077411</v>
      </c>
      <c r="AM72" s="46">
        <v>0.29867146263278127</v>
      </c>
      <c r="AN72" s="46">
        <v>0.22910778359969644</v>
      </c>
      <c r="AO72" s="46">
        <v>0.20013776255230789</v>
      </c>
      <c r="AP72" s="46">
        <v>0.19487605093774735</v>
      </c>
      <c r="AQ72" s="46">
        <v>0.198651927540583</v>
      </c>
      <c r="AR72" s="46">
        <v>0.18258472497552972</v>
      </c>
      <c r="AS72" s="46">
        <v>0.18479019293025117</v>
      </c>
      <c r="AT72" s="46">
        <v>0.19446153037616201</v>
      </c>
      <c r="AU72" s="46"/>
      <c r="AV72" s="46"/>
      <c r="AW72" s="46"/>
      <c r="AX72" s="46"/>
      <c r="AY72" s="46"/>
      <c r="AZ72" s="46"/>
      <c r="BA72" s="46"/>
      <c r="BB72" s="46"/>
      <c r="BF72" s="45">
        <v>0.7</v>
      </c>
      <c r="BG72" s="46">
        <v>0.29748999999999998</v>
      </c>
      <c r="BH72" s="46">
        <v>0.25945000000000001</v>
      </c>
      <c r="BI72" s="46">
        <v>0.24746000000000001</v>
      </c>
      <c r="BJ72" s="46">
        <v>0.23002</v>
      </c>
      <c r="BK72" s="46">
        <v>0.21759000000000001</v>
      </c>
      <c r="BL72" s="46">
        <v>0.20727000000000001</v>
      </c>
      <c r="BM72" s="46">
        <v>0.20204</v>
      </c>
      <c r="BN72" s="46">
        <v>0.19833000000000001</v>
      </c>
      <c r="BO72" s="46">
        <v>0.19361999999999999</v>
      </c>
      <c r="BP72" s="46">
        <v>0.19223999999999999</v>
      </c>
    </row>
    <row r="73" spans="1:68" s="4" customFormat="1" ht="21" customHeight="1" x14ac:dyDescent="0.25">
      <c r="A73" s="131" t="s">
        <v>32</v>
      </c>
      <c r="B73" s="131"/>
      <c r="C73" s="131" t="s">
        <v>33</v>
      </c>
      <c r="D73" s="131"/>
      <c r="E73" s="131" t="s">
        <v>34</v>
      </c>
      <c r="F73" s="131"/>
      <c r="G73" s="131" t="s">
        <v>35</v>
      </c>
      <c r="H73" s="131"/>
      <c r="I73" s="131" t="s">
        <v>65</v>
      </c>
      <c r="J73" s="131"/>
      <c r="K73" s="131" t="s">
        <v>67</v>
      </c>
      <c r="L73" s="131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46">
        <v>0.31892707349218913</v>
      </c>
      <c r="AL73" s="46">
        <v>0.27467933563350044</v>
      </c>
      <c r="AM73" s="46">
        <v>0.24592301539162167</v>
      </c>
      <c r="AN73" s="46">
        <v>0.20203645805783524</v>
      </c>
      <c r="AO73" s="46">
        <v>0.17696424047666545</v>
      </c>
      <c r="AP73" s="46">
        <v>0.17508300517743333</v>
      </c>
      <c r="AQ73" s="46">
        <v>0.18235928748032754</v>
      </c>
      <c r="AR73" s="46">
        <v>0.17162418395371989</v>
      </c>
      <c r="AS73" s="46">
        <v>0.17223128414526231</v>
      </c>
      <c r="AT73" s="46">
        <v>0.17899919893456401</v>
      </c>
      <c r="AU73" s="46"/>
      <c r="AV73" s="46"/>
      <c r="AW73" s="46"/>
      <c r="AX73" s="46"/>
      <c r="AY73" s="46"/>
      <c r="AZ73" s="46"/>
      <c r="BA73" s="46"/>
      <c r="BB73" s="46"/>
      <c r="BF73" s="45">
        <v>0.8</v>
      </c>
      <c r="BG73" s="46">
        <v>0.24129999999999999</v>
      </c>
      <c r="BH73" s="46">
        <v>0.21798999999999999</v>
      </c>
      <c r="BI73" s="46">
        <v>0.20821999999999999</v>
      </c>
      <c r="BJ73" s="46">
        <v>0.19789999999999999</v>
      </c>
      <c r="BK73" s="46">
        <v>0.19069</v>
      </c>
      <c r="BL73" s="46">
        <v>0.18398</v>
      </c>
      <c r="BM73" s="46">
        <v>0.18196000000000001</v>
      </c>
      <c r="BN73" s="46">
        <v>0.18073</v>
      </c>
      <c r="BO73" s="46">
        <v>0.17827999999999999</v>
      </c>
      <c r="BP73" s="46">
        <v>0.17832000000000001</v>
      </c>
    </row>
    <row r="74" spans="1:68" s="4" customFormat="1" ht="21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46">
        <v>0.22445962850995271</v>
      </c>
      <c r="AL74" s="46">
        <v>0.19400664243234719</v>
      </c>
      <c r="AM74" s="46">
        <v>0.17607024926191736</v>
      </c>
      <c r="AN74" s="46">
        <v>0.1750429039302577</v>
      </c>
      <c r="AO74" s="46">
        <v>0.1646040964665689</v>
      </c>
      <c r="AP74" s="46">
        <v>0.1650632509738103</v>
      </c>
      <c r="AQ74" s="46">
        <v>0.17312160235412583</v>
      </c>
      <c r="AR74" s="46">
        <v>0.16582618200273266</v>
      </c>
      <c r="AS74" s="46">
        <v>0.16808439285219501</v>
      </c>
      <c r="AT74" s="46">
        <v>0.17649883720215073</v>
      </c>
      <c r="AU74" s="46"/>
      <c r="AV74" s="46"/>
      <c r="AW74" s="46"/>
      <c r="AX74" s="46"/>
      <c r="AY74" s="46"/>
      <c r="AZ74" s="46"/>
      <c r="BA74" s="46"/>
      <c r="BB74" s="46"/>
      <c r="BF74" s="45">
        <v>0.9</v>
      </c>
      <c r="BG74" s="46">
        <v>0.18583</v>
      </c>
      <c r="BH74" s="46">
        <v>0.17757999999999999</v>
      </c>
      <c r="BI74" s="46">
        <v>0.17082</v>
      </c>
      <c r="BJ74" s="46">
        <v>0.16969000000000001</v>
      </c>
      <c r="BK74" s="46">
        <v>0.16891</v>
      </c>
      <c r="BL74" s="46">
        <v>0.16619</v>
      </c>
      <c r="BM74" s="46">
        <v>0.16711999999999999</v>
      </c>
      <c r="BN74" s="46">
        <v>0.16803000000000001</v>
      </c>
      <c r="BO74" s="46">
        <v>0.16741</v>
      </c>
      <c r="BP74" s="46">
        <v>0.16885</v>
      </c>
    </row>
    <row r="75" spans="1:68" s="4" customFormat="1" ht="21" customHeight="1" x14ac:dyDescent="0.2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46">
        <v>0.13871951619144068</v>
      </c>
      <c r="AL75" s="46">
        <v>0.13698068585950038</v>
      </c>
      <c r="AM75" s="46">
        <v>0.13727465720377122</v>
      </c>
      <c r="AN75" s="46">
        <v>0.14729392730897012</v>
      </c>
      <c r="AO75" s="46">
        <v>0.14749502676037629</v>
      </c>
      <c r="AP75" s="46">
        <v>0.15208528784433367</v>
      </c>
      <c r="AQ75" s="46">
        <v>0.16289567813124278</v>
      </c>
      <c r="AR75" s="46">
        <v>0.15947182654803954</v>
      </c>
      <c r="AS75" s="46">
        <v>0.16040251772803618</v>
      </c>
      <c r="AT75" s="46">
        <v>0.16859021489475592</v>
      </c>
      <c r="AU75" s="46"/>
      <c r="AV75" s="46"/>
      <c r="AW75" s="46"/>
      <c r="AX75" s="46"/>
      <c r="AY75" s="46"/>
      <c r="AZ75" s="46"/>
      <c r="BA75" s="46"/>
      <c r="BB75" s="46"/>
      <c r="BF75" s="45">
        <v>1</v>
      </c>
      <c r="BG75" s="46">
        <v>0.13402</v>
      </c>
      <c r="BH75" s="46">
        <v>0.14104</v>
      </c>
      <c r="BI75" s="46">
        <v>0.14266999999999999</v>
      </c>
      <c r="BJ75" s="46">
        <v>0.14749000000000001</v>
      </c>
      <c r="BK75" s="46">
        <v>0.15106</v>
      </c>
      <c r="BL75" s="46">
        <v>0.15182000000000001</v>
      </c>
      <c r="BM75" s="46">
        <v>0.15537000000000001</v>
      </c>
      <c r="BN75" s="46">
        <v>0.15823000000000001</v>
      </c>
      <c r="BO75" s="46">
        <v>0.15916</v>
      </c>
      <c r="BP75" s="46">
        <v>0.16161</v>
      </c>
    </row>
    <row r="76" spans="1:68" s="4" customFormat="1" ht="21" customHeight="1" x14ac:dyDescent="0.2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46">
        <v>0.10122083895722175</v>
      </c>
      <c r="AL76" s="46">
        <v>0.10954014881821618</v>
      </c>
      <c r="AM76" s="46">
        <v>0.12943461098076864</v>
      </c>
      <c r="AN76" s="46">
        <v>0.12920075984416585</v>
      </c>
      <c r="AO76" s="46">
        <v>0.13281154835972855</v>
      </c>
      <c r="AP76" s="46">
        <v>0.14424316208038665</v>
      </c>
      <c r="AQ76" s="46">
        <v>0.15313638664979518</v>
      </c>
      <c r="AR76" s="46">
        <v>0.15420378619193914</v>
      </c>
      <c r="AS76" s="46">
        <v>0.15740984059370877</v>
      </c>
      <c r="AT76" s="46">
        <v>0.15966899413820565</v>
      </c>
      <c r="AU76" s="46"/>
      <c r="AV76" s="46"/>
      <c r="AW76" s="46"/>
      <c r="AX76" s="46"/>
      <c r="AY76" s="46"/>
      <c r="AZ76" s="46"/>
      <c r="BA76" s="46"/>
      <c r="BB76" s="46"/>
      <c r="BF76" s="45">
        <v>1.1000000000000001</v>
      </c>
      <c r="BG76" s="46">
        <v>0.10327</v>
      </c>
      <c r="BH76" s="46">
        <v>0.11413</v>
      </c>
      <c r="BI76" s="46">
        <v>0.12809999999999999</v>
      </c>
      <c r="BJ76" s="46">
        <v>0.13346</v>
      </c>
      <c r="BK76" s="46">
        <v>0.13786000000000001</v>
      </c>
      <c r="BL76" s="46">
        <v>0.14172999999999999</v>
      </c>
      <c r="BM76" s="46">
        <v>0.14682000000000001</v>
      </c>
      <c r="BN76" s="46">
        <v>0.15109</v>
      </c>
      <c r="BO76" s="46">
        <v>0.15386</v>
      </c>
      <c r="BP76" s="46">
        <v>0.15673000000000001</v>
      </c>
    </row>
    <row r="77" spans="1:68" s="4" customFormat="1" ht="21" customHeight="1" x14ac:dyDescent="0.2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46">
        <v>0.12173466301173937</v>
      </c>
      <c r="AL77" s="46">
        <v>0.11936261142337294</v>
      </c>
      <c r="AM77" s="46">
        <v>0.12551684032270186</v>
      </c>
      <c r="AN77" s="46">
        <v>0.12558876189591339</v>
      </c>
      <c r="AO77" s="46">
        <v>0.13517450252813601</v>
      </c>
      <c r="AP77" s="46">
        <v>0.15057630879300182</v>
      </c>
      <c r="AQ77" s="46">
        <v>0.1593141479809472</v>
      </c>
      <c r="AR77" s="46">
        <v>0.16328314693658855</v>
      </c>
      <c r="AS77" s="46">
        <v>0.16664648327101406</v>
      </c>
      <c r="AT77" s="46">
        <v>0.16513299932708367</v>
      </c>
      <c r="AU77" s="46"/>
      <c r="AV77" s="46"/>
      <c r="AW77" s="46"/>
      <c r="AX77" s="46"/>
      <c r="AY77" s="46"/>
      <c r="AZ77" s="46"/>
      <c r="BA77" s="46"/>
      <c r="BB77" s="46"/>
      <c r="BF77" s="45">
        <v>1.2</v>
      </c>
      <c r="BG77" s="46">
        <v>0.10983999999999999</v>
      </c>
      <c r="BH77" s="46">
        <v>0.10829999999999999</v>
      </c>
      <c r="BI77" s="46">
        <v>0.12136</v>
      </c>
      <c r="BJ77" s="46">
        <v>0.12608</v>
      </c>
      <c r="BK77" s="46">
        <v>0.13128000000000001</v>
      </c>
      <c r="BL77" s="46">
        <v>0.13700000000000001</v>
      </c>
      <c r="BM77" s="46">
        <v>0.14288000000000001</v>
      </c>
      <c r="BN77" s="46">
        <v>0.14802000000000001</v>
      </c>
      <c r="BO77" s="46">
        <v>0.15206</v>
      </c>
      <c r="BP77" s="46">
        <v>0.15514</v>
      </c>
    </row>
    <row r="78" spans="1:68" ht="21" customHeight="1" x14ac:dyDescent="0.2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46">
        <v>0.13341688022859044</v>
      </c>
      <c r="AL78" s="46">
        <v>0.13316117762784241</v>
      </c>
      <c r="AM78" s="46">
        <v>0.11875328420767742</v>
      </c>
      <c r="AN78" s="46">
        <v>0.13376637528455135</v>
      </c>
      <c r="AO78" s="46">
        <v>0.14015177643373869</v>
      </c>
      <c r="AP78" s="46">
        <v>0.15012527980987647</v>
      </c>
      <c r="AQ78" s="46">
        <v>0.16389661012601037</v>
      </c>
      <c r="AR78" s="46">
        <v>0.17110042345912915</v>
      </c>
      <c r="AS78" s="46">
        <v>0.17456828706510569</v>
      </c>
      <c r="AT78" s="46">
        <v>0.17208517133033149</v>
      </c>
      <c r="AU78" s="46"/>
      <c r="AV78" s="46"/>
      <c r="AW78" s="46"/>
      <c r="AX78" s="46"/>
      <c r="AY78" s="46"/>
      <c r="AZ78" s="46"/>
      <c r="BA78" s="46"/>
      <c r="BB78" s="46"/>
      <c r="BF78" s="45">
        <v>1.3</v>
      </c>
      <c r="BG78" s="46">
        <v>0.11482000000000001</v>
      </c>
      <c r="BH78" s="46">
        <v>0.1139</v>
      </c>
      <c r="BI78" s="46">
        <v>0.11792999999999999</v>
      </c>
      <c r="BJ78" s="46">
        <v>0.12475</v>
      </c>
      <c r="BK78" s="46">
        <v>0.13103000000000001</v>
      </c>
      <c r="BL78" s="46">
        <v>0.13549</v>
      </c>
      <c r="BM78" s="46">
        <v>0.14180000000000001</v>
      </c>
      <c r="BN78" s="46">
        <v>0.14774999999999999</v>
      </c>
      <c r="BO78" s="46">
        <v>0.15260000000000001</v>
      </c>
      <c r="BP78" s="46">
        <v>0.15597</v>
      </c>
    </row>
    <row r="79" spans="1:68" ht="21" customHeight="1" x14ac:dyDescent="0.2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</row>
    <row r="80" spans="1:68" s="4" customFormat="1" ht="21" customHeight="1" x14ac:dyDescent="0.2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</row>
    <row r="81" spans="1:54" ht="21" customHeight="1" x14ac:dyDescent="0.2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</row>
    <row r="82" spans="1:54" s="4" customFormat="1" ht="21" customHeight="1" x14ac:dyDescent="0.2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</row>
    <row r="83" spans="1:54" s="4" customFormat="1" ht="21" customHeight="1" x14ac:dyDescent="0.2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</row>
    <row r="84" spans="1:54" s="4" customFormat="1" ht="21" customHeight="1" x14ac:dyDescent="0.2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</row>
    <row r="85" spans="1:54" s="4" customFormat="1" ht="21" customHeight="1" x14ac:dyDescent="0.2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</row>
    <row r="86" spans="1:54" s="4" customFormat="1" ht="21" customHeight="1" x14ac:dyDescent="0.2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</row>
    <row r="87" spans="1:54" s="4" customFormat="1" ht="21" customHeight="1" x14ac:dyDescent="0.2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</row>
    <row r="88" spans="1:54" s="4" customFormat="1" ht="21" customHeight="1" x14ac:dyDescent="0.2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</row>
    <row r="89" spans="1:54" s="4" customFormat="1" ht="21" customHeight="1" x14ac:dyDescent="0.2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</row>
    <row r="90" spans="1:54" s="4" customFormat="1" ht="21" customHeight="1" x14ac:dyDescent="0.2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</row>
    <row r="91" spans="1:54" s="4" customFormat="1" ht="21" customHeight="1" x14ac:dyDescent="0.2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</row>
    <row r="92" spans="1:54" s="4" customFormat="1" ht="21" customHeight="1" x14ac:dyDescent="0.2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</row>
    <row r="93" spans="1:54" s="4" customFormat="1" ht="21" customHeight="1" x14ac:dyDescent="0.2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</row>
    <row r="94" spans="1:54" s="4" customFormat="1" ht="21" customHeight="1" x14ac:dyDescent="0.3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54" s="4" customFormat="1" ht="21" customHeight="1" x14ac:dyDescent="0.3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</row>
    <row r="96" spans="1:54" s="4" customFormat="1" ht="21" customHeight="1" x14ac:dyDescent="0.3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</row>
    <row r="97" spans="1:60" s="4" customFormat="1" ht="21" customHeight="1" x14ac:dyDescent="0.3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4" t="s">
        <v>68</v>
      </c>
      <c r="Q97" s="95"/>
      <c r="R97" s="38">
        <v>0</v>
      </c>
    </row>
    <row r="98" spans="1:60" s="4" customFormat="1" ht="21" customHeight="1" x14ac:dyDescent="0.3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134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134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E98" s="134" t="s">
        <v>29</v>
      </c>
      <c r="BF98" s="77" t="s">
        <v>66</v>
      </c>
      <c r="BG98" s="78"/>
      <c r="BH98" s="78"/>
    </row>
    <row r="99" spans="1:60" s="4" customFormat="1" ht="21" customHeight="1" x14ac:dyDescent="0.3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135"/>
      <c r="Q99" s="45">
        <v>1</v>
      </c>
      <c r="R99" s="45">
        <v>1.5</v>
      </c>
      <c r="S99" s="45">
        <v>2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35"/>
      <c r="AK99" s="45">
        <v>1</v>
      </c>
      <c r="AL99" s="45">
        <v>1.5</v>
      </c>
      <c r="AM99" s="45">
        <v>2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E99" s="135"/>
      <c r="BF99" s="45">
        <v>1</v>
      </c>
      <c r="BG99" s="45">
        <v>1.5</v>
      </c>
      <c r="BH99" s="45">
        <v>2</v>
      </c>
    </row>
    <row r="100" spans="1:60" s="4" customFormat="1" ht="21" customHeight="1" x14ac:dyDescent="0.2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0.23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46">
        <v>0.30300991421029577</v>
      </c>
      <c r="AL100" s="46">
        <v>0.20199719316095502</v>
      </c>
      <c r="AM100" s="46">
        <v>0.15154771922906493</v>
      </c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E100" s="45">
        <v>0.9</v>
      </c>
      <c r="BF100" s="46">
        <v>0.23</v>
      </c>
      <c r="BG100" s="46">
        <v>0.24</v>
      </c>
      <c r="BH100" s="46">
        <v>0.245</v>
      </c>
    </row>
    <row r="101" spans="1:60" s="4" customFormat="1" ht="21" customHeight="1" x14ac:dyDescent="0.2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46">
        <v>0.16983058399777418</v>
      </c>
      <c r="AL101" s="46">
        <v>0.109667227766481</v>
      </c>
      <c r="AM101" s="46">
        <v>8.3459874426927913E-2</v>
      </c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E101" s="45">
        <v>1</v>
      </c>
      <c r="BF101" s="46">
        <v>0.22</v>
      </c>
      <c r="BG101" s="46">
        <v>0.2</v>
      </c>
      <c r="BH101" s="46">
        <v>0.19</v>
      </c>
    </row>
    <row r="102" spans="1:60" s="4" customFormat="1" ht="21" customHeight="1" x14ac:dyDescent="0.2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M102" s="1"/>
      <c r="N102" s="1"/>
      <c r="O102" s="1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46">
        <v>0.1318808406902699</v>
      </c>
      <c r="AL102" s="46">
        <v>0.17776497391319881</v>
      </c>
      <c r="AM102" s="46">
        <v>0.35908061426877924</v>
      </c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E102" s="45">
        <v>1.1000000000000001</v>
      </c>
      <c r="BF102" s="46">
        <v>0.2</v>
      </c>
      <c r="BG102" s="46">
        <v>0.19</v>
      </c>
      <c r="BH102" s="46">
        <v>0.19500000000000001</v>
      </c>
    </row>
    <row r="103" spans="1:60" s="4" customFormat="1" ht="21" customHeight="1" x14ac:dyDescent="0.2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M103" s="1"/>
      <c r="N103" s="1"/>
      <c r="O103" s="1"/>
      <c r="P103" s="45">
        <v>1.2</v>
      </c>
      <c r="Q103" s="46">
        <v>0.2</v>
      </c>
      <c r="R103" s="46">
        <v>0.18</v>
      </c>
      <c r="S103" s="46">
        <v>0.185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46">
        <v>0.10679102506334671</v>
      </c>
      <c r="AL103" s="46">
        <v>0.14819570562078835</v>
      </c>
      <c r="AM103" s="46">
        <v>0.26232450091990134</v>
      </c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E103" s="45">
        <v>1.2</v>
      </c>
      <c r="BF103" s="46">
        <v>0.2</v>
      </c>
      <c r="BG103" s="46">
        <v>0.18</v>
      </c>
      <c r="BH103" s="46">
        <v>0.185</v>
      </c>
    </row>
    <row r="104" spans="1:60" s="4" customFormat="1" ht="21" customHeight="1" x14ac:dyDescent="0.2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M104" s="1"/>
      <c r="N104" s="1"/>
      <c r="O104" s="1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</row>
    <row r="105" spans="1:60" s="4" customFormat="1" ht="21" customHeight="1" x14ac:dyDescent="0.2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</row>
    <row r="106" spans="1:60" s="4" customFormat="1" ht="21" customHeight="1" x14ac:dyDescent="0.2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</row>
    <row r="107" spans="1:60" s="4" customFormat="1" ht="21" customHeight="1" x14ac:dyDescent="0.2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</row>
    <row r="108" spans="1:60" s="4" customFormat="1" ht="21" customHeight="1" x14ac:dyDescent="0.2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</row>
    <row r="109" spans="1:60" s="4" customFormat="1" ht="21" customHeight="1" x14ac:dyDescent="0.2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</row>
    <row r="110" spans="1:60" s="4" customFormat="1" ht="21" customHeight="1" x14ac:dyDescent="0.2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</row>
    <row r="111" spans="1:60" s="4" customFormat="1" ht="21" customHeight="1" x14ac:dyDescent="0.2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</row>
    <row r="112" spans="1:60" s="4" customFormat="1" ht="21" customHeight="1" x14ac:dyDescent="0.2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</row>
    <row r="113" spans="1:61" s="4" customFormat="1" ht="21" customHeight="1" x14ac:dyDescent="0.2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</row>
    <row r="114" spans="1:61" s="4" customFormat="1" ht="21" customHeight="1" x14ac:dyDescent="0.2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</row>
    <row r="115" spans="1:61" s="4" customFormat="1" ht="21" customHeight="1" x14ac:dyDescent="0.2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</row>
    <row r="116" spans="1:61" s="4" customFormat="1" ht="21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</row>
    <row r="117" spans="1:61" ht="21" customHeight="1" x14ac:dyDescent="0.25">
      <c r="A117" s="136" t="s">
        <v>38</v>
      </c>
      <c r="B117" s="136"/>
      <c r="C117" s="136"/>
      <c r="D117" s="136"/>
      <c r="E117" s="136"/>
      <c r="F117" s="136"/>
      <c r="G117" s="136"/>
      <c r="H117" s="136"/>
      <c r="I117" s="136"/>
      <c r="J117" s="136"/>
      <c r="K117" s="136"/>
      <c r="L117" s="136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</row>
    <row r="118" spans="1:61" ht="21" customHeight="1" x14ac:dyDescent="0.25">
      <c r="A118" s="136"/>
      <c r="B118" s="136"/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</row>
    <row r="119" spans="1:61" ht="21" customHeight="1" x14ac:dyDescent="0.25">
      <c r="A119" s="131" t="s">
        <v>8</v>
      </c>
      <c r="B119" s="131"/>
      <c r="C119" s="131" t="s">
        <v>26</v>
      </c>
      <c r="D119" s="131"/>
      <c r="E119" s="131" t="s">
        <v>27</v>
      </c>
      <c r="F119" s="131"/>
      <c r="G119" s="131" t="s">
        <v>48</v>
      </c>
      <c r="H119" s="131"/>
      <c r="I119" s="131" t="s">
        <v>49</v>
      </c>
      <c r="J119" s="131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</row>
    <row r="120" spans="1:61" ht="21" customHeight="1" x14ac:dyDescent="0.2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</row>
    <row r="121" spans="1:61" ht="21" customHeight="1" x14ac:dyDescent="0.2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</row>
    <row r="122" spans="1:61" ht="21" customHeight="1" x14ac:dyDescent="0.2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</row>
    <row r="123" spans="1:61" ht="21" customHeight="1" x14ac:dyDescent="0.25">
      <c r="A123" s="45">
        <v>1</v>
      </c>
      <c r="B123" s="47">
        <v>3.7109999999999997E-2</v>
      </c>
      <c r="C123" s="45">
        <v>1</v>
      </c>
      <c r="D123" s="47">
        <v>3.4189999999999998E-2</v>
      </c>
      <c r="E123" s="45">
        <v>1</v>
      </c>
      <c r="F123" s="47">
        <v>3.1099999999999999E-2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</row>
    <row r="124" spans="1:61" ht="21" customHeight="1" x14ac:dyDescent="0.25">
      <c r="A124" s="45">
        <v>2</v>
      </c>
      <c r="B124" s="47">
        <v>3.7199999999999997E-2</v>
      </c>
      <c r="C124" s="45">
        <v>2</v>
      </c>
      <c r="D124" s="47">
        <v>3.4299999999999997E-2</v>
      </c>
      <c r="E124" s="45">
        <v>2</v>
      </c>
      <c r="F124" s="47">
        <v>3.1099999999999999E-2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61" ht="21" customHeight="1" x14ac:dyDescent="0.25">
      <c r="A125" s="45">
        <v>3</v>
      </c>
      <c r="B125" s="47">
        <v>3.73E-2</v>
      </c>
      <c r="C125" s="45"/>
      <c r="D125" s="47"/>
      <c r="E125" s="45">
        <v>3</v>
      </c>
      <c r="F125" s="47">
        <v>3.1099999999999999E-2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61" ht="21" customHeight="1" x14ac:dyDescent="0.2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61" ht="21" customHeight="1" x14ac:dyDescent="0.2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4" t="s">
        <v>68</v>
      </c>
      <c r="Q127" s="95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F127" s="134" t="s">
        <v>29</v>
      </c>
      <c r="BG127" s="77" t="s">
        <v>66</v>
      </c>
      <c r="BH127" s="78"/>
      <c r="BI127" s="78"/>
    </row>
    <row r="128" spans="1:61" ht="21" customHeight="1" x14ac:dyDescent="0.2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134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134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F128" s="135"/>
      <c r="BG128" s="45">
        <v>0.5</v>
      </c>
      <c r="BH128" s="45">
        <v>1</v>
      </c>
      <c r="BI128" s="45">
        <v>1.5</v>
      </c>
    </row>
    <row r="129" spans="1:61" ht="21" customHeight="1" x14ac:dyDescent="0.2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135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35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F129" s="45">
        <v>0.9</v>
      </c>
      <c r="BG129" s="46">
        <v>0.2</v>
      </c>
      <c r="BH129" s="46">
        <v>0.2</v>
      </c>
      <c r="BI129" s="46">
        <v>0.2</v>
      </c>
    </row>
    <row r="130" spans="1:61" ht="21" customHeight="1" x14ac:dyDescent="0.2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46">
        <v>0.2</v>
      </c>
      <c r="AL130" s="46">
        <v>0.2</v>
      </c>
      <c r="AM130" s="46">
        <v>0.2</v>
      </c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F130" s="45">
        <v>1</v>
      </c>
      <c r="BG130" s="46">
        <v>0.2</v>
      </c>
      <c r="BH130" s="46">
        <v>0.2</v>
      </c>
      <c r="BI130" s="46">
        <v>0.2</v>
      </c>
    </row>
    <row r="131" spans="1:61" ht="21" customHeight="1" x14ac:dyDescent="0.2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46">
        <v>0.2</v>
      </c>
      <c r="AL131" s="46">
        <v>0.2</v>
      </c>
      <c r="AM131" s="46">
        <v>0.2</v>
      </c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F131" s="45">
        <v>1.1000000000000001</v>
      </c>
      <c r="BG131" s="46">
        <v>0.2</v>
      </c>
      <c r="BH131" s="46">
        <v>0.2</v>
      </c>
      <c r="BI131" s="46">
        <v>0.2</v>
      </c>
    </row>
    <row r="132" spans="1:61" ht="21" customHeight="1" x14ac:dyDescent="0.2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46">
        <v>0.2</v>
      </c>
      <c r="AL132" s="46">
        <v>0.2</v>
      </c>
      <c r="AM132" s="46">
        <v>0.2</v>
      </c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</row>
    <row r="133" spans="1:61" ht="21" customHeight="1" x14ac:dyDescent="0.2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</row>
    <row r="134" spans="1:61" ht="21" customHeight="1" x14ac:dyDescent="0.2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</row>
    <row r="135" spans="1:61" ht="21" customHeight="1" x14ac:dyDescent="0.2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</row>
    <row r="136" spans="1:61" ht="21" customHeight="1" x14ac:dyDescent="0.2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</row>
    <row r="137" spans="1:61" ht="21" customHeight="1" x14ac:dyDescent="0.2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</row>
    <row r="138" spans="1:61" ht="21" customHeight="1" x14ac:dyDescent="0.2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</row>
    <row r="139" spans="1:61" ht="21" customHeight="1" x14ac:dyDescent="0.2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</row>
    <row r="140" spans="1:61" ht="21" customHeight="1" x14ac:dyDescent="0.2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</row>
    <row r="141" spans="1:61" ht="21" customHeight="1" x14ac:dyDescent="0.2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</row>
    <row r="142" spans="1:61" ht="21" customHeight="1" x14ac:dyDescent="0.2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</row>
    <row r="143" spans="1:61" ht="21" customHeight="1" x14ac:dyDescent="0.2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</row>
    <row r="144" spans="1:61" ht="21" customHeight="1" x14ac:dyDescent="0.2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</row>
    <row r="145" spans="1:54" ht="21" customHeight="1" x14ac:dyDescent="0.2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</row>
    <row r="146" spans="1:54" ht="21" customHeight="1" x14ac:dyDescent="0.2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</row>
    <row r="147" spans="1:54" ht="21" customHeight="1" x14ac:dyDescent="0.2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</row>
    <row r="148" spans="1:54" ht="21" customHeight="1" x14ac:dyDescent="0.2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</row>
    <row r="149" spans="1:54" ht="21" customHeight="1" x14ac:dyDescent="0.2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</row>
    <row r="150" spans="1:54" ht="21" customHeight="1" x14ac:dyDescent="0.2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</row>
    <row r="151" spans="1:54" ht="21" customHeight="1" x14ac:dyDescent="0.2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</row>
    <row r="152" spans="1:54" ht="21" customHeight="1" x14ac:dyDescent="0.2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</row>
    <row r="153" spans="1:54" ht="21" customHeight="1" x14ac:dyDescent="0.2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</row>
    <row r="154" spans="1:54" ht="21" customHeight="1" x14ac:dyDescent="0.3">
      <c r="A154" s="51"/>
      <c r="B154" s="52"/>
      <c r="C154" s="51"/>
      <c r="D154" s="52"/>
      <c r="E154" s="51"/>
      <c r="F154" s="52"/>
      <c r="G154" s="51"/>
      <c r="H154" s="52"/>
      <c r="I154" s="51"/>
      <c r="J154" s="52"/>
    </row>
    <row r="155" spans="1:54" ht="21" customHeight="1" x14ac:dyDescent="0.3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21" customHeight="1" x14ac:dyDescent="0.3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21" customHeight="1" x14ac:dyDescent="0.3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4" t="s">
        <v>68</v>
      </c>
      <c r="Q157" s="95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21" customHeight="1" x14ac:dyDescent="0.3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134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134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</row>
    <row r="159" spans="1:54" ht="21" customHeight="1" x14ac:dyDescent="0.3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135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3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ht="21" customHeight="1" x14ac:dyDescent="0.2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</row>
    <row r="161" spans="1:54" ht="21" customHeight="1" x14ac:dyDescent="0.2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</row>
    <row r="162" spans="1:54" ht="21" customHeight="1" x14ac:dyDescent="0.2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</row>
    <row r="163" spans="1:54" ht="21" customHeight="1" x14ac:dyDescent="0.2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</row>
    <row r="164" spans="1:54" ht="21" customHeight="1" x14ac:dyDescent="0.2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</row>
    <row r="165" spans="1:54" ht="21" customHeight="1" x14ac:dyDescent="0.25">
      <c r="A165" s="136" t="s">
        <v>40</v>
      </c>
      <c r="B165" s="136"/>
      <c r="C165" s="136"/>
      <c r="D165" s="136"/>
      <c r="E165" s="136"/>
      <c r="F165" s="136"/>
      <c r="G165" s="136"/>
      <c r="H165" s="136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</row>
    <row r="166" spans="1:54" ht="21" customHeight="1" x14ac:dyDescent="0.25">
      <c r="A166" s="136"/>
      <c r="B166" s="136"/>
      <c r="C166" s="136"/>
      <c r="D166" s="136"/>
      <c r="E166" s="136"/>
      <c r="F166" s="136"/>
      <c r="G166" s="136"/>
      <c r="H166" s="136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</row>
    <row r="167" spans="1:54" ht="21" customHeight="1" x14ac:dyDescent="0.2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</row>
    <row r="168" spans="1:54" ht="21" customHeight="1" x14ac:dyDescent="0.2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</row>
    <row r="169" spans="1:54" ht="21" customHeight="1" x14ac:dyDescent="0.25">
      <c r="A169" s="11" t="s">
        <v>42</v>
      </c>
      <c r="B169" s="55">
        <v>0</v>
      </c>
      <c r="C169" s="55">
        <v>0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</row>
    <row r="170" spans="1:54" ht="21" customHeight="1" x14ac:dyDescent="0.25">
      <c r="A170" s="137"/>
      <c r="B170" s="137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</row>
    <row r="171" spans="1:54" ht="21" customHeight="1" x14ac:dyDescent="0.25">
      <c r="A171" s="131" t="s">
        <v>8</v>
      </c>
      <c r="B171" s="131"/>
      <c r="C171" s="131" t="s">
        <v>26</v>
      </c>
      <c r="D171" s="131"/>
      <c r="E171" s="131" t="s">
        <v>27</v>
      </c>
      <c r="F171" s="131"/>
      <c r="G171" s="131" t="s">
        <v>48</v>
      </c>
      <c r="H171" s="131"/>
      <c r="I171" s="131" t="s">
        <v>49</v>
      </c>
      <c r="J171" s="131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</row>
    <row r="172" spans="1:54" ht="21" customHeight="1" x14ac:dyDescent="0.2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</row>
    <row r="173" spans="1:54" ht="21" customHeight="1" x14ac:dyDescent="0.2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</row>
    <row r="174" spans="1:54" ht="21" customHeight="1" x14ac:dyDescent="0.25">
      <c r="A174" s="45">
        <v>2.7777779999999998E-3</v>
      </c>
      <c r="B174" s="47">
        <v>0</v>
      </c>
      <c r="C174" s="45">
        <v>2.7777779999999998E-3</v>
      </c>
      <c r="D174" s="47">
        <v>0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</row>
    <row r="175" spans="1:54" ht="21" customHeight="1" x14ac:dyDescent="0.25">
      <c r="A175" s="45">
        <v>0.25</v>
      </c>
      <c r="B175" s="47">
        <v>0</v>
      </c>
      <c r="C175" s="45">
        <v>0.25</v>
      </c>
      <c r="D175" s="47">
        <v>0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</row>
    <row r="176" spans="1:54" ht="21" customHeight="1" x14ac:dyDescent="0.25">
      <c r="A176" s="45">
        <v>0.5</v>
      </c>
      <c r="B176" s="47">
        <v>0</v>
      </c>
      <c r="C176" s="45">
        <v>0.5</v>
      </c>
      <c r="D176" s="47">
        <v>0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</row>
    <row r="177" spans="1:54" ht="21" customHeight="1" x14ac:dyDescent="0.25">
      <c r="A177" s="45">
        <v>0.75</v>
      </c>
      <c r="B177" s="47">
        <v>0</v>
      </c>
      <c r="C177" s="45">
        <v>0.75</v>
      </c>
      <c r="D177" s="47">
        <v>0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</row>
    <row r="178" spans="1:54" ht="21" customHeight="1" x14ac:dyDescent="0.25">
      <c r="A178" s="45">
        <v>1</v>
      </c>
      <c r="B178" s="47">
        <v>0</v>
      </c>
      <c r="C178" s="45">
        <v>1</v>
      </c>
      <c r="D178" s="47">
        <v>0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</row>
    <row r="179" spans="1:54" ht="21" customHeight="1" x14ac:dyDescent="0.25">
      <c r="A179" s="45">
        <v>2</v>
      </c>
      <c r="B179" s="47">
        <v>0</v>
      </c>
      <c r="C179" s="45">
        <v>2</v>
      </c>
      <c r="D179" s="47">
        <v>0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</row>
    <row r="180" spans="1:54" ht="21" customHeight="1" x14ac:dyDescent="0.25">
      <c r="A180" s="45">
        <v>3</v>
      </c>
      <c r="B180" s="47">
        <v>0</v>
      </c>
      <c r="C180" s="45">
        <v>3</v>
      </c>
      <c r="D180" s="47">
        <v>0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</row>
    <row r="181" spans="1:54" ht="21" customHeight="1" x14ac:dyDescent="0.25">
      <c r="A181" s="45">
        <v>4</v>
      </c>
      <c r="B181" s="47">
        <v>0</v>
      </c>
      <c r="C181" s="45">
        <v>4</v>
      </c>
      <c r="D181" s="47">
        <v>0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</row>
    <row r="182" spans="1:54" ht="21" customHeight="1" x14ac:dyDescent="0.25">
      <c r="A182" s="45"/>
      <c r="B182" s="47"/>
      <c r="C182" s="45">
        <v>5</v>
      </c>
      <c r="D182" s="47">
        <v>0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</row>
    <row r="183" spans="1:54" ht="21" customHeight="1" x14ac:dyDescent="0.2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</row>
    <row r="184" spans="1:54" ht="21" customHeight="1" x14ac:dyDescent="0.2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54" ht="21" customHeight="1" x14ac:dyDescent="0.3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21" customHeight="1" x14ac:dyDescent="0.3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21" customHeight="1" x14ac:dyDescent="0.3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4" t="s">
        <v>68</v>
      </c>
      <c r="Q187" s="95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21" customHeight="1" x14ac:dyDescent="0.3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134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134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</row>
    <row r="189" spans="1:54" ht="21" customHeight="1" x14ac:dyDescent="0.2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135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3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ht="21" customHeight="1" x14ac:dyDescent="0.2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</row>
    <row r="191" spans="1:54" ht="21" customHeight="1" x14ac:dyDescent="0.2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</row>
    <row r="192" spans="1:54" ht="21" customHeight="1" x14ac:dyDescent="0.2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</row>
    <row r="193" spans="1:54" ht="21" customHeight="1" x14ac:dyDescent="0.2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</row>
    <row r="194" spans="1:54" ht="21" customHeight="1" x14ac:dyDescent="0.2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</row>
    <row r="195" spans="1:54" ht="21" customHeight="1" x14ac:dyDescent="0.2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</row>
    <row r="196" spans="1:54" ht="21" customHeight="1" x14ac:dyDescent="0.2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</row>
    <row r="197" spans="1:54" ht="21" customHeight="1" x14ac:dyDescent="0.2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</row>
    <row r="198" spans="1:54" ht="21" customHeight="1" x14ac:dyDescent="0.2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</row>
    <row r="199" spans="1:54" ht="21" customHeight="1" x14ac:dyDescent="0.2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</row>
    <row r="200" spans="1:54" ht="21" customHeight="1" x14ac:dyDescent="0.2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</row>
    <row r="201" spans="1:54" ht="21" customHeight="1" x14ac:dyDescent="0.2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</row>
    <row r="202" spans="1:54" ht="21" customHeight="1" x14ac:dyDescent="0.2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</row>
    <row r="203" spans="1:54" ht="21" customHeight="1" x14ac:dyDescent="0.2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</row>
    <row r="204" spans="1:54" ht="21" customHeight="1" x14ac:dyDescent="0.2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</row>
    <row r="205" spans="1:54" ht="21" customHeight="1" x14ac:dyDescent="0.2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</row>
    <row r="206" spans="1:54" ht="21" customHeight="1" x14ac:dyDescent="0.2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</row>
    <row r="207" spans="1:54" ht="21" customHeight="1" x14ac:dyDescent="0.2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</row>
    <row r="208" spans="1:54" ht="21" customHeight="1" x14ac:dyDescent="0.2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</row>
    <row r="209" spans="1:54" ht="21" customHeight="1" x14ac:dyDescent="0.2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</row>
    <row r="210" spans="1:54" ht="21" customHeight="1" x14ac:dyDescent="0.2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</row>
    <row r="211" spans="1:54" ht="21" customHeight="1" x14ac:dyDescent="0.2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</row>
    <row r="212" spans="1:54" ht="21" customHeight="1" x14ac:dyDescent="0.2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</row>
    <row r="213" spans="1:54" ht="21" customHeight="1" x14ac:dyDescent="0.2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</row>
    <row r="214" spans="1:54" ht="21" customHeight="1" x14ac:dyDescent="0.3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0">
    <mergeCell ref="BF68:BF69"/>
    <mergeCell ref="BE98:BE99"/>
    <mergeCell ref="BF127:BF128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P68:P69"/>
    <mergeCell ref="P67:Q67"/>
    <mergeCell ref="A62:AH62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BM47:BM48"/>
    <mergeCell ref="BN47:BN48"/>
    <mergeCell ref="BO47:BO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DC47:DC48"/>
    <mergeCell ref="A36:B36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DD47:DD48"/>
    <mergeCell ref="DE47:DE48"/>
    <mergeCell ref="DF47:DF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866775</xdr:colOff>
                    <xdr:row>2</xdr:row>
                    <xdr:rowOff>114300</xdr:rowOff>
                  </from>
                  <to>
                    <xdr:col>10</xdr:col>
                    <xdr:colOff>781050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2021-12-29T01:27:14Z</dcterms:created>
  <dcterms:modified xsi:type="dcterms:W3CDTF">2022-04-14T01:26:27Z</dcterms:modified>
</cp:coreProperties>
</file>