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limds1557\git_daesun5\ZeroCurveMaker\"/>
    </mc:Choice>
  </mc:AlternateContent>
  <bookViews>
    <workbookView xWindow="0" yWindow="0" windowWidth="23040" windowHeight="910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" i="1" l="1"/>
  <c r="K10" i="1"/>
  <c r="J10" i="1"/>
  <c r="I10" i="1"/>
  <c r="I9" i="1"/>
  <c r="F10" i="1"/>
  <c r="P10" i="1"/>
  <c r="N10" i="1"/>
  <c r="I8" i="1"/>
  <c r="D10" i="1"/>
  <c r="N8" i="1"/>
  <c r="D8" i="1"/>
  <c r="D6" i="1"/>
  <c r="N13" i="1"/>
  <c r="N12" i="1"/>
  <c r="X10" i="1" s="1"/>
  <c r="AF1" i="1" l="1"/>
  <c r="AE1" i="1"/>
  <c r="AD1" i="1"/>
  <c r="AC1" i="1"/>
  <c r="AB1" i="1"/>
  <c r="AA1" i="1"/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J11" i="1" l="1"/>
  <c r="N14" i="1" l="1"/>
  <c r="N15" i="1" s="1"/>
  <c r="N16" i="1" s="1"/>
  <c r="N17" i="1" s="1"/>
  <c r="N18" i="1" l="1"/>
  <c r="N19" i="1" s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N31" i="1" s="1"/>
  <c r="N32" i="1" s="1"/>
  <c r="N33" i="1" s="1"/>
  <c r="N34" i="1" s="1"/>
  <c r="N35" i="1" s="1"/>
  <c r="N36" i="1" s="1"/>
  <c r="N37" i="1" s="1"/>
  <c r="N38" i="1" s="1"/>
  <c r="N39" i="1" s="1"/>
  <c r="N40" i="1" s="1"/>
  <c r="N41" i="1" s="1"/>
  <c r="N42" i="1" s="1"/>
  <c r="N43" i="1" s="1"/>
  <c r="N44" i="1" s="1"/>
  <c r="N45" i="1" s="1"/>
  <c r="N46" i="1" s="1"/>
  <c r="N47" i="1" s="1"/>
  <c r="N48" i="1" s="1"/>
  <c r="N49" i="1" s="1"/>
  <c r="N50" i="1" s="1"/>
  <c r="N51" i="1" s="1"/>
  <c r="N52" i="1" s="1"/>
  <c r="N53" i="1" s="1"/>
  <c r="N54" i="1" s="1"/>
  <c r="N55" i="1" s="1"/>
  <c r="N56" i="1" s="1"/>
  <c r="N57" i="1" s="1"/>
  <c r="N58" i="1" s="1"/>
  <c r="N59" i="1" s="1"/>
  <c r="N60" i="1" s="1"/>
  <c r="N61" i="1" s="1"/>
  <c r="N62" i="1" s="1"/>
  <c r="N63" i="1" s="1"/>
  <c r="N64" i="1" s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N105" i="1" s="1"/>
  <c r="N106" i="1" s="1"/>
  <c r="N107" i="1" s="1"/>
  <c r="N108" i="1" s="1"/>
  <c r="N109" i="1" s="1"/>
  <c r="N110" i="1" s="1"/>
  <c r="N111" i="1" s="1"/>
  <c r="N112" i="1" s="1"/>
  <c r="N113" i="1" s="1"/>
  <c r="N114" i="1" s="1"/>
  <c r="N115" i="1" s="1"/>
  <c r="N116" i="1" s="1"/>
  <c r="N117" i="1" s="1"/>
  <c r="N118" i="1" s="1"/>
  <c r="N119" i="1" s="1"/>
  <c r="N120" i="1" s="1"/>
  <c r="N121" i="1" s="1"/>
  <c r="N122" i="1" s="1"/>
  <c r="N123" i="1" s="1"/>
  <c r="N124" i="1" s="1"/>
  <c r="N125" i="1" s="1"/>
  <c r="N126" i="1" s="1"/>
  <c r="N127" i="1" s="1"/>
  <c r="E12" i="1"/>
  <c r="W1" i="1" l="1"/>
  <c r="X1" i="1" s="1"/>
  <c r="Y1" i="1" s="1"/>
  <c r="Z1" i="1" s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7" i="1"/>
  <c r="T1" i="1" l="1"/>
  <c r="U1" i="1" s="1"/>
  <c r="V1" i="1" s="1"/>
  <c r="S1" i="1"/>
  <c r="R1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P9" i="1" l="1"/>
  <c r="K9" i="1"/>
  <c r="F9" i="1"/>
</calcChain>
</file>

<file path=xl/comments1.xml><?xml version="1.0" encoding="utf-8"?>
<comments xmlns="http://schemas.openxmlformats.org/spreadsheetml/2006/main">
  <authors>
    <author>DAESUN IM</author>
  </authors>
  <commentList>
    <comment ref="G5" authorId="0" shapeId="0">
      <text>
        <r>
          <rPr>
            <b/>
            <sz val="9"/>
            <color indexed="81"/>
            <rFont val="Tahoma"/>
            <family val="2"/>
          </rPr>
          <t>0: Swap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  <r>
          <rPr>
            <b/>
            <sz val="9"/>
            <color indexed="81"/>
            <rFont val="Tahoma"/>
            <family val="2"/>
          </rPr>
          <t>1: Bond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콜금리
</t>
        </r>
        <r>
          <rPr>
            <b/>
            <sz val="9"/>
            <color indexed="81"/>
            <rFont val="Tahoma"/>
            <family val="2"/>
          </rPr>
          <t>1: CD</t>
        </r>
        <r>
          <rPr>
            <b/>
            <sz val="9"/>
            <color indexed="81"/>
            <rFont val="돋움"/>
            <family val="3"/>
            <charset val="129"/>
          </rPr>
          <t>금리</t>
        </r>
      </text>
    </comment>
  </commentList>
</comments>
</file>

<file path=xl/sharedStrings.xml><?xml version="1.0" encoding="utf-8"?>
<sst xmlns="http://schemas.openxmlformats.org/spreadsheetml/2006/main" count="16" uniqueCount="13">
  <si>
    <t>연이자횟수</t>
    <phoneticPr fontId="1" type="noConversion"/>
  </si>
  <si>
    <t>개수</t>
    <phoneticPr fontId="1" type="noConversion"/>
  </si>
  <si>
    <t>개수</t>
    <phoneticPr fontId="1" type="noConversion"/>
  </si>
  <si>
    <t>평가일자</t>
    <phoneticPr fontId="1" type="noConversion"/>
  </si>
  <si>
    <t>만기</t>
    <phoneticPr fontId="1" type="noConversion"/>
  </si>
  <si>
    <t>1Y Convention</t>
    <phoneticPr fontId="1" type="noConversion"/>
  </si>
  <si>
    <t>스왑만기일</t>
    <phoneticPr fontId="1" type="noConversion"/>
  </si>
  <si>
    <t>Term</t>
    <phoneticPr fontId="1" type="noConversion"/>
  </si>
  <si>
    <t>스왑금리</t>
    <phoneticPr fontId="1" type="noConversion"/>
  </si>
  <si>
    <t>ResultZeroCurve</t>
    <phoneticPr fontId="1" type="noConversion"/>
  </si>
  <si>
    <t>ZeroRate</t>
    <phoneticPr fontId="1" type="noConversion"/>
  </si>
  <si>
    <t>Error</t>
    <phoneticPr fontId="1" type="noConversion"/>
  </si>
  <si>
    <t>MarketData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</si>
</sst>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);[Red]\(0.00\)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3" fillId="3" borderId="0" xfId="0" applyNumberFormat="1" applyFont="1" applyFill="1">
      <alignment vertical="center"/>
    </xf>
    <xf numFmtId="14" fontId="3" fillId="4" borderId="0" xfId="0" applyNumberFormat="1" applyFont="1" applyFill="1">
      <alignment vertical="center"/>
    </xf>
    <xf numFmtId="0" fontId="3" fillId="9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6" fontId="8" fillId="10" borderId="1" xfId="0" applyNumberFormat="1" applyFont="1" applyFill="1" applyBorder="1" applyAlignment="1">
      <alignment vertical="center"/>
    </xf>
    <xf numFmtId="0" fontId="0" fillId="11" borderId="0" xfId="0" applyFill="1">
      <alignment vertical="center"/>
    </xf>
    <xf numFmtId="0" fontId="2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49" fontId="9" fillId="7" borderId="0" xfId="0" applyNumberFormat="1" applyFont="1" applyFill="1" applyBorder="1" applyAlignment="1">
      <alignment horizontal="center" vertical="center" wrapText="1"/>
    </xf>
    <xf numFmtId="0" fontId="3" fillId="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ZeroRate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Sheet1!$T$11:$T$130</c:f>
              <c:numCache>
                <c:formatCode>General</c:formatCode>
                <c:ptCount val="120"/>
                <c:pt idx="0">
                  <c:v>2.7777777777777779E-3</c:v>
                </c:pt>
                <c:pt idx="1">
                  <c:v>0.25</c:v>
                </c:pt>
                <c:pt idx="2">
                  <c:v>0.5</c:v>
                </c:pt>
                <c:pt idx="3">
                  <c:v>1</c:v>
                </c:pt>
                <c:pt idx="4">
                  <c:v>1.2465753424657535</c:v>
                </c:pt>
                <c:pt idx="5">
                  <c:v>1.4986301369863013</c:v>
                </c:pt>
                <c:pt idx="6">
                  <c:v>1.7506849315068493</c:v>
                </c:pt>
                <c:pt idx="7">
                  <c:v>2</c:v>
                </c:pt>
                <c:pt idx="8">
                  <c:v>2.2493150684931509</c:v>
                </c:pt>
                <c:pt idx="9">
                  <c:v>2.5013698630136987</c:v>
                </c:pt>
                <c:pt idx="10">
                  <c:v>2.7534246575342465</c:v>
                </c:pt>
                <c:pt idx="11">
                  <c:v>3.0027397260273974</c:v>
                </c:pt>
                <c:pt idx="12">
                  <c:v>3.2493150684931509</c:v>
                </c:pt>
                <c:pt idx="13">
                  <c:v>3.5013698630136987</c:v>
                </c:pt>
                <c:pt idx="14">
                  <c:v>3.7534246575342465</c:v>
                </c:pt>
                <c:pt idx="15">
                  <c:v>4.0027397260273974</c:v>
                </c:pt>
                <c:pt idx="16">
                  <c:v>4.2493150684931509</c:v>
                </c:pt>
                <c:pt idx="17">
                  <c:v>4.4986301369863018</c:v>
                </c:pt>
                <c:pt idx="18">
                  <c:v>4.7534246575342465</c:v>
                </c:pt>
                <c:pt idx="19">
                  <c:v>5.0027397260273974</c:v>
                </c:pt>
                <c:pt idx="20">
                  <c:v>5.2493150684931509</c:v>
                </c:pt>
                <c:pt idx="21">
                  <c:v>5.4986301369863018</c:v>
                </c:pt>
                <c:pt idx="22">
                  <c:v>5.7534246575342465</c:v>
                </c:pt>
                <c:pt idx="23">
                  <c:v>6.0027397260273974</c:v>
                </c:pt>
                <c:pt idx="24">
                  <c:v>6.2520547945205482</c:v>
                </c:pt>
                <c:pt idx="25">
                  <c:v>6.5041095890410956</c:v>
                </c:pt>
                <c:pt idx="26">
                  <c:v>6.7561643835616438</c:v>
                </c:pt>
                <c:pt idx="27">
                  <c:v>7.0054794520547947</c:v>
                </c:pt>
                <c:pt idx="28">
                  <c:v>7.2520547945205482</c:v>
                </c:pt>
                <c:pt idx="29">
                  <c:v>7.5041095890410956</c:v>
                </c:pt>
                <c:pt idx="30">
                  <c:v>7.7561643835616438</c:v>
                </c:pt>
                <c:pt idx="31">
                  <c:v>8.0054794520547947</c:v>
                </c:pt>
                <c:pt idx="32">
                  <c:v>8.2520547945205482</c:v>
                </c:pt>
                <c:pt idx="33">
                  <c:v>8.5041095890410965</c:v>
                </c:pt>
                <c:pt idx="34">
                  <c:v>8.7534246575342465</c:v>
                </c:pt>
                <c:pt idx="35">
                  <c:v>9.0054794520547947</c:v>
                </c:pt>
                <c:pt idx="36">
                  <c:v>9.2520547945205482</c:v>
                </c:pt>
                <c:pt idx="37">
                  <c:v>9.5041095890410965</c:v>
                </c:pt>
                <c:pt idx="38">
                  <c:v>9.7534246575342465</c:v>
                </c:pt>
                <c:pt idx="39">
                  <c:v>10.005479452054795</c:v>
                </c:pt>
                <c:pt idx="40">
                  <c:v>10.254794520547945</c:v>
                </c:pt>
                <c:pt idx="41">
                  <c:v>10.506849315068493</c:v>
                </c:pt>
                <c:pt idx="42">
                  <c:v>10.758904109589041</c:v>
                </c:pt>
                <c:pt idx="43">
                  <c:v>11.008219178082191</c:v>
                </c:pt>
                <c:pt idx="44">
                  <c:v>11.254794520547945</c:v>
                </c:pt>
                <c:pt idx="45">
                  <c:v>11.506849315068493</c:v>
                </c:pt>
                <c:pt idx="46">
                  <c:v>11.758904109589041</c:v>
                </c:pt>
                <c:pt idx="47">
                  <c:v>12.008219178082191</c:v>
                </c:pt>
                <c:pt idx="48">
                  <c:v>12.254794520547945</c:v>
                </c:pt>
                <c:pt idx="49">
                  <c:v>12.506849315068493</c:v>
                </c:pt>
                <c:pt idx="50">
                  <c:v>12.758904109589041</c:v>
                </c:pt>
                <c:pt idx="51">
                  <c:v>13.008219178082191</c:v>
                </c:pt>
                <c:pt idx="52">
                  <c:v>13.254794520547945</c:v>
                </c:pt>
                <c:pt idx="53">
                  <c:v>13.506849315068493</c:v>
                </c:pt>
                <c:pt idx="54">
                  <c:v>13.758904109589041</c:v>
                </c:pt>
                <c:pt idx="55">
                  <c:v>14.008219178082191</c:v>
                </c:pt>
                <c:pt idx="56">
                  <c:v>14.257534246575343</c:v>
                </c:pt>
                <c:pt idx="57">
                  <c:v>14.509589041095891</c:v>
                </c:pt>
                <c:pt idx="58">
                  <c:v>14.761643835616438</c:v>
                </c:pt>
                <c:pt idx="59">
                  <c:v>15.010958904109589</c:v>
                </c:pt>
                <c:pt idx="60">
                  <c:v>15.257534246575343</c:v>
                </c:pt>
                <c:pt idx="61">
                  <c:v>15.509589041095891</c:v>
                </c:pt>
                <c:pt idx="62">
                  <c:v>15.761643835616438</c:v>
                </c:pt>
                <c:pt idx="63">
                  <c:v>16.010958904109589</c:v>
                </c:pt>
                <c:pt idx="64">
                  <c:v>16.257534246575343</c:v>
                </c:pt>
                <c:pt idx="65">
                  <c:v>16.509589041095889</c:v>
                </c:pt>
                <c:pt idx="66">
                  <c:v>16.761643835616439</c:v>
                </c:pt>
                <c:pt idx="67">
                  <c:v>17.010958904109589</c:v>
                </c:pt>
                <c:pt idx="68">
                  <c:v>17.257534246575343</c:v>
                </c:pt>
                <c:pt idx="69">
                  <c:v>17.509589041095889</c:v>
                </c:pt>
                <c:pt idx="70">
                  <c:v>17.761643835616439</c:v>
                </c:pt>
                <c:pt idx="71">
                  <c:v>18.010958904109589</c:v>
                </c:pt>
                <c:pt idx="72">
                  <c:v>18.260273972602739</c:v>
                </c:pt>
                <c:pt idx="73">
                  <c:v>18.509589041095889</c:v>
                </c:pt>
                <c:pt idx="74">
                  <c:v>18.764383561643836</c:v>
                </c:pt>
                <c:pt idx="75">
                  <c:v>19.013698630136986</c:v>
                </c:pt>
                <c:pt idx="76">
                  <c:v>19.260273972602739</c:v>
                </c:pt>
                <c:pt idx="77">
                  <c:v>19.509589041095889</c:v>
                </c:pt>
                <c:pt idx="78">
                  <c:v>19.764383561643836</c:v>
                </c:pt>
                <c:pt idx="79">
                  <c:v>20.013698630136986</c:v>
                </c:pt>
                <c:pt idx="80">
                  <c:v>20.260273972602739</c:v>
                </c:pt>
                <c:pt idx="81">
                  <c:v>20.509589041095889</c:v>
                </c:pt>
                <c:pt idx="82">
                  <c:v>20.764383561643836</c:v>
                </c:pt>
                <c:pt idx="83">
                  <c:v>21.013698630136986</c:v>
                </c:pt>
                <c:pt idx="84">
                  <c:v>21.260273972602739</c:v>
                </c:pt>
                <c:pt idx="85">
                  <c:v>21.509589041095889</c:v>
                </c:pt>
                <c:pt idx="86">
                  <c:v>21.764383561643836</c:v>
                </c:pt>
                <c:pt idx="87">
                  <c:v>22.013698630136986</c:v>
                </c:pt>
                <c:pt idx="88">
                  <c:v>22.263013698630136</c:v>
                </c:pt>
                <c:pt idx="89">
                  <c:v>22.515068493150686</c:v>
                </c:pt>
                <c:pt idx="90">
                  <c:v>22.767123287671232</c:v>
                </c:pt>
                <c:pt idx="91">
                  <c:v>23.016438356164382</c:v>
                </c:pt>
                <c:pt idx="92">
                  <c:v>23.263013698630136</c:v>
                </c:pt>
                <c:pt idx="93">
                  <c:v>23.515068493150686</c:v>
                </c:pt>
                <c:pt idx="94">
                  <c:v>23.767123287671232</c:v>
                </c:pt>
                <c:pt idx="95">
                  <c:v>24.016438356164382</c:v>
                </c:pt>
                <c:pt idx="96">
                  <c:v>24.263013698630136</c:v>
                </c:pt>
                <c:pt idx="97">
                  <c:v>24.515068493150686</c:v>
                </c:pt>
                <c:pt idx="98">
                  <c:v>24.767123287671232</c:v>
                </c:pt>
                <c:pt idx="99">
                  <c:v>25.016438356164382</c:v>
                </c:pt>
                <c:pt idx="100">
                  <c:v>25.263013698630136</c:v>
                </c:pt>
                <c:pt idx="101">
                  <c:v>25.515068493150686</c:v>
                </c:pt>
                <c:pt idx="102">
                  <c:v>25.767123287671232</c:v>
                </c:pt>
                <c:pt idx="103">
                  <c:v>26.016438356164382</c:v>
                </c:pt>
                <c:pt idx="104">
                  <c:v>26.265753424657536</c:v>
                </c:pt>
                <c:pt idx="105">
                  <c:v>26.517808219178082</c:v>
                </c:pt>
                <c:pt idx="106">
                  <c:v>26.769863013698629</c:v>
                </c:pt>
                <c:pt idx="107">
                  <c:v>27.019178082191782</c:v>
                </c:pt>
                <c:pt idx="108">
                  <c:v>27.265753424657536</c:v>
                </c:pt>
                <c:pt idx="109">
                  <c:v>27.517808219178082</c:v>
                </c:pt>
                <c:pt idx="110">
                  <c:v>27.769863013698629</c:v>
                </c:pt>
                <c:pt idx="111">
                  <c:v>28.019178082191782</c:v>
                </c:pt>
                <c:pt idx="112">
                  <c:v>28.265753424657536</c:v>
                </c:pt>
                <c:pt idx="113">
                  <c:v>28.517808219178082</c:v>
                </c:pt>
                <c:pt idx="114">
                  <c:v>28.769863013698629</c:v>
                </c:pt>
                <c:pt idx="115">
                  <c:v>29.019178082191782</c:v>
                </c:pt>
                <c:pt idx="116">
                  <c:v>29.265753424657536</c:v>
                </c:pt>
                <c:pt idx="117">
                  <c:v>29.517808219178082</c:v>
                </c:pt>
                <c:pt idx="118">
                  <c:v>29.769863013698629</c:v>
                </c:pt>
                <c:pt idx="119">
                  <c:v>30.019178082191782</c:v>
                </c:pt>
              </c:numCache>
            </c:numRef>
          </c:xVal>
          <c:yVal>
            <c:numRef>
              <c:f>Sheet1!$U$11:$U$130</c:f>
              <c:numCache>
                <c:formatCode>General</c:formatCode>
                <c:ptCount val="120"/>
                <c:pt idx="0">
                  <c:v>1.06998409892859E-2</c:v>
                </c:pt>
                <c:pt idx="1">
                  <c:v>1.2480509344974536E-2</c:v>
                </c:pt>
                <c:pt idx="2">
                  <c:v>1.254264297632642E-2</c:v>
                </c:pt>
                <c:pt idx="3">
                  <c:v>1.3438206429545227E-2</c:v>
                </c:pt>
                <c:pt idx="4">
                  <c:v>1.3518825632423542E-2</c:v>
                </c:pt>
                <c:pt idx="5">
                  <c:v>1.3594485904146409E-2</c:v>
                </c:pt>
                <c:pt idx="6">
                  <c:v>1.3665342654558297E-2</c:v>
                </c:pt>
                <c:pt idx="7">
                  <c:v>1.3731306062547353E-2</c:v>
                </c:pt>
                <c:pt idx="8">
                  <c:v>1.379248087745983E-2</c:v>
                </c:pt>
                <c:pt idx="9">
                  <c:v>1.3848991213313479E-2</c:v>
                </c:pt>
                <c:pt idx="10">
                  <c:v>1.3901084669348394E-2</c:v>
                </c:pt>
                <c:pt idx="11">
                  <c:v>1.3948878233544114E-2</c:v>
                </c:pt>
                <c:pt idx="12">
                  <c:v>1.3992547498492059E-2</c:v>
                </c:pt>
                <c:pt idx="13">
                  <c:v>1.4032266175461107E-2</c:v>
                </c:pt>
                <c:pt idx="14">
                  <c:v>1.4068258359501115E-2</c:v>
                </c:pt>
                <c:pt idx="15">
                  <c:v>1.4100664236041357E-2</c:v>
                </c:pt>
                <c:pt idx="16">
                  <c:v>1.4129664092219116E-2</c:v>
                </c:pt>
                <c:pt idx="17">
                  <c:v>1.4155451672357487E-2</c:v>
                </c:pt>
                <c:pt idx="18">
                  <c:v>1.4178193367960824E-2</c:v>
                </c:pt>
                <c:pt idx="19">
                  <c:v>1.4198098537682164E-2</c:v>
                </c:pt>
                <c:pt idx="20">
                  <c:v>1.4215332106412302E-2</c:v>
                </c:pt>
                <c:pt idx="21">
                  <c:v>1.4230088304215158E-2</c:v>
                </c:pt>
                <c:pt idx="22">
                  <c:v>1.4242540324400055E-2</c:v>
                </c:pt>
                <c:pt idx="23">
                  <c:v>1.425289783862217E-2</c:v>
                </c:pt>
                <c:pt idx="24">
                  <c:v>1.4261316944843215E-2</c:v>
                </c:pt>
                <c:pt idx="25">
                  <c:v>1.4268031576238405E-2</c:v>
                </c:pt>
                <c:pt idx="26">
                  <c:v>1.4273207853008023E-2</c:v>
                </c:pt>
                <c:pt idx="27">
                  <c:v>1.4277030301601223E-2</c:v>
                </c:pt>
                <c:pt idx="28">
                  <c:v>1.4279674650991059E-2</c:v>
                </c:pt>
                <c:pt idx="29">
                  <c:v>1.4281382414961363E-2</c:v>
                </c:pt>
                <c:pt idx="30">
                  <c:v>1.4282321162135346E-2</c:v>
                </c:pt>
                <c:pt idx="31">
                  <c:v>1.4282679370109653E-2</c:v>
                </c:pt>
                <c:pt idx="32">
                  <c:v>1.4282637981581565E-2</c:v>
                </c:pt>
                <c:pt idx="33">
                  <c:v>1.4282439044421476E-2</c:v>
                </c:pt>
                <c:pt idx="34">
                  <c:v>1.428226167774168E-2</c:v>
                </c:pt>
                <c:pt idx="35">
                  <c:v>1.4282271751073912E-2</c:v>
                </c:pt>
                <c:pt idx="36">
                  <c:v>1.4282684320005699E-2</c:v>
                </c:pt>
                <c:pt idx="37">
                  <c:v>1.4283731159459712E-2</c:v>
                </c:pt>
                <c:pt idx="38">
                  <c:v>1.4285595849190612E-2</c:v>
                </c:pt>
                <c:pt idx="39">
                  <c:v>1.4288451245046961E-2</c:v>
                </c:pt>
                <c:pt idx="40">
                  <c:v>1.4292518883399804E-2</c:v>
                </c:pt>
                <c:pt idx="41">
                  <c:v>1.4298020351278867E-2</c:v>
                </c:pt>
                <c:pt idx="42">
                  <c:v>1.4305145844825567E-2</c:v>
                </c:pt>
                <c:pt idx="43">
                  <c:v>1.4314083811344323E-2</c:v>
                </c:pt>
                <c:pt idx="44">
                  <c:v>1.4325066136150132E-2</c:v>
                </c:pt>
                <c:pt idx="45">
                  <c:v>1.433829679093049E-2</c:v>
                </c:pt>
                <c:pt idx="46">
                  <c:v>1.4353980460259295E-2</c:v>
                </c:pt>
                <c:pt idx="47">
                  <c:v>1.4372312222521779E-2</c:v>
                </c:pt>
                <c:pt idx="48">
                  <c:v>1.4393527400508406E-2</c:v>
                </c:pt>
                <c:pt idx="49">
                  <c:v>1.4417832803640692E-2</c:v>
                </c:pt>
                <c:pt idx="50">
                  <c:v>1.4445441240099706E-2</c:v>
                </c:pt>
                <c:pt idx="51">
                  <c:v>1.4476556213037214E-2</c:v>
                </c:pt>
                <c:pt idx="52">
                  <c:v>1.4511418373172543E-2</c:v>
                </c:pt>
                <c:pt idx="53">
                  <c:v>1.4550236745370313E-2</c:v>
                </c:pt>
                <c:pt idx="54">
                  <c:v>1.459323570551508E-2</c:v>
                </c:pt>
                <c:pt idx="55">
                  <c:v>1.4640629963694684E-2</c:v>
                </c:pt>
                <c:pt idx="56">
                  <c:v>1.4692666131580604E-2</c:v>
                </c:pt>
                <c:pt idx="57">
                  <c:v>1.4749561649389063E-2</c:v>
                </c:pt>
                <c:pt idx="58">
                  <c:v>1.4811550436760718E-2</c:v>
                </c:pt>
                <c:pt idx="59">
                  <c:v>1.4878875662032243E-2</c:v>
                </c:pt>
                <c:pt idx="60">
                  <c:v>1.495176699851066E-2</c:v>
                </c:pt>
                <c:pt idx="61">
                  <c:v>1.5030467991614612E-2</c:v>
                </c:pt>
                <c:pt idx="62">
                  <c:v>1.5115228692515741E-2</c:v>
                </c:pt>
                <c:pt idx="63">
                  <c:v>1.5206312834771005E-2</c:v>
                </c:pt>
                <c:pt idx="64">
                  <c:v>1.5303967514749129E-2</c:v>
                </c:pt>
                <c:pt idx="65">
                  <c:v>1.5408437092361347E-2</c:v>
                </c:pt>
                <c:pt idx="66">
                  <c:v>1.5520005863776606E-2</c:v>
                </c:pt>
                <c:pt idx="67">
                  <c:v>1.563896327078208E-2</c:v>
                </c:pt>
                <c:pt idx="68">
                  <c:v>1.5765581499481641E-2</c:v>
                </c:pt>
                <c:pt idx="69">
                  <c:v>1.5900108022044217E-2</c:v>
                </c:pt>
                <c:pt idx="70">
                  <c:v>1.6042870484776588E-2</c:v>
                </c:pt>
                <c:pt idx="71">
                  <c:v>1.619419735301092E-2</c:v>
                </c:pt>
                <c:pt idx="72">
                  <c:v>1.6354367597271095E-2</c:v>
                </c:pt>
                <c:pt idx="73">
                  <c:v>1.6523733466212453E-2</c:v>
                </c:pt>
                <c:pt idx="74">
                  <c:v>1.6702518121916581E-2</c:v>
                </c:pt>
                <c:pt idx="75">
                  <c:v>1.689123550438484E-2</c:v>
                </c:pt>
                <c:pt idx="76">
                  <c:v>1.7090215942560508E-2</c:v>
                </c:pt>
                <c:pt idx="77">
                  <c:v>1.7299750067706805E-2</c:v>
                </c:pt>
                <c:pt idx="78">
                  <c:v>1.7520136624212333E-2</c:v>
                </c:pt>
                <c:pt idx="79">
                  <c:v>1.7752010652929407E-2</c:v>
                </c:pt>
                <c:pt idx="80">
                  <c:v>1.7995751148512457E-2</c:v>
                </c:pt>
                <c:pt idx="81">
                  <c:v>1.8251685084223986E-2</c:v>
                </c:pt>
                <c:pt idx="82">
                  <c:v>1.8520162185945231E-2</c:v>
                </c:pt>
                <c:pt idx="83">
                  <c:v>1.8801981719623568E-2</c:v>
                </c:pt>
                <c:pt idx="84">
                  <c:v>1.9097593135401537E-2</c:v>
                </c:pt>
                <c:pt idx="85">
                  <c:v>1.940737814529889E-2</c:v>
                </c:pt>
                <c:pt idx="86">
                  <c:v>1.9731761376135089E-2</c:v>
                </c:pt>
                <c:pt idx="87">
                  <c:v>2.0071766908942919E-2</c:v>
                </c:pt>
                <c:pt idx="88">
                  <c:v>2.0427843266905939E-2</c:v>
                </c:pt>
                <c:pt idx="89">
                  <c:v>2.0800544520523007E-2</c:v>
                </c:pt>
                <c:pt idx="90">
                  <c:v>2.1190711355186267E-2</c:v>
                </c:pt>
                <c:pt idx="91">
                  <c:v>2.1599241754619521E-2</c:v>
                </c:pt>
                <c:pt idx="92">
                  <c:v>2.2026995813115086E-2</c:v>
                </c:pt>
                <c:pt idx="93">
                  <c:v>2.2474398433821648E-2</c:v>
                </c:pt>
                <c:pt idx="94">
                  <c:v>2.2942714015062197E-2</c:v>
                </c:pt>
                <c:pt idx="95">
                  <c:v>2.3433142323278359E-2</c:v>
                </c:pt>
                <c:pt idx="96">
                  <c:v>2.394683319763604E-2</c:v>
                </c:pt>
                <c:pt idx="97">
                  <c:v>2.4484372688972116E-2</c:v>
                </c:pt>
                <c:pt idx="98">
                  <c:v>2.5047482975837039E-2</c:v>
                </c:pt>
                <c:pt idx="99">
                  <c:v>2.5637821268081368E-2</c:v>
                </c:pt>
                <c:pt idx="100">
                  <c:v>2.6256991139502632E-2</c:v>
                </c:pt>
                <c:pt idx="101">
                  <c:v>2.6905873633238514E-2</c:v>
                </c:pt>
                <c:pt idx="102">
                  <c:v>2.7586897405934233E-2</c:v>
                </c:pt>
                <c:pt idx="103">
                  <c:v>2.8302446706673753E-2</c:v>
                </c:pt>
                <c:pt idx="104">
                  <c:v>2.9054526939876819E-2</c:v>
                </c:pt>
                <c:pt idx="105">
                  <c:v>2.9845301818827278E-2</c:v>
                </c:pt>
                <c:pt idx="106">
                  <c:v>3.0677976850490021E-2</c:v>
                </c:pt>
                <c:pt idx="107">
                  <c:v>3.1556198623802469E-2</c:v>
                </c:pt>
                <c:pt idx="108">
                  <c:v>3.2483562432893388E-2</c:v>
                </c:pt>
                <c:pt idx="109">
                  <c:v>3.3462705333974392E-2</c:v>
                </c:pt>
                <c:pt idx="110">
                  <c:v>3.4499215834679589E-2</c:v>
                </c:pt>
                <c:pt idx="111">
                  <c:v>3.5599007041790455E-2</c:v>
                </c:pt>
                <c:pt idx="112">
                  <c:v>3.6768190372862442E-2</c:v>
                </c:pt>
                <c:pt idx="113">
                  <c:v>3.8011890552058177E-2</c:v>
                </c:pt>
                <c:pt idx="114">
                  <c:v>3.9339682346553613E-2</c:v>
                </c:pt>
                <c:pt idx="115">
                  <c:v>4.076215908617474E-2</c:v>
                </c:pt>
                <c:pt idx="116">
                  <c:v>4.2290947341236541E-2</c:v>
                </c:pt>
                <c:pt idx="117">
                  <c:v>4.3937293761612248E-2</c:v>
                </c:pt>
                <c:pt idx="118">
                  <c:v>4.5719968302371079E-2</c:v>
                </c:pt>
                <c:pt idx="119">
                  <c:v>4.7661094231552723E-2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99-48C2-A8D2-23B7F2BD3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160024"/>
        <c:axId val="565156744"/>
      </c:scatterChart>
      <c:valAx>
        <c:axId val="565160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65156744"/>
        <c:crosses val="autoZero"/>
        <c:crossBetween val="midCat"/>
      </c:valAx>
      <c:valAx>
        <c:axId val="565156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65160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352425</xdr:colOff>
          <xdr:row>3</xdr:row>
          <xdr:rowOff>66675</xdr:rowOff>
        </xdr:from>
        <xdr:to>
          <xdr:col>20</xdr:col>
          <xdr:colOff>390525</xdr:colOff>
          <xdr:row>6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Curve생성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314325</xdr:colOff>
          <xdr:row>3</xdr:row>
          <xdr:rowOff>123825</xdr:rowOff>
        </xdr:from>
        <xdr:to>
          <xdr:col>27</xdr:col>
          <xdr:colOff>457200</xdr:colOff>
          <xdr:row>6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SwapRate검증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38100</xdr:colOff>
      <xdr:row>10</xdr:row>
      <xdr:rowOff>95250</xdr:rowOff>
    </xdr:from>
    <xdr:to>
      <xdr:col>31</xdr:col>
      <xdr:colOff>457200</xdr:colOff>
      <xdr:row>38</xdr:row>
      <xdr:rowOff>107950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254"/>
  <sheetViews>
    <sheetView tabSelected="1" zoomScale="80" zoomScaleNormal="80" workbookViewId="0">
      <selection activeCell="J26" sqref="J26"/>
    </sheetView>
  </sheetViews>
  <sheetFormatPr defaultColWidth="10.5" defaultRowHeight="14.25" customHeight="1" x14ac:dyDescent="0.3"/>
  <cols>
    <col min="1" max="1" width="10.5" style="1"/>
    <col min="2" max="3" width="0" style="1" hidden="1" customWidth="1"/>
    <col min="4" max="4" width="10.5" style="1"/>
    <col min="5" max="5" width="10.5" style="9"/>
    <col min="6" max="8" width="10.5" style="1"/>
    <col min="9" max="10" width="10.5" style="9"/>
    <col min="11" max="13" width="10.5" style="1"/>
    <col min="14" max="14" width="10.5" style="6"/>
    <col min="15" max="17" width="10.5" style="3"/>
    <col min="18" max="18" width="0" style="1" hidden="1" customWidth="1"/>
    <col min="19" max="19" width="10.5" style="1"/>
    <col min="20" max="21" width="10.5" style="8"/>
    <col min="22" max="16384" width="10.5" style="1"/>
  </cols>
  <sheetData>
    <row r="1" spans="1:32" ht="14.25" customHeight="1" x14ac:dyDescent="0.3">
      <c r="A1" s="1">
        <v>1</v>
      </c>
      <c r="B1" s="1">
        <f>A1+1</f>
        <v>2</v>
      </c>
      <c r="C1" s="1">
        <f>B1+1</f>
        <v>3</v>
      </c>
      <c r="D1" s="1">
        <f t="shared" ref="D1:V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ref="W1" si="1">V1+1</f>
        <v>23</v>
      </c>
      <c r="X1" s="1">
        <f t="shared" ref="X1" si="2">W1+1</f>
        <v>24</v>
      </c>
      <c r="Y1" s="1">
        <f t="shared" ref="Y1" si="3">X1+1</f>
        <v>25</v>
      </c>
      <c r="Z1" s="1">
        <f t="shared" ref="Z1:AF1" si="4">Y1+1</f>
        <v>26</v>
      </c>
      <c r="AA1" s="1">
        <f t="shared" si="4"/>
        <v>27</v>
      </c>
      <c r="AB1" s="1">
        <f t="shared" si="4"/>
        <v>28</v>
      </c>
      <c r="AC1" s="1">
        <f t="shared" si="4"/>
        <v>29</v>
      </c>
      <c r="AD1" s="1">
        <f t="shared" si="4"/>
        <v>30</v>
      </c>
      <c r="AE1" s="1">
        <f t="shared" si="4"/>
        <v>31</v>
      </c>
      <c r="AF1" s="1">
        <f t="shared" si="4"/>
        <v>32</v>
      </c>
    </row>
    <row r="2" spans="1:32" ht="14.25" customHeight="1" x14ac:dyDescent="0.3">
      <c r="A2" s="1">
        <f t="shared" ref="A2:A65" si="5">A1+1</f>
        <v>2</v>
      </c>
      <c r="E2" s="1"/>
      <c r="I2" s="1"/>
      <c r="J2" s="1"/>
      <c r="N2" s="1"/>
      <c r="O2" s="1"/>
      <c r="P2" s="1"/>
      <c r="Q2" s="1"/>
      <c r="T2" s="1"/>
      <c r="U2" s="1"/>
    </row>
    <row r="3" spans="1:32" ht="14.25" customHeight="1" x14ac:dyDescent="0.3">
      <c r="A3" s="1">
        <f t="shared" si="5"/>
        <v>3</v>
      </c>
      <c r="E3" s="1"/>
      <c r="I3" s="1"/>
      <c r="J3" s="1"/>
      <c r="N3" s="1"/>
      <c r="O3" s="1"/>
      <c r="P3" s="1"/>
      <c r="Q3" s="1"/>
      <c r="T3" s="1"/>
      <c r="U3" s="1"/>
    </row>
    <row r="4" spans="1:32" ht="14.25" customHeight="1" x14ac:dyDescent="0.3">
      <c r="A4" s="1">
        <f t="shared" si="5"/>
        <v>4</v>
      </c>
      <c r="E4" s="1"/>
      <c r="I4" s="1"/>
      <c r="J4" s="1"/>
      <c r="N4" s="1"/>
      <c r="O4" s="1"/>
      <c r="P4" s="1"/>
      <c r="Q4" s="1"/>
      <c r="T4" s="1"/>
      <c r="U4" s="1"/>
      <c r="W4" s="13" t="s">
        <v>11</v>
      </c>
      <c r="X4" s="17"/>
      <c r="Y4" s="17"/>
    </row>
    <row r="5" spans="1:32" ht="14.25" customHeight="1" x14ac:dyDescent="0.3">
      <c r="A5" s="1">
        <f t="shared" si="5"/>
        <v>5</v>
      </c>
      <c r="D5" s="10" t="s">
        <v>3</v>
      </c>
      <c r="E5" s="7">
        <v>44558</v>
      </c>
      <c r="G5" s="10" t="s">
        <v>12</v>
      </c>
      <c r="H5" s="3">
        <v>0</v>
      </c>
      <c r="I5" s="22"/>
      <c r="J5" s="22"/>
      <c r="K5" s="22"/>
      <c r="N5" s="1"/>
      <c r="O5" s="1"/>
      <c r="P5" s="1"/>
      <c r="Q5" s="1"/>
      <c r="T5" s="1"/>
      <c r="U5" s="1"/>
      <c r="W5" s="14"/>
      <c r="X5" s="17"/>
      <c r="Y5" s="17"/>
    </row>
    <row r="6" spans="1:32" ht="14.25" customHeight="1" x14ac:dyDescent="0.3">
      <c r="A6" s="1">
        <f t="shared" si="5"/>
        <v>6</v>
      </c>
      <c r="D6" s="19" t="str">
        <f>IF(H5=0, "MMF, IRForward, Swap Market", "Bond Market")</f>
        <v>MMF, IRForward, Swap Market</v>
      </c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T6" s="1"/>
      <c r="U6" s="1"/>
      <c r="W6" s="14"/>
      <c r="X6" s="17"/>
      <c r="Y6" s="17"/>
    </row>
    <row r="7" spans="1:32" ht="14.25" customHeight="1" x14ac:dyDescent="0.3">
      <c r="A7" s="1">
        <f t="shared" si="5"/>
        <v>7</v>
      </c>
      <c r="E7" s="1"/>
      <c r="I7" s="1"/>
      <c r="J7" s="1"/>
      <c r="N7" s="1"/>
      <c r="O7" s="1"/>
      <c r="P7" s="1"/>
      <c r="Q7" s="1"/>
      <c r="T7" s="1"/>
      <c r="U7" s="1"/>
    </row>
    <row r="8" spans="1:32" ht="14.25" customHeight="1" x14ac:dyDescent="0.3">
      <c r="A8" s="1">
        <f t="shared" si="5"/>
        <v>8</v>
      </c>
      <c r="D8" s="19" t="str">
        <f>IF(H5=0, "콜금리/CD", "CP/Short Term Bond")</f>
        <v>콜금리/CD</v>
      </c>
      <c r="E8" s="19"/>
      <c r="F8" s="19"/>
      <c r="G8" s="19"/>
      <c r="I8" s="19" t="str">
        <f>IF(H5=0, "IR Forward", "MarketData 1일 때 입력안함")</f>
        <v>IR Forward</v>
      </c>
      <c r="J8" s="19"/>
      <c r="K8" s="19"/>
      <c r="L8" s="19"/>
      <c r="N8" s="19" t="str">
        <f>IF(H5=0, "IR Swap","Coupon Bond")</f>
        <v>IR Swap</v>
      </c>
      <c r="O8" s="19"/>
      <c r="P8" s="19"/>
      <c r="Q8" s="19"/>
      <c r="R8" s="16"/>
      <c r="T8" s="20" t="s">
        <v>9</v>
      </c>
      <c r="U8" s="20"/>
    </row>
    <row r="9" spans="1:32" ht="14.25" customHeight="1" x14ac:dyDescent="0.3">
      <c r="A9" s="1">
        <f t="shared" si="5"/>
        <v>9</v>
      </c>
      <c r="D9" s="21" t="s">
        <v>1</v>
      </c>
      <c r="E9" s="21"/>
      <c r="F9" s="4">
        <f>COUNT(D11:D14)</f>
        <v>2</v>
      </c>
      <c r="G9" s="5"/>
      <c r="I9" s="21" t="str">
        <f>IF(H5=0, "개수", "")</f>
        <v>개수</v>
      </c>
      <c r="J9" s="21"/>
      <c r="K9" s="4">
        <f>COUNT(I11:I14)</f>
        <v>1</v>
      </c>
      <c r="L9" s="5"/>
      <c r="N9" s="21" t="s">
        <v>2</v>
      </c>
      <c r="O9" s="21"/>
      <c r="P9" s="4">
        <f>COUNT(N11:N1048576)</f>
        <v>117</v>
      </c>
      <c r="Q9" s="5"/>
      <c r="R9" s="15"/>
      <c r="T9" s="20"/>
      <c r="U9" s="20"/>
      <c r="X9" s="2" t="s">
        <v>6</v>
      </c>
      <c r="Y9" s="2" t="s">
        <v>0</v>
      </c>
      <c r="Z9" s="2" t="s">
        <v>5</v>
      </c>
      <c r="AA9" s="18" t="s">
        <v>8</v>
      </c>
      <c r="AB9" s="18"/>
    </row>
    <row r="10" spans="1:32" ht="14.25" customHeight="1" x14ac:dyDescent="0.3">
      <c r="A10" s="1">
        <f t="shared" si="5"/>
        <v>10</v>
      </c>
      <c r="D10" s="11" t="str">
        <f>IF(H5=0,"상품타입","빈칸")</f>
        <v>상품타입</v>
      </c>
      <c r="E10" s="11" t="s">
        <v>4</v>
      </c>
      <c r="F10" s="11" t="str">
        <f>IF(H5=0, "Rate", "YTM")</f>
        <v>Rate</v>
      </c>
      <c r="G10" s="11" t="s">
        <v>5</v>
      </c>
      <c r="I10" s="11" t="str">
        <f>IF(H5=0, "Forward Start", "")</f>
        <v>Forward Start</v>
      </c>
      <c r="J10" s="11" t="str">
        <f>IF(H5=0, "Forward End", "")</f>
        <v>Forward End</v>
      </c>
      <c r="K10" s="11" t="str">
        <f>IF(H5=0, "Rate", "")</f>
        <v>Rate</v>
      </c>
      <c r="L10" s="11" t="str">
        <f>IF(H5=0, "1Y Convention", "")</f>
        <v>1Y Convention</v>
      </c>
      <c r="N10" s="11" t="str">
        <f>IF(H5=0,"스왑만기","채권만기")</f>
        <v>스왑만기</v>
      </c>
      <c r="O10" s="11" t="s">
        <v>0</v>
      </c>
      <c r="P10" s="11" t="str">
        <f>IF(H5=0,"스왑금리","YTM")</f>
        <v>스왑금리</v>
      </c>
      <c r="Q10" s="11" t="s">
        <v>5</v>
      </c>
      <c r="T10" s="12" t="s">
        <v>7</v>
      </c>
      <c r="U10" s="12" t="s">
        <v>10</v>
      </c>
      <c r="X10" s="6">
        <f>N12</f>
        <v>45013</v>
      </c>
      <c r="Y10" s="3">
        <v>4</v>
      </c>
      <c r="Z10" s="3">
        <v>365</v>
      </c>
      <c r="AA10" s="18">
        <v>1.3538119653657751E-2</v>
      </c>
      <c r="AB10" s="18"/>
    </row>
    <row r="11" spans="1:32" ht="14.25" customHeight="1" x14ac:dyDescent="0.3">
      <c r="A11" s="1">
        <f t="shared" si="5"/>
        <v>11</v>
      </c>
      <c r="D11" s="3">
        <v>0</v>
      </c>
      <c r="E11" s="6">
        <v>44559</v>
      </c>
      <c r="F11" s="3">
        <v>1.0699999999999999E-2</v>
      </c>
      <c r="G11" s="3">
        <v>360</v>
      </c>
      <c r="I11" s="6">
        <v>44648</v>
      </c>
      <c r="J11" s="6">
        <f>I11+90</f>
        <v>44738</v>
      </c>
      <c r="K11" s="3">
        <v>1.2800000000000001E-2</v>
      </c>
      <c r="L11" s="3">
        <v>360</v>
      </c>
      <c r="N11" s="6">
        <v>44923</v>
      </c>
      <c r="O11" s="3">
        <v>4</v>
      </c>
      <c r="P11" s="3">
        <v>1.3456249999999999E-2</v>
      </c>
      <c r="Q11" s="3">
        <v>365</v>
      </c>
      <c r="T11" s="8">
        <v>2.7777777777777779E-3</v>
      </c>
      <c r="U11" s="8">
        <v>1.06998409892859E-2</v>
      </c>
    </row>
    <row r="12" spans="1:32" ht="14.25" customHeight="1" x14ac:dyDescent="0.3">
      <c r="A12" s="1">
        <f t="shared" si="5"/>
        <v>12</v>
      </c>
      <c r="D12" s="3">
        <v>1</v>
      </c>
      <c r="E12" s="6">
        <f>EDATE(E5,3)</f>
        <v>44648</v>
      </c>
      <c r="F12" s="3">
        <v>1.2500000000000001E-2</v>
      </c>
      <c r="G12" s="3">
        <v>360</v>
      </c>
      <c r="I12" s="6"/>
      <c r="J12" s="6"/>
      <c r="K12" s="3"/>
      <c r="L12" s="3"/>
      <c r="N12" s="6">
        <f t="shared" ref="N12:N51" si="6">EDATE(N11,3)</f>
        <v>45013</v>
      </c>
      <c r="O12" s="3">
        <v>4</v>
      </c>
      <c r="P12" s="3">
        <v>1.353784375E-2</v>
      </c>
      <c r="Q12" s="3">
        <v>365</v>
      </c>
      <c r="T12" s="8">
        <v>0.25</v>
      </c>
      <c r="U12" s="8">
        <v>1.2480509344974536E-2</v>
      </c>
    </row>
    <row r="13" spans="1:32" ht="14.25" customHeight="1" x14ac:dyDescent="0.3">
      <c r="A13" s="1">
        <f t="shared" si="5"/>
        <v>13</v>
      </c>
      <c r="D13" s="3"/>
      <c r="E13" s="6"/>
      <c r="F13" s="3"/>
      <c r="G13" s="3"/>
      <c r="I13" s="6"/>
      <c r="J13" s="6"/>
      <c r="K13" s="3"/>
      <c r="L13" s="3"/>
      <c r="N13" s="6">
        <f t="shared" si="6"/>
        <v>45105</v>
      </c>
      <c r="O13" s="3">
        <v>4</v>
      </c>
      <c r="P13" s="3">
        <v>1.3614000000000001E-2</v>
      </c>
      <c r="Q13" s="3">
        <v>365</v>
      </c>
      <c r="T13" s="8">
        <v>0.5</v>
      </c>
      <c r="U13" s="8">
        <v>1.254264297632642E-2</v>
      </c>
    </row>
    <row r="14" spans="1:32" ht="14.25" customHeight="1" x14ac:dyDescent="0.3">
      <c r="A14" s="1">
        <f t="shared" si="5"/>
        <v>14</v>
      </c>
      <c r="D14" s="3"/>
      <c r="E14" s="6"/>
      <c r="F14" s="3"/>
      <c r="G14" s="3"/>
      <c r="I14" s="6"/>
      <c r="J14" s="6"/>
      <c r="K14" s="3"/>
      <c r="L14" s="3"/>
      <c r="N14" s="6">
        <f t="shared" si="6"/>
        <v>45197</v>
      </c>
      <c r="O14" s="3">
        <v>4</v>
      </c>
      <c r="P14" s="3">
        <v>1.368490625E-2</v>
      </c>
      <c r="Q14" s="3">
        <v>365</v>
      </c>
      <c r="T14" s="8">
        <v>1</v>
      </c>
      <c r="U14" s="8">
        <v>1.3438206429545227E-2</v>
      </c>
    </row>
    <row r="15" spans="1:32" ht="14.25" customHeight="1" x14ac:dyDescent="0.3">
      <c r="A15" s="1">
        <f t="shared" si="5"/>
        <v>15</v>
      </c>
      <c r="N15" s="6">
        <f t="shared" si="6"/>
        <v>45288</v>
      </c>
      <c r="O15" s="3">
        <v>4</v>
      </c>
      <c r="P15" s="3">
        <v>1.3750750000000001E-2</v>
      </c>
      <c r="Q15" s="3">
        <v>365</v>
      </c>
      <c r="T15" s="8">
        <v>1.2465753424657535</v>
      </c>
      <c r="U15" s="8">
        <v>1.3518825632423542E-2</v>
      </c>
    </row>
    <row r="16" spans="1:32" ht="14.25" customHeight="1" x14ac:dyDescent="0.3">
      <c r="A16" s="1">
        <f t="shared" si="5"/>
        <v>16</v>
      </c>
      <c r="N16" s="6">
        <f t="shared" si="6"/>
        <v>45379</v>
      </c>
      <c r="O16" s="3">
        <v>4</v>
      </c>
      <c r="P16" s="3">
        <v>1.381171875E-2</v>
      </c>
      <c r="Q16" s="3">
        <v>365</v>
      </c>
      <c r="T16" s="8">
        <v>1.4986301369863013</v>
      </c>
      <c r="U16" s="8">
        <v>1.3594485904146409E-2</v>
      </c>
    </row>
    <row r="17" spans="1:21" ht="14.25" customHeight="1" x14ac:dyDescent="0.3">
      <c r="A17" s="1">
        <f t="shared" si="5"/>
        <v>17</v>
      </c>
      <c r="N17" s="6">
        <f t="shared" si="6"/>
        <v>45471</v>
      </c>
      <c r="O17" s="3">
        <v>4</v>
      </c>
      <c r="P17" s="3">
        <v>1.3868E-2</v>
      </c>
      <c r="Q17" s="3">
        <v>365</v>
      </c>
      <c r="T17" s="8">
        <v>1.7506849315068493</v>
      </c>
      <c r="U17" s="8">
        <v>1.3665342654558297E-2</v>
      </c>
    </row>
    <row r="18" spans="1:21" ht="14.25" customHeight="1" x14ac:dyDescent="0.3">
      <c r="A18" s="1">
        <f t="shared" si="5"/>
        <v>18</v>
      </c>
      <c r="N18" s="6">
        <f t="shared" si="6"/>
        <v>45563</v>
      </c>
      <c r="O18" s="3">
        <v>4</v>
      </c>
      <c r="P18" s="3">
        <v>1.3919781250000001E-2</v>
      </c>
      <c r="Q18" s="3">
        <v>365</v>
      </c>
      <c r="T18" s="8">
        <v>2</v>
      </c>
      <c r="U18" s="8">
        <v>1.3731306062547353E-2</v>
      </c>
    </row>
    <row r="19" spans="1:21" ht="14.25" customHeight="1" x14ac:dyDescent="0.3">
      <c r="A19" s="1">
        <f t="shared" si="5"/>
        <v>19</v>
      </c>
      <c r="N19" s="6">
        <f t="shared" si="6"/>
        <v>45654</v>
      </c>
      <c r="O19" s="3">
        <v>4</v>
      </c>
      <c r="P19" s="3">
        <v>1.396725E-2</v>
      </c>
      <c r="Q19" s="3">
        <v>365</v>
      </c>
      <c r="T19" s="8">
        <v>2.2493150684931509</v>
      </c>
      <c r="U19" s="8">
        <v>1.379248087745983E-2</v>
      </c>
    </row>
    <row r="20" spans="1:21" ht="14.25" customHeight="1" x14ac:dyDescent="0.3">
      <c r="A20" s="1">
        <f t="shared" si="5"/>
        <v>20</v>
      </c>
      <c r="N20" s="6">
        <f t="shared" si="6"/>
        <v>45744</v>
      </c>
      <c r="O20" s="3">
        <v>4</v>
      </c>
      <c r="P20" s="3">
        <v>1.401059375E-2</v>
      </c>
      <c r="Q20" s="3">
        <v>365</v>
      </c>
      <c r="T20" s="8">
        <v>2.5013698630136987</v>
      </c>
      <c r="U20" s="8">
        <v>1.3848991213313479E-2</v>
      </c>
    </row>
    <row r="21" spans="1:21" ht="14.25" customHeight="1" x14ac:dyDescent="0.3">
      <c r="A21" s="1">
        <f t="shared" si="5"/>
        <v>21</v>
      </c>
      <c r="N21" s="6">
        <f t="shared" si="6"/>
        <v>45836</v>
      </c>
      <c r="O21" s="3">
        <v>4</v>
      </c>
      <c r="P21" s="3">
        <v>1.405E-2</v>
      </c>
      <c r="Q21" s="3">
        <v>365</v>
      </c>
      <c r="T21" s="8">
        <v>2.7534246575342465</v>
      </c>
      <c r="U21" s="8">
        <v>1.3901084669348394E-2</v>
      </c>
    </row>
    <row r="22" spans="1:21" ht="14.25" customHeight="1" x14ac:dyDescent="0.3">
      <c r="A22" s="1">
        <f t="shared" si="5"/>
        <v>22</v>
      </c>
      <c r="K22" s="9"/>
      <c r="L22" s="9"/>
      <c r="N22" s="6">
        <f t="shared" si="6"/>
        <v>45928</v>
      </c>
      <c r="O22" s="3">
        <v>4</v>
      </c>
      <c r="P22" s="3">
        <v>1.408565625E-2</v>
      </c>
      <c r="Q22" s="3">
        <v>365</v>
      </c>
      <c r="T22" s="8">
        <v>3.0027397260273974</v>
      </c>
      <c r="U22" s="8">
        <v>1.3948878233544114E-2</v>
      </c>
    </row>
    <row r="23" spans="1:21" ht="14.25" customHeight="1" x14ac:dyDescent="0.3">
      <c r="A23" s="1">
        <f t="shared" si="5"/>
        <v>23</v>
      </c>
      <c r="K23" s="9"/>
      <c r="L23" s="9"/>
      <c r="N23" s="6">
        <f t="shared" si="6"/>
        <v>46019</v>
      </c>
      <c r="O23" s="3">
        <v>4</v>
      </c>
      <c r="P23" s="3">
        <v>1.411775E-2</v>
      </c>
      <c r="Q23" s="3">
        <v>365</v>
      </c>
      <c r="T23" s="8">
        <v>3.2493150684931509</v>
      </c>
      <c r="U23" s="8">
        <v>1.3992547498492059E-2</v>
      </c>
    </row>
    <row r="24" spans="1:21" ht="14.25" customHeight="1" x14ac:dyDescent="0.3">
      <c r="A24" s="1">
        <f t="shared" si="5"/>
        <v>24</v>
      </c>
      <c r="K24" s="9"/>
      <c r="L24" s="9"/>
      <c r="N24" s="6">
        <f t="shared" si="6"/>
        <v>46109</v>
      </c>
      <c r="O24" s="3">
        <v>4</v>
      </c>
      <c r="P24" s="3">
        <v>1.414646875E-2</v>
      </c>
      <c r="Q24" s="3">
        <v>365</v>
      </c>
      <c r="T24" s="8">
        <v>3.5013698630136987</v>
      </c>
      <c r="U24" s="8">
        <v>1.4032266175461107E-2</v>
      </c>
    </row>
    <row r="25" spans="1:21" ht="14.25" customHeight="1" x14ac:dyDescent="0.3">
      <c r="A25" s="1">
        <f t="shared" si="5"/>
        <v>25</v>
      </c>
      <c r="K25" s="9"/>
      <c r="L25" s="9"/>
      <c r="N25" s="6">
        <f t="shared" si="6"/>
        <v>46201</v>
      </c>
      <c r="O25" s="3">
        <v>4</v>
      </c>
      <c r="P25" s="3">
        <v>1.4172000000000001E-2</v>
      </c>
      <c r="Q25" s="3">
        <v>365</v>
      </c>
      <c r="T25" s="8">
        <v>3.7534246575342465</v>
      </c>
      <c r="U25" s="8">
        <v>1.4068258359501115E-2</v>
      </c>
    </row>
    <row r="26" spans="1:21" ht="14.25" customHeight="1" x14ac:dyDescent="0.3">
      <c r="A26" s="1">
        <f t="shared" si="5"/>
        <v>26</v>
      </c>
      <c r="K26" s="9"/>
      <c r="L26" s="9"/>
      <c r="N26" s="6">
        <f t="shared" si="6"/>
        <v>46293</v>
      </c>
      <c r="O26" s="3">
        <v>4</v>
      </c>
      <c r="P26" s="3">
        <v>1.419453125E-2</v>
      </c>
      <c r="Q26" s="3">
        <v>365</v>
      </c>
      <c r="T26" s="8">
        <v>4.0027397260273974</v>
      </c>
      <c r="U26" s="8">
        <v>1.4100664236041357E-2</v>
      </c>
    </row>
    <row r="27" spans="1:21" ht="14.25" customHeight="1" x14ac:dyDescent="0.3">
      <c r="A27" s="1">
        <f t="shared" si="5"/>
        <v>27</v>
      </c>
      <c r="K27" s="9"/>
      <c r="L27" s="9"/>
      <c r="N27" s="6">
        <f t="shared" si="6"/>
        <v>46384</v>
      </c>
      <c r="O27" s="3">
        <v>4</v>
      </c>
      <c r="P27" s="3">
        <v>1.4214249999999999E-2</v>
      </c>
      <c r="Q27" s="3">
        <v>365</v>
      </c>
      <c r="T27" s="8">
        <v>4.2493150684931509</v>
      </c>
      <c r="U27" s="8">
        <v>1.4129664092219116E-2</v>
      </c>
    </row>
    <row r="28" spans="1:21" ht="14.25" customHeight="1" x14ac:dyDescent="0.3">
      <c r="A28" s="1">
        <f t="shared" si="5"/>
        <v>28</v>
      </c>
      <c r="K28" s="9"/>
      <c r="L28" s="9"/>
      <c r="N28" s="6">
        <f t="shared" si="6"/>
        <v>46474</v>
      </c>
      <c r="O28" s="3">
        <v>4</v>
      </c>
      <c r="P28" s="3">
        <v>1.423134375E-2</v>
      </c>
      <c r="Q28" s="3">
        <v>365</v>
      </c>
      <c r="T28" s="8">
        <v>4.4986301369863018</v>
      </c>
      <c r="U28" s="8">
        <v>1.4155451672357487E-2</v>
      </c>
    </row>
    <row r="29" spans="1:21" ht="14.25" customHeight="1" x14ac:dyDescent="0.3">
      <c r="A29" s="1">
        <f t="shared" si="5"/>
        <v>29</v>
      </c>
      <c r="K29" s="9"/>
      <c r="L29" s="9"/>
      <c r="N29" s="6">
        <f t="shared" si="6"/>
        <v>46566</v>
      </c>
      <c r="O29" s="3">
        <v>4</v>
      </c>
      <c r="P29" s="3">
        <v>1.4246E-2</v>
      </c>
      <c r="Q29" s="3">
        <v>365</v>
      </c>
      <c r="T29" s="8">
        <v>4.7534246575342465</v>
      </c>
      <c r="U29" s="8">
        <v>1.4178193367960824E-2</v>
      </c>
    </row>
    <row r="30" spans="1:21" ht="14.25" customHeight="1" x14ac:dyDescent="0.3">
      <c r="A30" s="1">
        <f t="shared" si="5"/>
        <v>30</v>
      </c>
      <c r="K30" s="9"/>
      <c r="L30" s="9"/>
      <c r="N30" s="6">
        <f t="shared" si="6"/>
        <v>46658</v>
      </c>
      <c r="O30" s="3">
        <v>4</v>
      </c>
      <c r="P30" s="3">
        <v>1.4258406249999999E-2</v>
      </c>
      <c r="Q30" s="3">
        <v>365</v>
      </c>
      <c r="T30" s="8">
        <v>5.0027397260273974</v>
      </c>
      <c r="U30" s="8">
        <v>1.4198098537682164E-2</v>
      </c>
    </row>
    <row r="31" spans="1:21" ht="14.25" customHeight="1" x14ac:dyDescent="0.3">
      <c r="A31" s="1">
        <f t="shared" si="5"/>
        <v>31</v>
      </c>
      <c r="K31" s="9"/>
      <c r="L31" s="9"/>
      <c r="N31" s="6">
        <f t="shared" si="6"/>
        <v>46749</v>
      </c>
      <c r="O31" s="3">
        <v>4</v>
      </c>
      <c r="P31" s="3">
        <v>1.426875E-2</v>
      </c>
      <c r="Q31" s="3">
        <v>365</v>
      </c>
      <c r="T31" s="8">
        <v>5.2493150684931509</v>
      </c>
      <c r="U31" s="8">
        <v>1.4215332106412302E-2</v>
      </c>
    </row>
    <row r="32" spans="1:21" ht="14.25" customHeight="1" x14ac:dyDescent="0.3">
      <c r="A32" s="1">
        <f t="shared" si="5"/>
        <v>32</v>
      </c>
      <c r="K32" s="9"/>
      <c r="L32" s="9"/>
      <c r="N32" s="6">
        <f t="shared" si="6"/>
        <v>46840</v>
      </c>
      <c r="O32" s="3">
        <v>4</v>
      </c>
      <c r="P32" s="3">
        <v>1.4277218750000001E-2</v>
      </c>
      <c r="Q32" s="3">
        <v>365</v>
      </c>
      <c r="T32" s="8">
        <v>5.4986301369863018</v>
      </c>
      <c r="U32" s="8">
        <v>1.4230088304215158E-2</v>
      </c>
    </row>
    <row r="33" spans="1:21" ht="14.25" customHeight="1" x14ac:dyDescent="0.3">
      <c r="A33" s="1">
        <f t="shared" si="5"/>
        <v>33</v>
      </c>
      <c r="K33" s="9"/>
      <c r="L33" s="9"/>
      <c r="N33" s="6">
        <f t="shared" si="6"/>
        <v>46932</v>
      </c>
      <c r="O33" s="3">
        <v>4</v>
      </c>
      <c r="P33" s="3">
        <v>1.4284E-2</v>
      </c>
      <c r="Q33" s="3">
        <v>365</v>
      </c>
      <c r="T33" s="8">
        <v>5.7534246575342465</v>
      </c>
      <c r="U33" s="8">
        <v>1.4242540324400055E-2</v>
      </c>
    </row>
    <row r="34" spans="1:21" ht="14.25" customHeight="1" x14ac:dyDescent="0.3">
      <c r="A34" s="1">
        <f t="shared" si="5"/>
        <v>34</v>
      </c>
      <c r="K34" s="9"/>
      <c r="L34" s="9"/>
      <c r="N34" s="6">
        <f t="shared" si="6"/>
        <v>47024</v>
      </c>
      <c r="O34" s="3">
        <v>4</v>
      </c>
      <c r="P34" s="3">
        <v>1.4289281250000001E-2</v>
      </c>
      <c r="Q34" s="3">
        <v>365</v>
      </c>
      <c r="T34" s="8">
        <v>6.0027397260273974</v>
      </c>
      <c r="U34" s="8">
        <v>1.425289783862217E-2</v>
      </c>
    </row>
    <row r="35" spans="1:21" ht="14.25" customHeight="1" x14ac:dyDescent="0.3">
      <c r="A35" s="1">
        <f t="shared" si="5"/>
        <v>35</v>
      </c>
      <c r="K35" s="9"/>
      <c r="L35" s="9"/>
      <c r="N35" s="6">
        <f t="shared" si="6"/>
        <v>47115</v>
      </c>
      <c r="O35" s="3">
        <v>4</v>
      </c>
      <c r="P35" s="3">
        <v>1.429325E-2</v>
      </c>
      <c r="Q35" s="3">
        <v>365</v>
      </c>
      <c r="T35" s="8">
        <v>6.2520547945205482</v>
      </c>
      <c r="U35" s="8">
        <v>1.4261316944843215E-2</v>
      </c>
    </row>
    <row r="36" spans="1:21" ht="14.25" customHeight="1" x14ac:dyDescent="0.3">
      <c r="A36" s="1">
        <f t="shared" si="5"/>
        <v>36</v>
      </c>
      <c r="K36" s="9"/>
      <c r="L36" s="9"/>
      <c r="N36" s="6">
        <f t="shared" si="6"/>
        <v>47205</v>
      </c>
      <c r="O36" s="3">
        <v>4</v>
      </c>
      <c r="P36" s="3">
        <v>1.4296093750000001E-2</v>
      </c>
      <c r="Q36" s="3">
        <v>365</v>
      </c>
      <c r="T36" s="8">
        <v>6.5041095890410956</v>
      </c>
      <c r="U36" s="8">
        <v>1.4268031576238405E-2</v>
      </c>
    </row>
    <row r="37" spans="1:21" ht="14.25" customHeight="1" x14ac:dyDescent="0.3">
      <c r="A37" s="1">
        <f t="shared" si="5"/>
        <v>37</v>
      </c>
      <c r="K37" s="9"/>
      <c r="L37" s="9"/>
      <c r="N37" s="6">
        <f t="shared" si="6"/>
        <v>47297</v>
      </c>
      <c r="O37" s="3">
        <v>4</v>
      </c>
      <c r="P37" s="3">
        <v>1.4298E-2</v>
      </c>
      <c r="Q37" s="3">
        <v>365</v>
      </c>
      <c r="T37" s="8">
        <v>6.7561643835616438</v>
      </c>
      <c r="U37" s="8">
        <v>1.4273207853008023E-2</v>
      </c>
    </row>
    <row r="38" spans="1:21" ht="14.25" customHeight="1" x14ac:dyDescent="0.3">
      <c r="A38" s="1">
        <f t="shared" si="5"/>
        <v>38</v>
      </c>
      <c r="K38" s="9"/>
      <c r="L38" s="9"/>
      <c r="N38" s="6">
        <f t="shared" si="6"/>
        <v>47389</v>
      </c>
      <c r="O38" s="3">
        <v>4</v>
      </c>
      <c r="P38" s="3">
        <v>1.429915625E-2</v>
      </c>
      <c r="Q38" s="3">
        <v>365</v>
      </c>
      <c r="T38" s="8">
        <v>7.0054794520547947</v>
      </c>
      <c r="U38" s="8">
        <v>1.4277030301601223E-2</v>
      </c>
    </row>
    <row r="39" spans="1:21" ht="14.25" customHeight="1" x14ac:dyDescent="0.3">
      <c r="A39" s="1">
        <f t="shared" si="5"/>
        <v>39</v>
      </c>
      <c r="K39" s="9"/>
      <c r="L39" s="9"/>
      <c r="N39" s="6">
        <f t="shared" si="6"/>
        <v>47480</v>
      </c>
      <c r="O39" s="3">
        <v>4</v>
      </c>
      <c r="P39" s="3">
        <v>1.429975E-2</v>
      </c>
      <c r="Q39" s="3">
        <v>365</v>
      </c>
      <c r="T39" s="8">
        <v>7.2520547945205482</v>
      </c>
      <c r="U39" s="8">
        <v>1.4279674650991059E-2</v>
      </c>
    </row>
    <row r="40" spans="1:21" ht="14.25" customHeight="1" x14ac:dyDescent="0.3">
      <c r="A40" s="1">
        <f t="shared" si="5"/>
        <v>40</v>
      </c>
      <c r="K40" s="9"/>
      <c r="L40" s="9"/>
      <c r="N40" s="6">
        <f t="shared" si="6"/>
        <v>47570</v>
      </c>
      <c r="O40" s="3">
        <v>4</v>
      </c>
      <c r="P40" s="3">
        <v>1.4299968750000001E-2</v>
      </c>
      <c r="Q40" s="3">
        <v>365</v>
      </c>
      <c r="T40" s="8">
        <v>7.5041095890410956</v>
      </c>
      <c r="U40" s="8">
        <v>1.4281382414961363E-2</v>
      </c>
    </row>
    <row r="41" spans="1:21" ht="14.25" customHeight="1" x14ac:dyDescent="0.3">
      <c r="A41" s="1">
        <f t="shared" si="5"/>
        <v>41</v>
      </c>
      <c r="K41" s="9"/>
      <c r="L41" s="9"/>
      <c r="N41" s="6">
        <f t="shared" si="6"/>
        <v>47662</v>
      </c>
      <c r="O41" s="3">
        <v>4</v>
      </c>
      <c r="P41" s="3">
        <v>1.43E-2</v>
      </c>
      <c r="Q41" s="3">
        <v>365</v>
      </c>
      <c r="T41" s="8">
        <v>7.7561643835616438</v>
      </c>
      <c r="U41" s="8">
        <v>1.4282321162135346E-2</v>
      </c>
    </row>
    <row r="42" spans="1:21" ht="14.25" customHeight="1" x14ac:dyDescent="0.3">
      <c r="A42" s="1">
        <f t="shared" si="5"/>
        <v>42</v>
      </c>
      <c r="K42" s="9"/>
      <c r="L42" s="9"/>
      <c r="N42" s="6">
        <f t="shared" si="6"/>
        <v>47754</v>
      </c>
      <c r="O42" s="3">
        <v>4</v>
      </c>
      <c r="P42" s="3">
        <v>1.4300031249999999E-2</v>
      </c>
      <c r="Q42" s="3">
        <v>365</v>
      </c>
      <c r="T42" s="8">
        <v>8.0054794520547947</v>
      </c>
      <c r="U42" s="8">
        <v>1.4282679370109653E-2</v>
      </c>
    </row>
    <row r="43" spans="1:21" ht="14.25" customHeight="1" x14ac:dyDescent="0.3">
      <c r="A43" s="1">
        <f t="shared" si="5"/>
        <v>43</v>
      </c>
      <c r="K43" s="9"/>
      <c r="L43" s="9"/>
      <c r="N43" s="6">
        <f t="shared" si="6"/>
        <v>47845</v>
      </c>
      <c r="O43" s="3">
        <v>4</v>
      </c>
      <c r="P43" s="3">
        <v>1.430025E-2</v>
      </c>
      <c r="Q43" s="3">
        <v>365</v>
      </c>
      <c r="T43" s="8">
        <v>8.2520547945205482</v>
      </c>
      <c r="U43" s="8">
        <v>1.4282637981581565E-2</v>
      </c>
    </row>
    <row r="44" spans="1:21" ht="14.25" customHeight="1" x14ac:dyDescent="0.3">
      <c r="A44" s="1">
        <f t="shared" si="5"/>
        <v>44</v>
      </c>
      <c r="K44" s="9"/>
      <c r="L44" s="9"/>
      <c r="N44" s="6">
        <f t="shared" si="6"/>
        <v>47935</v>
      </c>
      <c r="O44" s="3">
        <v>4</v>
      </c>
      <c r="P44" s="3">
        <v>1.430084375E-2</v>
      </c>
      <c r="Q44" s="3">
        <v>365</v>
      </c>
      <c r="T44" s="8">
        <v>8.5041095890410965</v>
      </c>
      <c r="U44" s="8">
        <v>1.4282439044421476E-2</v>
      </c>
    </row>
    <row r="45" spans="1:21" ht="14.25" customHeight="1" x14ac:dyDescent="0.3">
      <c r="A45" s="1">
        <f t="shared" si="5"/>
        <v>45</v>
      </c>
      <c r="K45" s="9"/>
      <c r="L45" s="9"/>
      <c r="N45" s="6">
        <f t="shared" si="6"/>
        <v>48027</v>
      </c>
      <c r="O45" s="3">
        <v>4</v>
      </c>
      <c r="P45" s="3">
        <v>1.4302E-2</v>
      </c>
      <c r="Q45" s="3">
        <v>365</v>
      </c>
      <c r="T45" s="8">
        <v>8.7534246575342465</v>
      </c>
      <c r="U45" s="8">
        <v>1.428226167774168E-2</v>
      </c>
    </row>
    <row r="46" spans="1:21" ht="14.25" customHeight="1" x14ac:dyDescent="0.3">
      <c r="A46" s="1">
        <f t="shared" si="5"/>
        <v>46</v>
      </c>
      <c r="K46" s="9"/>
      <c r="L46" s="9"/>
      <c r="N46" s="6">
        <f t="shared" si="6"/>
        <v>48119</v>
      </c>
      <c r="O46" s="3">
        <v>4</v>
      </c>
      <c r="P46" s="3">
        <v>1.430390625E-2</v>
      </c>
      <c r="Q46" s="3">
        <v>365</v>
      </c>
      <c r="T46" s="8">
        <v>9.0054794520547947</v>
      </c>
      <c r="U46" s="8">
        <v>1.4282271751073912E-2</v>
      </c>
    </row>
    <row r="47" spans="1:21" ht="14.25" customHeight="1" x14ac:dyDescent="0.3">
      <c r="A47" s="1">
        <f t="shared" si="5"/>
        <v>47</v>
      </c>
      <c r="K47" s="9"/>
      <c r="L47" s="9"/>
      <c r="N47" s="6">
        <f t="shared" si="6"/>
        <v>48210</v>
      </c>
      <c r="O47" s="3">
        <v>4</v>
      </c>
      <c r="P47" s="3">
        <v>1.430675E-2</v>
      </c>
      <c r="Q47" s="3">
        <v>365</v>
      </c>
      <c r="T47" s="8">
        <v>9.2520547945205482</v>
      </c>
      <c r="U47" s="8">
        <v>1.4282684320005699E-2</v>
      </c>
    </row>
    <row r="48" spans="1:21" ht="14.25" customHeight="1" x14ac:dyDescent="0.3">
      <c r="A48" s="1">
        <f t="shared" si="5"/>
        <v>48</v>
      </c>
      <c r="K48" s="9"/>
      <c r="L48" s="9"/>
      <c r="N48" s="6">
        <f t="shared" si="6"/>
        <v>48301</v>
      </c>
      <c r="O48" s="3">
        <v>4</v>
      </c>
      <c r="P48" s="3">
        <v>1.431071875E-2</v>
      </c>
      <c r="Q48" s="3">
        <v>365</v>
      </c>
      <c r="T48" s="8">
        <v>9.5041095890410965</v>
      </c>
      <c r="U48" s="8">
        <v>1.4283731159459712E-2</v>
      </c>
    </row>
    <row r="49" spans="1:21" ht="14.25" customHeight="1" x14ac:dyDescent="0.3">
      <c r="A49" s="1">
        <f t="shared" si="5"/>
        <v>49</v>
      </c>
      <c r="K49" s="9"/>
      <c r="L49" s="9"/>
      <c r="N49" s="6">
        <f t="shared" si="6"/>
        <v>48393</v>
      </c>
      <c r="O49" s="3">
        <v>4</v>
      </c>
      <c r="P49" s="3">
        <v>1.4316000000000001E-2</v>
      </c>
      <c r="Q49" s="3">
        <v>365</v>
      </c>
      <c r="T49" s="8">
        <v>9.7534246575342465</v>
      </c>
      <c r="U49" s="8">
        <v>1.4285595849190612E-2</v>
      </c>
    </row>
    <row r="50" spans="1:21" ht="14.25" customHeight="1" x14ac:dyDescent="0.3">
      <c r="A50" s="1">
        <f t="shared" si="5"/>
        <v>50</v>
      </c>
      <c r="K50" s="9"/>
      <c r="L50" s="9"/>
      <c r="N50" s="6">
        <f t="shared" si="6"/>
        <v>48485</v>
      </c>
      <c r="O50" s="3">
        <v>4</v>
      </c>
      <c r="P50" s="3">
        <v>1.432278125E-2</v>
      </c>
      <c r="Q50" s="3">
        <v>365</v>
      </c>
      <c r="T50" s="8">
        <v>10.005479452054795</v>
      </c>
      <c r="U50" s="8">
        <v>1.4288451245046961E-2</v>
      </c>
    </row>
    <row r="51" spans="1:21" ht="14.25" customHeight="1" x14ac:dyDescent="0.3">
      <c r="A51" s="1">
        <f t="shared" si="5"/>
        <v>51</v>
      </c>
      <c r="K51" s="9"/>
      <c r="L51" s="9"/>
      <c r="N51" s="6">
        <f t="shared" si="6"/>
        <v>48576</v>
      </c>
      <c r="O51" s="3">
        <v>4</v>
      </c>
      <c r="P51" s="3">
        <v>1.433125E-2</v>
      </c>
      <c r="Q51" s="3">
        <v>365</v>
      </c>
      <c r="T51" s="8">
        <v>10.254794520547945</v>
      </c>
      <c r="U51" s="8">
        <v>1.4292518883399804E-2</v>
      </c>
    </row>
    <row r="52" spans="1:21" ht="14.25" customHeight="1" x14ac:dyDescent="0.3">
      <c r="A52" s="1">
        <f t="shared" si="5"/>
        <v>52</v>
      </c>
      <c r="K52" s="9"/>
      <c r="L52" s="9"/>
      <c r="N52" s="6">
        <f t="shared" ref="N52:N115" si="7">EDATE(N51,3)</f>
        <v>48666</v>
      </c>
      <c r="O52" s="3">
        <v>4</v>
      </c>
      <c r="P52" s="3">
        <v>1.4341593750000001E-2</v>
      </c>
      <c r="Q52" s="3">
        <v>365</v>
      </c>
      <c r="T52" s="8">
        <v>10.506849315068493</v>
      </c>
      <c r="U52" s="8">
        <v>1.4298020351278867E-2</v>
      </c>
    </row>
    <row r="53" spans="1:21" ht="14.25" customHeight="1" x14ac:dyDescent="0.3">
      <c r="A53" s="1">
        <f t="shared" si="5"/>
        <v>53</v>
      </c>
      <c r="K53" s="9"/>
      <c r="L53" s="9"/>
      <c r="N53" s="6">
        <f t="shared" si="7"/>
        <v>48758</v>
      </c>
      <c r="O53" s="3">
        <v>4</v>
      </c>
      <c r="P53" s="3">
        <v>1.4354E-2</v>
      </c>
      <c r="Q53" s="3">
        <v>365</v>
      </c>
      <c r="T53" s="8">
        <v>10.758904109589041</v>
      </c>
      <c r="U53" s="8">
        <v>1.4305145844825567E-2</v>
      </c>
    </row>
    <row r="54" spans="1:21" ht="14.25" customHeight="1" x14ac:dyDescent="0.3">
      <c r="A54" s="1">
        <f t="shared" si="5"/>
        <v>54</v>
      </c>
      <c r="K54" s="9"/>
      <c r="L54" s="9"/>
      <c r="N54" s="6">
        <f t="shared" si="7"/>
        <v>48850</v>
      </c>
      <c r="O54" s="3">
        <v>4</v>
      </c>
      <c r="P54" s="3">
        <v>1.436865625E-2</v>
      </c>
      <c r="Q54" s="3">
        <v>365</v>
      </c>
      <c r="T54" s="8">
        <v>11.008219178082191</v>
      </c>
      <c r="U54" s="8">
        <v>1.4314083811344323E-2</v>
      </c>
    </row>
    <row r="55" spans="1:21" ht="14.25" customHeight="1" x14ac:dyDescent="0.3">
      <c r="A55" s="1">
        <f t="shared" si="5"/>
        <v>55</v>
      </c>
      <c r="K55" s="9"/>
      <c r="L55" s="9"/>
      <c r="N55" s="6">
        <f t="shared" si="7"/>
        <v>48941</v>
      </c>
      <c r="O55" s="3">
        <v>4</v>
      </c>
      <c r="P55" s="3">
        <v>1.4385750000000001E-2</v>
      </c>
      <c r="Q55" s="3">
        <v>365</v>
      </c>
      <c r="T55" s="8">
        <v>11.254794520547945</v>
      </c>
      <c r="U55" s="8">
        <v>1.4325066136150132E-2</v>
      </c>
    </row>
    <row r="56" spans="1:21" ht="14.25" customHeight="1" x14ac:dyDescent="0.3">
      <c r="A56" s="1">
        <f t="shared" si="5"/>
        <v>56</v>
      </c>
      <c r="K56" s="9"/>
      <c r="L56" s="9"/>
      <c r="N56" s="6">
        <f t="shared" si="7"/>
        <v>49031</v>
      </c>
      <c r="O56" s="3">
        <v>4</v>
      </c>
      <c r="P56" s="3">
        <v>1.4405468750000001E-2</v>
      </c>
      <c r="Q56" s="3">
        <v>365</v>
      </c>
      <c r="T56" s="8">
        <v>11.506849315068493</v>
      </c>
      <c r="U56" s="8">
        <v>1.433829679093049E-2</v>
      </c>
    </row>
    <row r="57" spans="1:21" ht="14.25" customHeight="1" x14ac:dyDescent="0.3">
      <c r="A57" s="1">
        <f t="shared" si="5"/>
        <v>57</v>
      </c>
      <c r="K57" s="9"/>
      <c r="L57" s="9"/>
      <c r="N57" s="6">
        <f t="shared" si="7"/>
        <v>49123</v>
      </c>
      <c r="O57" s="3">
        <v>4</v>
      </c>
      <c r="P57" s="3">
        <v>1.4428E-2</v>
      </c>
      <c r="Q57" s="3">
        <v>365</v>
      </c>
      <c r="T57" s="8">
        <v>11.758904109589041</v>
      </c>
      <c r="U57" s="8">
        <v>1.4353980460259295E-2</v>
      </c>
    </row>
    <row r="58" spans="1:21" ht="14.25" customHeight="1" x14ac:dyDescent="0.3">
      <c r="A58" s="1">
        <f t="shared" si="5"/>
        <v>58</v>
      </c>
      <c r="K58" s="9"/>
      <c r="L58" s="9"/>
      <c r="N58" s="6">
        <f t="shared" si="7"/>
        <v>49215</v>
      </c>
      <c r="O58" s="3">
        <v>4</v>
      </c>
      <c r="P58" s="3">
        <v>1.445353125E-2</v>
      </c>
      <c r="Q58" s="3">
        <v>365</v>
      </c>
      <c r="T58" s="8">
        <v>12.008219178082191</v>
      </c>
      <c r="U58" s="8">
        <v>1.4372312222521779E-2</v>
      </c>
    </row>
    <row r="59" spans="1:21" ht="14.25" customHeight="1" x14ac:dyDescent="0.3">
      <c r="A59" s="1">
        <f t="shared" si="5"/>
        <v>59</v>
      </c>
      <c r="K59" s="9"/>
      <c r="L59" s="9"/>
      <c r="N59" s="6">
        <f t="shared" si="7"/>
        <v>49306</v>
      </c>
      <c r="O59" s="3">
        <v>4</v>
      </c>
      <c r="P59" s="3">
        <v>1.448225E-2</v>
      </c>
      <c r="Q59" s="3">
        <v>365</v>
      </c>
      <c r="T59" s="8">
        <v>12.254794520547945</v>
      </c>
      <c r="U59" s="8">
        <v>1.4393527400508406E-2</v>
      </c>
    </row>
    <row r="60" spans="1:21" ht="14.25" customHeight="1" x14ac:dyDescent="0.3">
      <c r="A60" s="1">
        <f t="shared" si="5"/>
        <v>60</v>
      </c>
      <c r="K60" s="9"/>
      <c r="L60" s="9"/>
      <c r="N60" s="6">
        <f t="shared" si="7"/>
        <v>49396</v>
      </c>
      <c r="O60" s="3">
        <v>4</v>
      </c>
      <c r="P60" s="3">
        <v>1.451434375E-2</v>
      </c>
      <c r="Q60" s="3">
        <v>365</v>
      </c>
      <c r="T60" s="8">
        <v>12.506849315068493</v>
      </c>
      <c r="U60" s="8">
        <v>1.4417832803640692E-2</v>
      </c>
    </row>
    <row r="61" spans="1:21" ht="14.25" customHeight="1" x14ac:dyDescent="0.3">
      <c r="A61" s="1">
        <f t="shared" si="5"/>
        <v>61</v>
      </c>
      <c r="K61" s="9"/>
      <c r="L61" s="9"/>
      <c r="N61" s="6">
        <f t="shared" si="7"/>
        <v>49488</v>
      </c>
      <c r="O61" s="3">
        <v>4</v>
      </c>
      <c r="P61" s="3">
        <v>1.455E-2</v>
      </c>
      <c r="Q61" s="3">
        <v>365</v>
      </c>
      <c r="T61" s="8">
        <v>12.758904109589041</v>
      </c>
      <c r="U61" s="8">
        <v>1.4445441240099706E-2</v>
      </c>
    </row>
    <row r="62" spans="1:21" ht="14.25" customHeight="1" x14ac:dyDescent="0.3">
      <c r="A62" s="1">
        <f t="shared" si="5"/>
        <v>62</v>
      </c>
      <c r="K62" s="9"/>
      <c r="L62" s="9"/>
      <c r="N62" s="6">
        <f t="shared" si="7"/>
        <v>49580</v>
      </c>
      <c r="O62" s="3">
        <v>4</v>
      </c>
      <c r="P62" s="3">
        <v>1.4589406250000001E-2</v>
      </c>
      <c r="Q62" s="3">
        <v>365</v>
      </c>
      <c r="T62" s="8">
        <v>13.008219178082191</v>
      </c>
      <c r="U62" s="8">
        <v>1.4476556213037214E-2</v>
      </c>
    </row>
    <row r="63" spans="1:21" ht="14.25" customHeight="1" x14ac:dyDescent="0.3">
      <c r="A63" s="1">
        <f t="shared" si="5"/>
        <v>63</v>
      </c>
      <c r="K63" s="9"/>
      <c r="L63" s="9"/>
      <c r="N63" s="6">
        <f t="shared" si="7"/>
        <v>49671</v>
      </c>
      <c r="O63" s="3">
        <v>4</v>
      </c>
      <c r="P63" s="3">
        <v>1.463275E-2</v>
      </c>
      <c r="Q63" s="3">
        <v>365</v>
      </c>
      <c r="T63" s="8">
        <v>13.254794520547945</v>
      </c>
      <c r="U63" s="8">
        <v>1.4511418373172543E-2</v>
      </c>
    </row>
    <row r="64" spans="1:21" ht="14.25" customHeight="1" x14ac:dyDescent="0.3">
      <c r="A64" s="1">
        <f t="shared" si="5"/>
        <v>64</v>
      </c>
      <c r="K64" s="9"/>
      <c r="L64" s="9"/>
      <c r="N64" s="6">
        <f t="shared" si="7"/>
        <v>49762</v>
      </c>
      <c r="O64" s="3">
        <v>4</v>
      </c>
      <c r="P64" s="3">
        <v>1.468021875E-2</v>
      </c>
      <c r="Q64" s="3">
        <v>365</v>
      </c>
      <c r="T64" s="8">
        <v>13.506849315068493</v>
      </c>
      <c r="U64" s="8">
        <v>1.4550236745370313E-2</v>
      </c>
    </row>
    <row r="65" spans="1:21" ht="14.25" customHeight="1" x14ac:dyDescent="0.3">
      <c r="A65" s="1">
        <f t="shared" si="5"/>
        <v>65</v>
      </c>
      <c r="K65" s="9"/>
      <c r="L65" s="9"/>
      <c r="N65" s="6">
        <f t="shared" si="7"/>
        <v>49854</v>
      </c>
      <c r="O65" s="3">
        <v>4</v>
      </c>
      <c r="P65" s="3">
        <v>1.4732E-2</v>
      </c>
      <c r="Q65" s="3">
        <v>365</v>
      </c>
      <c r="T65" s="8">
        <v>13.758904109589041</v>
      </c>
      <c r="U65" s="8">
        <v>1.459323570551508E-2</v>
      </c>
    </row>
    <row r="66" spans="1:21" ht="14.25" customHeight="1" x14ac:dyDescent="0.3">
      <c r="A66" s="1">
        <f t="shared" ref="A66:A129" si="8">A65+1</f>
        <v>66</v>
      </c>
      <c r="K66" s="9"/>
      <c r="L66" s="9"/>
      <c r="N66" s="6">
        <f t="shared" si="7"/>
        <v>49946</v>
      </c>
      <c r="O66" s="3">
        <v>4</v>
      </c>
      <c r="P66" s="3">
        <v>1.478828125E-2</v>
      </c>
      <c r="Q66" s="3">
        <v>365</v>
      </c>
      <c r="T66" s="8">
        <v>14.008219178082191</v>
      </c>
      <c r="U66" s="8">
        <v>1.4640629963694684E-2</v>
      </c>
    </row>
    <row r="67" spans="1:21" ht="14.25" customHeight="1" x14ac:dyDescent="0.3">
      <c r="A67" s="1">
        <f t="shared" si="8"/>
        <v>67</v>
      </c>
      <c r="K67" s="9"/>
      <c r="L67" s="9"/>
      <c r="N67" s="6">
        <f t="shared" si="7"/>
        <v>50037</v>
      </c>
      <c r="O67" s="3">
        <v>4</v>
      </c>
      <c r="P67" s="3">
        <v>1.484925E-2</v>
      </c>
      <c r="Q67" s="3">
        <v>365</v>
      </c>
      <c r="T67" s="8">
        <v>14.257534246575343</v>
      </c>
      <c r="U67" s="8">
        <v>1.4692666131580604E-2</v>
      </c>
    </row>
    <row r="68" spans="1:21" ht="14.25" customHeight="1" x14ac:dyDescent="0.3">
      <c r="A68" s="1">
        <f t="shared" si="8"/>
        <v>68</v>
      </c>
      <c r="K68" s="9"/>
      <c r="L68" s="9"/>
      <c r="N68" s="6">
        <f t="shared" si="7"/>
        <v>50127</v>
      </c>
      <c r="O68" s="3">
        <v>4</v>
      </c>
      <c r="P68" s="3">
        <v>1.491509375E-2</v>
      </c>
      <c r="Q68" s="3">
        <v>365</v>
      </c>
      <c r="T68" s="8">
        <v>14.509589041095891</v>
      </c>
      <c r="U68" s="8">
        <v>1.4749561649389063E-2</v>
      </c>
    </row>
    <row r="69" spans="1:21" ht="14.25" customHeight="1" x14ac:dyDescent="0.3">
      <c r="A69" s="1">
        <f t="shared" si="8"/>
        <v>69</v>
      </c>
      <c r="K69" s="9"/>
      <c r="L69" s="9"/>
      <c r="N69" s="6">
        <f t="shared" si="7"/>
        <v>50219</v>
      </c>
      <c r="O69" s="3">
        <v>4</v>
      </c>
      <c r="P69" s="3">
        <v>1.4985999999999999E-2</v>
      </c>
      <c r="Q69" s="3">
        <v>365</v>
      </c>
      <c r="T69" s="8">
        <v>14.761643835616438</v>
      </c>
      <c r="U69" s="8">
        <v>1.4811550436760718E-2</v>
      </c>
    </row>
    <row r="70" spans="1:21" ht="14.25" customHeight="1" x14ac:dyDescent="0.3">
      <c r="A70" s="1">
        <f t="shared" si="8"/>
        <v>70</v>
      </c>
      <c r="K70" s="9"/>
      <c r="L70" s="9"/>
      <c r="N70" s="6">
        <f t="shared" si="7"/>
        <v>50311</v>
      </c>
      <c r="O70" s="3">
        <v>4</v>
      </c>
      <c r="P70" s="3">
        <v>1.506215625E-2</v>
      </c>
      <c r="Q70" s="3">
        <v>365</v>
      </c>
      <c r="T70" s="8">
        <v>15.010958904109589</v>
      </c>
      <c r="U70" s="8">
        <v>1.4878875662032243E-2</v>
      </c>
    </row>
    <row r="71" spans="1:21" ht="14.25" customHeight="1" x14ac:dyDescent="0.3">
      <c r="A71" s="1">
        <f t="shared" si="8"/>
        <v>71</v>
      </c>
      <c r="K71" s="9"/>
      <c r="L71" s="9"/>
      <c r="N71" s="6">
        <f t="shared" si="7"/>
        <v>50402</v>
      </c>
      <c r="O71" s="3">
        <v>4</v>
      </c>
      <c r="P71" s="3">
        <v>1.5143750000000001E-2</v>
      </c>
      <c r="Q71" s="3">
        <v>365</v>
      </c>
      <c r="T71" s="8">
        <v>15.257534246575343</v>
      </c>
      <c r="U71" s="8">
        <v>1.495176699851066E-2</v>
      </c>
    </row>
    <row r="72" spans="1:21" ht="14.25" customHeight="1" x14ac:dyDescent="0.3">
      <c r="A72" s="1">
        <f t="shared" si="8"/>
        <v>72</v>
      </c>
      <c r="K72" s="9"/>
      <c r="L72" s="9"/>
      <c r="N72" s="6">
        <f t="shared" si="7"/>
        <v>50492</v>
      </c>
      <c r="O72" s="3">
        <v>4</v>
      </c>
      <c r="P72" s="3">
        <v>1.5230968750000001E-2</v>
      </c>
      <c r="Q72" s="3">
        <v>365</v>
      </c>
      <c r="T72" s="8">
        <v>15.509589041095891</v>
      </c>
      <c r="U72" s="8">
        <v>1.5030467991614612E-2</v>
      </c>
    </row>
    <row r="73" spans="1:21" ht="14.25" customHeight="1" x14ac:dyDescent="0.3">
      <c r="A73" s="1">
        <f t="shared" si="8"/>
        <v>73</v>
      </c>
      <c r="K73" s="9"/>
      <c r="L73" s="9"/>
      <c r="N73" s="6">
        <f t="shared" si="7"/>
        <v>50584</v>
      </c>
      <c r="O73" s="3">
        <v>4</v>
      </c>
      <c r="P73" s="3">
        <v>1.5324000000000001E-2</v>
      </c>
      <c r="Q73" s="3">
        <v>365</v>
      </c>
      <c r="T73" s="8">
        <v>15.761643835616438</v>
      </c>
      <c r="U73" s="8">
        <v>1.5115228692515741E-2</v>
      </c>
    </row>
    <row r="74" spans="1:21" ht="14.25" customHeight="1" x14ac:dyDescent="0.3">
      <c r="A74" s="1">
        <f t="shared" si="8"/>
        <v>74</v>
      </c>
      <c r="K74" s="9"/>
      <c r="L74" s="9"/>
      <c r="N74" s="6">
        <f t="shared" si="7"/>
        <v>50676</v>
      </c>
      <c r="O74" s="3">
        <v>4</v>
      </c>
      <c r="P74" s="3">
        <v>1.542303125E-2</v>
      </c>
      <c r="Q74" s="3">
        <v>365</v>
      </c>
      <c r="T74" s="8">
        <v>16.010958904109589</v>
      </c>
      <c r="U74" s="8">
        <v>1.5206312834771005E-2</v>
      </c>
    </row>
    <row r="75" spans="1:21" ht="14.25" customHeight="1" x14ac:dyDescent="0.3">
      <c r="A75" s="1">
        <f t="shared" si="8"/>
        <v>75</v>
      </c>
      <c r="K75" s="9"/>
      <c r="L75" s="9"/>
      <c r="N75" s="6">
        <f t="shared" si="7"/>
        <v>50767</v>
      </c>
      <c r="O75" s="3">
        <v>4</v>
      </c>
      <c r="P75" s="3">
        <v>1.552825E-2</v>
      </c>
      <c r="Q75" s="3">
        <v>365</v>
      </c>
      <c r="T75" s="8">
        <v>16.257534246575343</v>
      </c>
      <c r="U75" s="8">
        <v>1.5303967514749129E-2</v>
      </c>
    </row>
    <row r="76" spans="1:21" ht="14.25" customHeight="1" x14ac:dyDescent="0.3">
      <c r="A76" s="1">
        <f t="shared" si="8"/>
        <v>76</v>
      </c>
      <c r="K76" s="9"/>
      <c r="L76" s="9"/>
      <c r="N76" s="6">
        <f t="shared" si="7"/>
        <v>50857</v>
      </c>
      <c r="O76" s="3">
        <v>4</v>
      </c>
      <c r="P76" s="3">
        <v>1.563984375E-2</v>
      </c>
      <c r="Q76" s="3">
        <v>365</v>
      </c>
      <c r="T76" s="8">
        <v>16.509589041095889</v>
      </c>
      <c r="U76" s="8">
        <v>1.5408437092361347E-2</v>
      </c>
    </row>
    <row r="77" spans="1:21" ht="14.25" customHeight="1" x14ac:dyDescent="0.3">
      <c r="A77" s="1">
        <f t="shared" si="8"/>
        <v>77</v>
      </c>
      <c r="K77" s="9"/>
      <c r="L77" s="9"/>
      <c r="N77" s="6">
        <f t="shared" si="7"/>
        <v>50949</v>
      </c>
      <c r="O77" s="3">
        <v>4</v>
      </c>
      <c r="P77" s="3">
        <v>1.5758000000000001E-2</v>
      </c>
      <c r="Q77" s="3">
        <v>365</v>
      </c>
      <c r="T77" s="8">
        <v>16.761643835616439</v>
      </c>
      <c r="U77" s="8">
        <v>1.5520005863776606E-2</v>
      </c>
    </row>
    <row r="78" spans="1:21" ht="14.25" customHeight="1" x14ac:dyDescent="0.3">
      <c r="A78" s="1">
        <f t="shared" si="8"/>
        <v>78</v>
      </c>
      <c r="K78" s="9"/>
      <c r="L78" s="9"/>
      <c r="N78" s="6">
        <f t="shared" si="7"/>
        <v>51041</v>
      </c>
      <c r="O78" s="3">
        <v>4</v>
      </c>
      <c r="P78" s="3">
        <v>1.5882906250000002E-2</v>
      </c>
      <c r="Q78" s="3">
        <v>365</v>
      </c>
      <c r="T78" s="8">
        <v>17.010958904109589</v>
      </c>
      <c r="U78" s="8">
        <v>1.563896327078208E-2</v>
      </c>
    </row>
    <row r="79" spans="1:21" ht="14.25" customHeight="1" x14ac:dyDescent="0.3">
      <c r="A79" s="1">
        <f t="shared" si="8"/>
        <v>79</v>
      </c>
      <c r="K79" s="9"/>
      <c r="L79" s="9"/>
      <c r="N79" s="6">
        <f t="shared" si="7"/>
        <v>51132</v>
      </c>
      <c r="O79" s="3">
        <v>4</v>
      </c>
      <c r="P79" s="3">
        <v>1.6014750000000001E-2</v>
      </c>
      <c r="Q79" s="3">
        <v>365</v>
      </c>
      <c r="T79" s="8">
        <v>17.257534246575343</v>
      </c>
      <c r="U79" s="8">
        <v>1.5765581499481641E-2</v>
      </c>
    </row>
    <row r="80" spans="1:21" ht="14.25" customHeight="1" x14ac:dyDescent="0.3">
      <c r="A80" s="1">
        <f t="shared" si="8"/>
        <v>80</v>
      </c>
      <c r="K80" s="9"/>
      <c r="L80" s="9"/>
      <c r="N80" s="6">
        <f t="shared" si="7"/>
        <v>51223</v>
      </c>
      <c r="O80" s="3">
        <v>4</v>
      </c>
      <c r="P80" s="3">
        <v>1.6153718750000001E-2</v>
      </c>
      <c r="Q80" s="3">
        <v>365</v>
      </c>
      <c r="T80" s="8">
        <v>17.509589041095889</v>
      </c>
      <c r="U80" s="8">
        <v>1.5900108022044217E-2</v>
      </c>
    </row>
    <row r="81" spans="1:21" ht="14.25" customHeight="1" x14ac:dyDescent="0.3">
      <c r="A81" s="1">
        <f t="shared" si="8"/>
        <v>81</v>
      </c>
      <c r="K81" s="9"/>
      <c r="L81" s="9"/>
      <c r="N81" s="6">
        <f t="shared" si="7"/>
        <v>51315</v>
      </c>
      <c r="O81" s="3">
        <v>4</v>
      </c>
      <c r="P81" s="3">
        <v>1.6300000000000002E-2</v>
      </c>
      <c r="Q81" s="3">
        <v>365</v>
      </c>
      <c r="T81" s="8">
        <v>17.761643835616439</v>
      </c>
      <c r="U81" s="8">
        <v>1.6042870484776588E-2</v>
      </c>
    </row>
    <row r="82" spans="1:21" ht="14.25" customHeight="1" x14ac:dyDescent="0.3">
      <c r="A82" s="1">
        <f t="shared" si="8"/>
        <v>82</v>
      </c>
      <c r="K82" s="9"/>
      <c r="L82" s="9"/>
      <c r="N82" s="6">
        <f t="shared" si="7"/>
        <v>51407</v>
      </c>
      <c r="O82" s="3">
        <v>4</v>
      </c>
      <c r="P82" s="3">
        <v>1.6453781250000001E-2</v>
      </c>
      <c r="Q82" s="3">
        <v>365</v>
      </c>
      <c r="T82" s="8">
        <v>18.010958904109589</v>
      </c>
      <c r="U82" s="8">
        <v>1.619419735301092E-2</v>
      </c>
    </row>
    <row r="83" spans="1:21" ht="14.25" customHeight="1" x14ac:dyDescent="0.3">
      <c r="A83" s="1">
        <f t="shared" si="8"/>
        <v>83</v>
      </c>
      <c r="K83" s="9"/>
      <c r="L83" s="9"/>
      <c r="N83" s="6">
        <f t="shared" si="7"/>
        <v>51498</v>
      </c>
      <c r="O83" s="3">
        <v>4</v>
      </c>
      <c r="P83" s="3">
        <v>1.6615250000000002E-2</v>
      </c>
      <c r="Q83" s="3">
        <v>365</v>
      </c>
      <c r="T83" s="8">
        <v>18.260273972602739</v>
      </c>
      <c r="U83" s="8">
        <v>1.6354367597271095E-2</v>
      </c>
    </row>
    <row r="84" spans="1:21" ht="14.25" customHeight="1" x14ac:dyDescent="0.3">
      <c r="A84" s="1">
        <f t="shared" si="8"/>
        <v>84</v>
      </c>
      <c r="K84" s="9"/>
      <c r="L84" s="9"/>
      <c r="N84" s="6">
        <f t="shared" si="7"/>
        <v>51588</v>
      </c>
      <c r="O84" s="3">
        <v>4</v>
      </c>
      <c r="P84" s="3">
        <v>1.678459375E-2</v>
      </c>
      <c r="Q84" s="3">
        <v>365</v>
      </c>
      <c r="T84" s="8">
        <v>18.509589041095889</v>
      </c>
      <c r="U84" s="8">
        <v>1.6523733466212453E-2</v>
      </c>
    </row>
    <row r="85" spans="1:21" ht="14.25" customHeight="1" x14ac:dyDescent="0.3">
      <c r="A85" s="1">
        <f t="shared" si="8"/>
        <v>85</v>
      </c>
      <c r="K85" s="9"/>
      <c r="L85" s="9"/>
      <c r="N85" s="6">
        <f t="shared" si="7"/>
        <v>51680</v>
      </c>
      <c r="O85" s="3">
        <v>4</v>
      </c>
      <c r="P85" s="3">
        <v>1.6962000000000001E-2</v>
      </c>
      <c r="Q85" s="3">
        <v>365</v>
      </c>
      <c r="T85" s="8">
        <v>18.764383561643836</v>
      </c>
      <c r="U85" s="8">
        <v>1.6702518121916581E-2</v>
      </c>
    </row>
    <row r="86" spans="1:21" ht="14.25" customHeight="1" x14ac:dyDescent="0.3">
      <c r="A86" s="1">
        <f t="shared" si="8"/>
        <v>86</v>
      </c>
      <c r="K86" s="9"/>
      <c r="L86" s="9"/>
      <c r="N86" s="6">
        <f t="shared" si="7"/>
        <v>51772</v>
      </c>
      <c r="O86" s="3">
        <v>4</v>
      </c>
      <c r="P86" s="3">
        <v>1.7147656250000001E-2</v>
      </c>
      <c r="Q86" s="3">
        <v>365</v>
      </c>
      <c r="T86" s="8">
        <v>19.013698630136986</v>
      </c>
      <c r="U86" s="8">
        <v>1.689123550438484E-2</v>
      </c>
    </row>
    <row r="87" spans="1:21" ht="14.25" customHeight="1" x14ac:dyDescent="0.3">
      <c r="A87" s="1">
        <f t="shared" si="8"/>
        <v>87</v>
      </c>
      <c r="K87" s="9"/>
      <c r="L87" s="9"/>
      <c r="N87" s="6">
        <f t="shared" si="7"/>
        <v>51863</v>
      </c>
      <c r="O87" s="3">
        <v>4</v>
      </c>
      <c r="P87" s="3">
        <v>1.734175E-2</v>
      </c>
      <c r="Q87" s="3">
        <v>365</v>
      </c>
      <c r="T87" s="8">
        <v>19.260273972602739</v>
      </c>
      <c r="U87" s="8">
        <v>1.7090215942560508E-2</v>
      </c>
    </row>
    <row r="88" spans="1:21" ht="14.25" customHeight="1" x14ac:dyDescent="0.3">
      <c r="A88" s="1">
        <f t="shared" si="8"/>
        <v>88</v>
      </c>
      <c r="K88" s="9"/>
      <c r="L88" s="9"/>
      <c r="N88" s="6">
        <f t="shared" si="7"/>
        <v>51953</v>
      </c>
      <c r="O88" s="3">
        <v>4</v>
      </c>
      <c r="P88" s="3">
        <v>1.754446875E-2</v>
      </c>
      <c r="Q88" s="3">
        <v>365</v>
      </c>
      <c r="T88" s="8">
        <v>19.509589041095889</v>
      </c>
      <c r="U88" s="8">
        <v>1.7299750067706805E-2</v>
      </c>
    </row>
    <row r="89" spans="1:21" ht="14.25" customHeight="1" x14ac:dyDescent="0.3">
      <c r="A89" s="1">
        <f t="shared" si="8"/>
        <v>89</v>
      </c>
      <c r="K89" s="9"/>
      <c r="L89" s="9"/>
      <c r="N89" s="6">
        <f t="shared" si="7"/>
        <v>52045</v>
      </c>
      <c r="O89" s="3">
        <v>4</v>
      </c>
      <c r="P89" s="3">
        <v>1.7756000000000001E-2</v>
      </c>
      <c r="Q89" s="3">
        <v>365</v>
      </c>
      <c r="T89" s="8">
        <v>19.764383561643836</v>
      </c>
      <c r="U89" s="8">
        <v>1.7520136624212333E-2</v>
      </c>
    </row>
    <row r="90" spans="1:21" ht="14.25" customHeight="1" x14ac:dyDescent="0.3">
      <c r="A90" s="1">
        <f t="shared" si="8"/>
        <v>90</v>
      </c>
      <c r="K90" s="9"/>
      <c r="L90" s="9"/>
      <c r="N90" s="6">
        <f t="shared" si="7"/>
        <v>52137</v>
      </c>
      <c r="O90" s="3">
        <v>4</v>
      </c>
      <c r="P90" s="3">
        <v>1.797653125E-2</v>
      </c>
      <c r="Q90" s="3">
        <v>365</v>
      </c>
      <c r="T90" s="8">
        <v>20.013698630136986</v>
      </c>
      <c r="U90" s="8">
        <v>1.7752010652929407E-2</v>
      </c>
    </row>
    <row r="91" spans="1:21" ht="14.25" customHeight="1" x14ac:dyDescent="0.3">
      <c r="A91" s="1">
        <f t="shared" si="8"/>
        <v>91</v>
      </c>
      <c r="K91" s="9"/>
      <c r="L91" s="9"/>
      <c r="N91" s="6">
        <f t="shared" si="7"/>
        <v>52228</v>
      </c>
      <c r="O91" s="3">
        <v>4</v>
      </c>
      <c r="P91" s="3">
        <v>1.820625E-2</v>
      </c>
      <c r="Q91" s="3">
        <v>365</v>
      </c>
      <c r="T91" s="8">
        <v>20.260273972602739</v>
      </c>
      <c r="U91" s="8">
        <v>1.7995751148512457E-2</v>
      </c>
    </row>
    <row r="92" spans="1:21" ht="14.25" customHeight="1" x14ac:dyDescent="0.3">
      <c r="A92" s="1">
        <f t="shared" si="8"/>
        <v>92</v>
      </c>
      <c r="K92" s="9"/>
      <c r="L92" s="9"/>
      <c r="N92" s="6">
        <f t="shared" si="7"/>
        <v>52318</v>
      </c>
      <c r="O92" s="3">
        <v>4</v>
      </c>
      <c r="P92" s="3">
        <v>1.8445343749999999E-2</v>
      </c>
      <c r="Q92" s="3">
        <v>365</v>
      </c>
      <c r="T92" s="8">
        <v>20.509589041095889</v>
      </c>
      <c r="U92" s="8">
        <v>1.8251685084223986E-2</v>
      </c>
    </row>
    <row r="93" spans="1:21" ht="14.25" customHeight="1" x14ac:dyDescent="0.3">
      <c r="A93" s="1">
        <f t="shared" si="8"/>
        <v>93</v>
      </c>
      <c r="K93" s="9"/>
      <c r="L93" s="9"/>
      <c r="N93" s="6">
        <f t="shared" si="7"/>
        <v>52410</v>
      </c>
      <c r="O93" s="3">
        <v>4</v>
      </c>
      <c r="P93" s="3">
        <v>1.8694000000000002E-2</v>
      </c>
      <c r="Q93" s="3">
        <v>365</v>
      </c>
      <c r="T93" s="8">
        <v>20.764383561643836</v>
      </c>
      <c r="U93" s="8">
        <v>1.8520162185945231E-2</v>
      </c>
    </row>
    <row r="94" spans="1:21" ht="14.25" customHeight="1" x14ac:dyDescent="0.3">
      <c r="A94" s="1">
        <f t="shared" si="8"/>
        <v>94</v>
      </c>
      <c r="K94" s="9"/>
      <c r="L94" s="9"/>
      <c r="N94" s="6">
        <f t="shared" si="7"/>
        <v>52502</v>
      </c>
      <c r="O94" s="3">
        <v>4</v>
      </c>
      <c r="P94" s="3">
        <v>1.8952406249999998E-2</v>
      </c>
      <c r="Q94" s="3">
        <v>365</v>
      </c>
      <c r="T94" s="8">
        <v>21.013698630136986</v>
      </c>
      <c r="U94" s="8">
        <v>1.8801981719623568E-2</v>
      </c>
    </row>
    <row r="95" spans="1:21" ht="14.25" customHeight="1" x14ac:dyDescent="0.3">
      <c r="A95" s="1">
        <f t="shared" si="8"/>
        <v>95</v>
      </c>
      <c r="K95" s="9"/>
      <c r="L95" s="9"/>
      <c r="N95" s="6">
        <f t="shared" si="7"/>
        <v>52593</v>
      </c>
      <c r="O95" s="3">
        <v>4</v>
      </c>
      <c r="P95" s="3">
        <v>1.9220750000000002E-2</v>
      </c>
      <c r="Q95" s="3">
        <v>365</v>
      </c>
      <c r="T95" s="8">
        <v>21.260273972602739</v>
      </c>
      <c r="U95" s="8">
        <v>1.9097593135401537E-2</v>
      </c>
    </row>
    <row r="96" spans="1:21" ht="14.25" customHeight="1" x14ac:dyDescent="0.3">
      <c r="A96" s="1">
        <f t="shared" si="8"/>
        <v>96</v>
      </c>
      <c r="K96" s="9"/>
      <c r="L96" s="9"/>
      <c r="N96" s="6">
        <f t="shared" si="7"/>
        <v>52684</v>
      </c>
      <c r="O96" s="3">
        <v>4</v>
      </c>
      <c r="P96" s="3">
        <v>1.9499218749999998E-2</v>
      </c>
      <c r="Q96" s="3">
        <v>365</v>
      </c>
      <c r="T96" s="8">
        <v>21.509589041095889</v>
      </c>
      <c r="U96" s="8">
        <v>1.940737814529889E-2</v>
      </c>
    </row>
    <row r="97" spans="1:21" ht="14.25" customHeight="1" x14ac:dyDescent="0.3">
      <c r="A97" s="1">
        <f t="shared" si="8"/>
        <v>97</v>
      </c>
      <c r="K97" s="9"/>
      <c r="L97" s="9"/>
      <c r="N97" s="6">
        <f t="shared" si="7"/>
        <v>52776</v>
      </c>
      <c r="O97" s="3">
        <v>4</v>
      </c>
      <c r="P97" s="3">
        <v>1.9788E-2</v>
      </c>
      <c r="Q97" s="3">
        <v>365</v>
      </c>
      <c r="T97" s="8">
        <v>21.764383561643836</v>
      </c>
      <c r="U97" s="8">
        <v>1.9731761376135089E-2</v>
      </c>
    </row>
    <row r="98" spans="1:21" ht="14.25" customHeight="1" x14ac:dyDescent="0.3">
      <c r="A98" s="1">
        <f t="shared" si="8"/>
        <v>98</v>
      </c>
      <c r="K98" s="9"/>
      <c r="L98" s="9"/>
      <c r="N98" s="6">
        <f t="shared" si="7"/>
        <v>52868</v>
      </c>
      <c r="O98" s="3">
        <v>4</v>
      </c>
      <c r="P98" s="3">
        <v>2.0087281250000002E-2</v>
      </c>
      <c r="Q98" s="3">
        <v>365</v>
      </c>
      <c r="T98" s="8">
        <v>22.013698630136986</v>
      </c>
      <c r="U98" s="8">
        <v>2.0071766908942919E-2</v>
      </c>
    </row>
    <row r="99" spans="1:21" ht="14.25" customHeight="1" x14ac:dyDescent="0.3">
      <c r="A99" s="1">
        <f t="shared" si="8"/>
        <v>99</v>
      </c>
      <c r="K99" s="9"/>
      <c r="L99" s="9"/>
      <c r="N99" s="6">
        <f t="shared" si="7"/>
        <v>52959</v>
      </c>
      <c r="O99" s="3">
        <v>4</v>
      </c>
      <c r="P99" s="3">
        <v>2.0397249999999999E-2</v>
      </c>
      <c r="Q99" s="3">
        <v>365</v>
      </c>
      <c r="T99" s="8">
        <v>22.263013698630136</v>
      </c>
      <c r="U99" s="8">
        <v>2.0427843266905939E-2</v>
      </c>
    </row>
    <row r="100" spans="1:21" ht="14.25" customHeight="1" x14ac:dyDescent="0.3">
      <c r="A100" s="1">
        <f t="shared" si="8"/>
        <v>100</v>
      </c>
      <c r="K100" s="9"/>
      <c r="L100" s="9"/>
      <c r="N100" s="6">
        <f t="shared" si="7"/>
        <v>53049</v>
      </c>
      <c r="O100" s="3">
        <v>4</v>
      </c>
      <c r="P100" s="3">
        <v>2.071809375E-2</v>
      </c>
      <c r="Q100" s="3">
        <v>365</v>
      </c>
      <c r="T100" s="8">
        <v>22.515068493150686</v>
      </c>
      <c r="U100" s="8">
        <v>2.0800544520523007E-2</v>
      </c>
    </row>
    <row r="101" spans="1:21" ht="14.25" customHeight="1" x14ac:dyDescent="0.3">
      <c r="A101" s="1">
        <f t="shared" si="8"/>
        <v>101</v>
      </c>
      <c r="K101" s="9"/>
      <c r="L101" s="9"/>
      <c r="N101" s="6">
        <f t="shared" si="7"/>
        <v>53141</v>
      </c>
      <c r="O101" s="3">
        <v>4</v>
      </c>
      <c r="P101" s="3">
        <v>2.1049999999999999E-2</v>
      </c>
      <c r="Q101" s="3">
        <v>365</v>
      </c>
      <c r="T101" s="8">
        <v>22.767123287671232</v>
      </c>
      <c r="U101" s="8">
        <v>2.1190711355186267E-2</v>
      </c>
    </row>
    <row r="102" spans="1:21" ht="14.25" customHeight="1" x14ac:dyDescent="0.3">
      <c r="A102" s="1">
        <f t="shared" si="8"/>
        <v>102</v>
      </c>
      <c r="K102" s="9"/>
      <c r="L102" s="9"/>
      <c r="N102" s="6">
        <f t="shared" si="7"/>
        <v>53233</v>
      </c>
      <c r="O102" s="3">
        <v>4</v>
      </c>
      <c r="P102" s="3">
        <v>2.1393156249999996E-2</v>
      </c>
      <c r="Q102" s="3">
        <v>365</v>
      </c>
      <c r="T102" s="8">
        <v>23.016438356164382</v>
      </c>
      <c r="U102" s="8">
        <v>2.1599241754619521E-2</v>
      </c>
    </row>
    <row r="103" spans="1:21" ht="14.25" customHeight="1" x14ac:dyDescent="0.3">
      <c r="A103" s="1">
        <f t="shared" si="8"/>
        <v>103</v>
      </c>
      <c r="K103" s="9"/>
      <c r="L103" s="9"/>
      <c r="N103" s="6">
        <f t="shared" si="7"/>
        <v>53324</v>
      </c>
      <c r="O103" s="3">
        <v>4</v>
      </c>
      <c r="P103" s="3">
        <v>2.1747750000000003E-2</v>
      </c>
      <c r="Q103" s="3">
        <v>365</v>
      </c>
      <c r="T103" s="8">
        <v>23.263013698630136</v>
      </c>
      <c r="U103" s="8">
        <v>2.2026995813115086E-2</v>
      </c>
    </row>
    <row r="104" spans="1:21" ht="14.25" customHeight="1" x14ac:dyDescent="0.3">
      <c r="A104" s="1">
        <f t="shared" si="8"/>
        <v>104</v>
      </c>
      <c r="K104" s="9"/>
      <c r="L104" s="9"/>
      <c r="N104" s="6">
        <f t="shared" si="7"/>
        <v>53414</v>
      </c>
      <c r="O104" s="3">
        <v>4</v>
      </c>
      <c r="P104" s="3">
        <v>2.2113968749999997E-2</v>
      </c>
      <c r="Q104" s="3">
        <v>365</v>
      </c>
      <c r="T104" s="8">
        <v>23.515068493150686</v>
      </c>
      <c r="U104" s="8">
        <v>2.2474398433821648E-2</v>
      </c>
    </row>
    <row r="105" spans="1:21" ht="14.25" customHeight="1" x14ac:dyDescent="0.3">
      <c r="A105" s="1">
        <f t="shared" si="8"/>
        <v>105</v>
      </c>
      <c r="K105" s="9"/>
      <c r="L105" s="9"/>
      <c r="N105" s="6">
        <f t="shared" si="7"/>
        <v>53506</v>
      </c>
      <c r="O105" s="3">
        <v>4</v>
      </c>
      <c r="P105" s="3">
        <v>2.2492000000000002E-2</v>
      </c>
      <c r="Q105" s="3">
        <v>365</v>
      </c>
      <c r="T105" s="8">
        <v>23.767123287671232</v>
      </c>
      <c r="U105" s="8">
        <v>2.2942714015062197E-2</v>
      </c>
    </row>
    <row r="106" spans="1:21" ht="14.25" customHeight="1" x14ac:dyDescent="0.3">
      <c r="A106" s="1">
        <f t="shared" si="8"/>
        <v>106</v>
      </c>
      <c r="K106" s="9"/>
      <c r="L106" s="9"/>
      <c r="N106" s="6">
        <f t="shared" si="7"/>
        <v>53598</v>
      </c>
      <c r="O106" s="3">
        <v>4</v>
      </c>
      <c r="P106" s="3">
        <v>2.288203125E-2</v>
      </c>
      <c r="Q106" s="3">
        <v>365</v>
      </c>
      <c r="T106" s="8">
        <v>24.016438356164382</v>
      </c>
      <c r="U106" s="8">
        <v>2.3433142323278359E-2</v>
      </c>
    </row>
    <row r="107" spans="1:21" ht="14.25" customHeight="1" x14ac:dyDescent="0.3">
      <c r="A107" s="1">
        <f t="shared" si="8"/>
        <v>107</v>
      </c>
      <c r="K107" s="9"/>
      <c r="L107" s="9"/>
      <c r="N107" s="6">
        <f t="shared" si="7"/>
        <v>53689</v>
      </c>
      <c r="O107" s="3">
        <v>4</v>
      </c>
      <c r="P107" s="3">
        <v>2.3284249999999999E-2</v>
      </c>
      <c r="Q107" s="3">
        <v>365</v>
      </c>
      <c r="T107" s="8">
        <v>24.263013698630136</v>
      </c>
      <c r="U107" s="8">
        <v>2.394683319763604E-2</v>
      </c>
    </row>
    <row r="108" spans="1:21" ht="14.25" customHeight="1" x14ac:dyDescent="0.3">
      <c r="A108" s="1">
        <f t="shared" si="8"/>
        <v>108</v>
      </c>
      <c r="K108" s="9"/>
      <c r="L108" s="9"/>
      <c r="N108" s="6">
        <f t="shared" si="7"/>
        <v>53779</v>
      </c>
      <c r="O108" s="3">
        <v>4</v>
      </c>
      <c r="P108" s="3">
        <v>2.3698843750000004E-2</v>
      </c>
      <c r="Q108" s="3">
        <v>365</v>
      </c>
      <c r="T108" s="8">
        <v>24.515068493150686</v>
      </c>
      <c r="U108" s="8">
        <v>2.4484372688972116E-2</v>
      </c>
    </row>
    <row r="109" spans="1:21" ht="14.25" customHeight="1" x14ac:dyDescent="0.3">
      <c r="A109" s="1">
        <f t="shared" si="8"/>
        <v>109</v>
      </c>
      <c r="K109" s="9"/>
      <c r="L109" s="9"/>
      <c r="N109" s="6">
        <f t="shared" si="7"/>
        <v>53871</v>
      </c>
      <c r="O109" s="3">
        <v>4</v>
      </c>
      <c r="P109" s="3">
        <v>2.4125999999999998E-2</v>
      </c>
      <c r="Q109" s="3">
        <v>365</v>
      </c>
      <c r="T109" s="8">
        <v>24.767123287671232</v>
      </c>
      <c r="U109" s="8">
        <v>2.5047482975837039E-2</v>
      </c>
    </row>
    <row r="110" spans="1:21" ht="14.25" customHeight="1" x14ac:dyDescent="0.3">
      <c r="A110" s="1">
        <f t="shared" si="8"/>
        <v>110</v>
      </c>
      <c r="K110" s="9"/>
      <c r="L110" s="9"/>
      <c r="N110" s="6">
        <f t="shared" si="7"/>
        <v>53963</v>
      </c>
      <c r="O110" s="3">
        <v>4</v>
      </c>
      <c r="P110" s="3">
        <v>2.4565906250000002E-2</v>
      </c>
      <c r="Q110" s="3">
        <v>365</v>
      </c>
      <c r="T110" s="8">
        <v>25.016438356164382</v>
      </c>
      <c r="U110" s="8">
        <v>2.5637821268081368E-2</v>
      </c>
    </row>
    <row r="111" spans="1:21" ht="14.25" customHeight="1" x14ac:dyDescent="0.3">
      <c r="A111" s="1">
        <f t="shared" si="8"/>
        <v>111</v>
      </c>
      <c r="K111" s="9"/>
      <c r="L111" s="9"/>
      <c r="N111" s="6">
        <f t="shared" si="7"/>
        <v>54054</v>
      </c>
      <c r="O111" s="3">
        <v>4</v>
      </c>
      <c r="P111" s="3">
        <v>2.5018749999999999E-2</v>
      </c>
      <c r="Q111" s="3">
        <v>365</v>
      </c>
      <c r="T111" s="8">
        <v>25.263013698630136</v>
      </c>
      <c r="U111" s="8">
        <v>2.6256991139502632E-2</v>
      </c>
    </row>
    <row r="112" spans="1:21" ht="14.25" customHeight="1" x14ac:dyDescent="0.3">
      <c r="A112" s="1">
        <f t="shared" si="8"/>
        <v>112</v>
      </c>
      <c r="K112" s="9"/>
      <c r="L112" s="9"/>
      <c r="N112" s="6">
        <f t="shared" si="7"/>
        <v>54145</v>
      </c>
      <c r="O112" s="3">
        <v>4</v>
      </c>
      <c r="P112" s="3">
        <v>2.5484718749999996E-2</v>
      </c>
      <c r="Q112" s="3">
        <v>365</v>
      </c>
      <c r="T112" s="8">
        <v>25.515068493150686</v>
      </c>
      <c r="U112" s="8">
        <v>2.6905873633238514E-2</v>
      </c>
    </row>
    <row r="113" spans="1:21" ht="14.25" customHeight="1" x14ac:dyDescent="0.3">
      <c r="A113" s="1">
        <f t="shared" si="8"/>
        <v>113</v>
      </c>
      <c r="K113" s="9"/>
      <c r="L113" s="9"/>
      <c r="N113" s="6">
        <f t="shared" si="7"/>
        <v>54237</v>
      </c>
      <c r="O113" s="3">
        <v>4</v>
      </c>
      <c r="P113" s="3">
        <v>2.5964000000000001E-2</v>
      </c>
      <c r="Q113" s="3">
        <v>365</v>
      </c>
      <c r="T113" s="8">
        <v>25.767123287671232</v>
      </c>
      <c r="U113" s="8">
        <v>2.7586897405934233E-2</v>
      </c>
    </row>
    <row r="114" spans="1:21" ht="14.25" customHeight="1" x14ac:dyDescent="0.3">
      <c r="A114" s="1">
        <f t="shared" si="8"/>
        <v>114</v>
      </c>
      <c r="K114" s="9"/>
      <c r="L114" s="9"/>
      <c r="N114" s="6">
        <f t="shared" si="7"/>
        <v>54329</v>
      </c>
      <c r="O114" s="3">
        <v>4</v>
      </c>
      <c r="P114" s="3">
        <v>2.6456781249999999E-2</v>
      </c>
      <c r="Q114" s="3">
        <v>365</v>
      </c>
      <c r="T114" s="8">
        <v>26.016438356164382</v>
      </c>
      <c r="U114" s="8">
        <v>2.8302446706673753E-2</v>
      </c>
    </row>
    <row r="115" spans="1:21" ht="14.25" customHeight="1" x14ac:dyDescent="0.3">
      <c r="A115" s="1">
        <f t="shared" si="8"/>
        <v>115</v>
      </c>
      <c r="K115" s="9"/>
      <c r="L115" s="9"/>
      <c r="N115" s="6">
        <f t="shared" si="7"/>
        <v>54420</v>
      </c>
      <c r="O115" s="3">
        <v>4</v>
      </c>
      <c r="P115" s="3">
        <v>2.6963250000000001E-2</v>
      </c>
      <c r="Q115" s="3">
        <v>365</v>
      </c>
      <c r="T115" s="8">
        <v>26.265753424657536</v>
      </c>
      <c r="U115" s="8">
        <v>2.9054526939876819E-2</v>
      </c>
    </row>
    <row r="116" spans="1:21" ht="14.25" customHeight="1" x14ac:dyDescent="0.3">
      <c r="A116" s="1">
        <f t="shared" si="8"/>
        <v>116</v>
      </c>
      <c r="K116" s="9"/>
      <c r="L116" s="9"/>
      <c r="N116" s="6">
        <f t="shared" ref="N116:N127" si="9">EDATE(N115,3)</f>
        <v>54510</v>
      </c>
      <c r="O116" s="3">
        <v>4</v>
      </c>
      <c r="P116" s="3">
        <v>2.748359375E-2</v>
      </c>
      <c r="Q116" s="3">
        <v>365</v>
      </c>
      <c r="T116" s="8">
        <v>26.517808219178082</v>
      </c>
      <c r="U116" s="8">
        <v>2.9845301818827278E-2</v>
      </c>
    </row>
    <row r="117" spans="1:21" ht="14.25" customHeight="1" x14ac:dyDescent="0.3">
      <c r="A117" s="1">
        <f t="shared" si="8"/>
        <v>117</v>
      </c>
      <c r="K117" s="9"/>
      <c r="L117" s="9"/>
      <c r="N117" s="6">
        <f t="shared" si="9"/>
        <v>54602</v>
      </c>
      <c r="O117" s="3">
        <v>4</v>
      </c>
      <c r="P117" s="3">
        <v>2.8017999999999998E-2</v>
      </c>
      <c r="Q117" s="3">
        <v>365</v>
      </c>
      <c r="T117" s="8">
        <v>26.769863013698629</v>
      </c>
      <c r="U117" s="8">
        <v>3.0677976850490021E-2</v>
      </c>
    </row>
    <row r="118" spans="1:21" ht="14.25" customHeight="1" x14ac:dyDescent="0.3">
      <c r="A118" s="1">
        <f t="shared" si="8"/>
        <v>118</v>
      </c>
      <c r="K118" s="9"/>
      <c r="L118" s="9"/>
      <c r="N118" s="6">
        <f t="shared" si="9"/>
        <v>54694</v>
      </c>
      <c r="O118" s="3">
        <v>4</v>
      </c>
      <c r="P118" s="3">
        <v>2.8566656250000003E-2</v>
      </c>
      <c r="Q118" s="3">
        <v>365</v>
      </c>
      <c r="T118" s="8">
        <v>27.019178082191782</v>
      </c>
      <c r="U118" s="8">
        <v>3.1556198623802469E-2</v>
      </c>
    </row>
    <row r="119" spans="1:21" ht="14.25" customHeight="1" x14ac:dyDescent="0.3">
      <c r="A119" s="1">
        <f t="shared" si="8"/>
        <v>119</v>
      </c>
      <c r="K119" s="9"/>
      <c r="L119" s="9"/>
      <c r="N119" s="6">
        <f t="shared" si="9"/>
        <v>54785</v>
      </c>
      <c r="O119" s="3">
        <v>4</v>
      </c>
      <c r="P119" s="3">
        <v>2.9129749999999999E-2</v>
      </c>
      <c r="Q119" s="3">
        <v>365</v>
      </c>
      <c r="T119" s="8">
        <v>27.265753424657536</v>
      </c>
      <c r="U119" s="8">
        <v>3.2483562432893388E-2</v>
      </c>
    </row>
    <row r="120" spans="1:21" ht="14.25" customHeight="1" x14ac:dyDescent="0.3">
      <c r="A120" s="1">
        <f t="shared" si="8"/>
        <v>120</v>
      </c>
      <c r="K120" s="9"/>
      <c r="L120" s="9"/>
      <c r="N120" s="6">
        <f t="shared" si="9"/>
        <v>54875</v>
      </c>
      <c r="O120" s="3">
        <v>4</v>
      </c>
      <c r="P120" s="3">
        <v>2.970746875E-2</v>
      </c>
      <c r="Q120" s="3">
        <v>365</v>
      </c>
      <c r="T120" s="8">
        <v>27.517808219178082</v>
      </c>
      <c r="U120" s="8">
        <v>3.3462705333974392E-2</v>
      </c>
    </row>
    <row r="121" spans="1:21" ht="14.25" customHeight="1" x14ac:dyDescent="0.3">
      <c r="A121" s="1">
        <f t="shared" si="8"/>
        <v>121</v>
      </c>
      <c r="K121" s="9"/>
      <c r="L121" s="9"/>
      <c r="N121" s="6">
        <f t="shared" si="9"/>
        <v>54967</v>
      </c>
      <c r="O121" s="3">
        <v>4</v>
      </c>
      <c r="P121" s="3">
        <v>3.0300000000000001E-2</v>
      </c>
      <c r="Q121" s="3">
        <v>365</v>
      </c>
      <c r="T121" s="8">
        <v>27.769863013698629</v>
      </c>
      <c r="U121" s="8">
        <v>3.4499215834679589E-2</v>
      </c>
    </row>
    <row r="122" spans="1:21" ht="14.25" customHeight="1" x14ac:dyDescent="0.3">
      <c r="A122" s="1">
        <f t="shared" si="8"/>
        <v>122</v>
      </c>
      <c r="K122" s="9"/>
      <c r="L122" s="9"/>
      <c r="N122" s="6">
        <f t="shared" si="9"/>
        <v>55059</v>
      </c>
      <c r="O122" s="3">
        <v>4</v>
      </c>
      <c r="P122" s="3">
        <v>3.0907531249999998E-2</v>
      </c>
      <c r="Q122" s="3">
        <v>365</v>
      </c>
      <c r="T122" s="8">
        <v>28.019178082191782</v>
      </c>
      <c r="U122" s="8">
        <v>3.5599007041790455E-2</v>
      </c>
    </row>
    <row r="123" spans="1:21" ht="14.25" customHeight="1" x14ac:dyDescent="0.3">
      <c r="A123" s="1">
        <f t="shared" si="8"/>
        <v>123</v>
      </c>
      <c r="K123" s="9"/>
      <c r="L123" s="9"/>
      <c r="N123" s="6">
        <f t="shared" si="9"/>
        <v>55150</v>
      </c>
      <c r="O123" s="3">
        <v>4</v>
      </c>
      <c r="P123" s="3">
        <v>3.1530249999999996E-2</v>
      </c>
      <c r="Q123" s="3">
        <v>365</v>
      </c>
      <c r="T123" s="8">
        <v>28.265753424657536</v>
      </c>
      <c r="U123" s="8">
        <v>3.6768190372862442E-2</v>
      </c>
    </row>
    <row r="124" spans="1:21" ht="14.25" customHeight="1" x14ac:dyDescent="0.3">
      <c r="A124" s="1">
        <f t="shared" si="8"/>
        <v>124</v>
      </c>
      <c r="K124" s="9"/>
      <c r="L124" s="9"/>
      <c r="N124" s="6">
        <f t="shared" si="9"/>
        <v>55240</v>
      </c>
      <c r="O124" s="3">
        <v>4</v>
      </c>
      <c r="P124" s="3">
        <v>3.2168343750000009E-2</v>
      </c>
      <c r="Q124" s="3">
        <v>365</v>
      </c>
      <c r="T124" s="8">
        <v>28.517808219178082</v>
      </c>
      <c r="U124" s="8">
        <v>3.8011890552058177E-2</v>
      </c>
    </row>
    <row r="125" spans="1:21" ht="14.25" customHeight="1" x14ac:dyDescent="0.3">
      <c r="A125" s="1">
        <f t="shared" si="8"/>
        <v>125</v>
      </c>
      <c r="K125" s="9"/>
      <c r="L125" s="9"/>
      <c r="N125" s="6">
        <f t="shared" si="9"/>
        <v>55332</v>
      </c>
      <c r="O125" s="3">
        <v>4</v>
      </c>
      <c r="P125" s="3">
        <v>3.2822000000000004E-2</v>
      </c>
      <c r="Q125" s="3">
        <v>365</v>
      </c>
      <c r="T125" s="8">
        <v>28.769863013698629</v>
      </c>
      <c r="U125" s="8">
        <v>3.9339682346553613E-2</v>
      </c>
    </row>
    <row r="126" spans="1:21" ht="14.25" customHeight="1" x14ac:dyDescent="0.3">
      <c r="A126" s="1">
        <f t="shared" si="8"/>
        <v>126</v>
      </c>
      <c r="K126" s="9"/>
      <c r="L126" s="9"/>
      <c r="N126" s="6">
        <f t="shared" si="9"/>
        <v>55424</v>
      </c>
      <c r="O126" s="3">
        <v>4</v>
      </c>
      <c r="P126" s="3">
        <v>3.3491406250000001E-2</v>
      </c>
      <c r="Q126" s="3">
        <v>365</v>
      </c>
      <c r="T126" s="8">
        <v>29.019178082191782</v>
      </c>
      <c r="U126" s="8">
        <v>4.076215908617474E-2</v>
      </c>
    </row>
    <row r="127" spans="1:21" ht="14.25" customHeight="1" x14ac:dyDescent="0.3">
      <c r="A127" s="1">
        <f t="shared" si="8"/>
        <v>127</v>
      </c>
      <c r="K127" s="9"/>
      <c r="L127" s="9"/>
      <c r="N127" s="6">
        <f t="shared" si="9"/>
        <v>55515</v>
      </c>
      <c r="O127" s="3">
        <v>4</v>
      </c>
      <c r="P127" s="3">
        <v>3.4176749999999999E-2</v>
      </c>
      <c r="Q127" s="3">
        <v>365</v>
      </c>
      <c r="T127" s="8">
        <v>29.265753424657536</v>
      </c>
      <c r="U127" s="8">
        <v>4.2290947341236541E-2</v>
      </c>
    </row>
    <row r="128" spans="1:21" ht="14.25" customHeight="1" x14ac:dyDescent="0.3">
      <c r="A128" s="1">
        <f t="shared" si="8"/>
        <v>128</v>
      </c>
      <c r="K128" s="9"/>
      <c r="L128" s="9"/>
      <c r="T128" s="8">
        <v>29.517808219178082</v>
      </c>
      <c r="U128" s="8">
        <v>4.3937293761612248E-2</v>
      </c>
    </row>
    <row r="129" spans="1:21" ht="14.25" customHeight="1" x14ac:dyDescent="0.3">
      <c r="A129" s="1">
        <f t="shared" si="8"/>
        <v>129</v>
      </c>
      <c r="K129" s="9"/>
      <c r="L129" s="9"/>
      <c r="T129" s="8">
        <v>29.769863013698629</v>
      </c>
      <c r="U129" s="8">
        <v>4.5719968302371079E-2</v>
      </c>
    </row>
    <row r="130" spans="1:21" ht="14.25" customHeight="1" x14ac:dyDescent="0.3">
      <c r="A130" s="1">
        <f t="shared" ref="A130:A131" si="10">A129+1</f>
        <v>130</v>
      </c>
      <c r="K130" s="9"/>
      <c r="L130" s="9"/>
      <c r="T130" s="8">
        <v>30.019178082191782</v>
      </c>
      <c r="U130" s="8">
        <v>4.7661094231552723E-2</v>
      </c>
    </row>
    <row r="131" spans="1:21" ht="14.25" customHeight="1" x14ac:dyDescent="0.3">
      <c r="A131" s="1">
        <f t="shared" si="10"/>
        <v>131</v>
      </c>
      <c r="K131" s="9"/>
      <c r="L131" s="9"/>
    </row>
    <row r="132" spans="1:21" ht="14.25" customHeight="1" x14ac:dyDescent="0.3">
      <c r="K132" s="9"/>
      <c r="L132" s="9"/>
    </row>
    <row r="133" spans="1:21" ht="14.25" customHeight="1" x14ac:dyDescent="0.3">
      <c r="K133" s="9"/>
      <c r="L133" s="9"/>
    </row>
    <row r="134" spans="1:21" ht="14.25" customHeight="1" x14ac:dyDescent="0.3">
      <c r="K134" s="9"/>
      <c r="L134" s="9"/>
    </row>
    <row r="135" spans="1:21" ht="14.25" customHeight="1" x14ac:dyDescent="0.3">
      <c r="K135" s="9"/>
      <c r="L135" s="9"/>
    </row>
    <row r="136" spans="1:21" ht="14.25" customHeight="1" x14ac:dyDescent="0.3">
      <c r="K136" s="9"/>
      <c r="L136" s="9"/>
    </row>
    <row r="137" spans="1:21" ht="14.25" customHeight="1" x14ac:dyDescent="0.3">
      <c r="K137" s="9"/>
      <c r="L137" s="9"/>
    </row>
    <row r="138" spans="1:21" ht="14.25" customHeight="1" x14ac:dyDescent="0.3">
      <c r="K138" s="9"/>
      <c r="L138" s="9"/>
    </row>
    <row r="139" spans="1:21" ht="14.25" customHeight="1" x14ac:dyDescent="0.3">
      <c r="K139" s="9"/>
      <c r="L139" s="9"/>
    </row>
    <row r="140" spans="1:21" ht="14.25" customHeight="1" x14ac:dyDescent="0.3">
      <c r="K140" s="9"/>
      <c r="L140" s="9"/>
    </row>
    <row r="141" spans="1:21" ht="14.25" customHeight="1" x14ac:dyDescent="0.3">
      <c r="K141" s="9"/>
      <c r="L141" s="9"/>
    </row>
    <row r="142" spans="1:21" ht="14.25" customHeight="1" x14ac:dyDescent="0.3">
      <c r="K142" s="9"/>
      <c r="L142" s="9"/>
    </row>
    <row r="143" spans="1:21" ht="14.25" customHeight="1" x14ac:dyDescent="0.3">
      <c r="K143" s="9"/>
      <c r="L143" s="9"/>
    </row>
    <row r="144" spans="1:21" ht="14.25" customHeight="1" x14ac:dyDescent="0.3">
      <c r="K144" s="9"/>
      <c r="L144" s="9"/>
    </row>
    <row r="145" spans="11:12" ht="14.25" customHeight="1" x14ac:dyDescent="0.3">
      <c r="K145" s="9"/>
      <c r="L145" s="9"/>
    </row>
    <row r="146" spans="11:12" ht="14.25" customHeight="1" x14ac:dyDescent="0.3">
      <c r="K146" s="9"/>
      <c r="L146" s="9"/>
    </row>
    <row r="147" spans="11:12" ht="14.25" customHeight="1" x14ac:dyDescent="0.3">
      <c r="K147" s="9"/>
      <c r="L147" s="9"/>
    </row>
    <row r="148" spans="11:12" ht="14.25" customHeight="1" x14ac:dyDescent="0.3">
      <c r="K148" s="9"/>
      <c r="L148" s="9"/>
    </row>
    <row r="149" spans="11:12" ht="14.25" customHeight="1" x14ac:dyDescent="0.3">
      <c r="K149" s="9"/>
      <c r="L149" s="9"/>
    </row>
    <row r="150" spans="11:12" ht="14.25" customHeight="1" x14ac:dyDescent="0.3">
      <c r="K150" s="9"/>
      <c r="L150" s="9"/>
    </row>
    <row r="151" spans="11:12" ht="14.25" customHeight="1" x14ac:dyDescent="0.3">
      <c r="K151" s="9"/>
      <c r="L151" s="9"/>
    </row>
    <row r="152" spans="11:12" ht="14.25" customHeight="1" x14ac:dyDescent="0.3">
      <c r="K152" s="9"/>
      <c r="L152" s="9"/>
    </row>
    <row r="153" spans="11:12" ht="14.25" customHeight="1" x14ac:dyDescent="0.3">
      <c r="K153" s="9"/>
      <c r="L153" s="9"/>
    </row>
    <row r="154" spans="11:12" ht="14.25" customHeight="1" x14ac:dyDescent="0.3">
      <c r="K154" s="9"/>
      <c r="L154" s="9"/>
    </row>
    <row r="155" spans="11:12" ht="14.25" customHeight="1" x14ac:dyDescent="0.3">
      <c r="K155" s="9"/>
      <c r="L155" s="9"/>
    </row>
    <row r="156" spans="11:12" ht="14.25" customHeight="1" x14ac:dyDescent="0.3">
      <c r="K156" s="9"/>
      <c r="L156" s="9"/>
    </row>
    <row r="157" spans="11:12" ht="14.25" customHeight="1" x14ac:dyDescent="0.3">
      <c r="K157" s="9"/>
      <c r="L157" s="9"/>
    </row>
    <row r="158" spans="11:12" ht="14.25" customHeight="1" x14ac:dyDescent="0.3">
      <c r="K158" s="9"/>
      <c r="L158" s="9"/>
    </row>
    <row r="159" spans="11:12" ht="14.25" customHeight="1" x14ac:dyDescent="0.3">
      <c r="K159" s="9"/>
      <c r="L159" s="9"/>
    </row>
    <row r="160" spans="11:12" ht="14.25" customHeight="1" x14ac:dyDescent="0.3">
      <c r="K160" s="9"/>
      <c r="L160" s="9"/>
    </row>
    <row r="161" spans="11:12" ht="14.25" customHeight="1" x14ac:dyDescent="0.3">
      <c r="K161" s="9"/>
      <c r="L161" s="9"/>
    </row>
    <row r="162" spans="11:12" ht="14.25" customHeight="1" x14ac:dyDescent="0.3">
      <c r="K162" s="9"/>
      <c r="L162" s="9"/>
    </row>
    <row r="163" spans="11:12" ht="14.25" customHeight="1" x14ac:dyDescent="0.3">
      <c r="K163" s="9"/>
      <c r="L163" s="9"/>
    </row>
    <row r="164" spans="11:12" ht="14.25" customHeight="1" x14ac:dyDescent="0.3">
      <c r="K164" s="9"/>
      <c r="L164" s="9"/>
    </row>
    <row r="165" spans="11:12" ht="14.25" customHeight="1" x14ac:dyDescent="0.3">
      <c r="K165" s="9"/>
      <c r="L165" s="9"/>
    </row>
    <row r="166" spans="11:12" ht="14.25" customHeight="1" x14ac:dyDescent="0.3">
      <c r="K166" s="9"/>
      <c r="L166" s="9"/>
    </row>
    <row r="167" spans="11:12" ht="14.25" customHeight="1" x14ac:dyDescent="0.3">
      <c r="K167" s="9"/>
      <c r="L167" s="9"/>
    </row>
    <row r="168" spans="11:12" ht="14.25" customHeight="1" x14ac:dyDescent="0.3">
      <c r="K168" s="9"/>
      <c r="L168" s="9"/>
    </row>
    <row r="169" spans="11:12" ht="14.25" customHeight="1" x14ac:dyDescent="0.3">
      <c r="K169" s="9"/>
      <c r="L169" s="9"/>
    </row>
    <row r="170" spans="11:12" ht="14.25" customHeight="1" x14ac:dyDescent="0.3">
      <c r="K170" s="9"/>
      <c r="L170" s="9"/>
    </row>
    <row r="171" spans="11:12" ht="14.25" customHeight="1" x14ac:dyDescent="0.3">
      <c r="K171" s="9"/>
      <c r="L171" s="9"/>
    </row>
    <row r="172" spans="11:12" ht="14.25" customHeight="1" x14ac:dyDescent="0.3">
      <c r="K172" s="9"/>
      <c r="L172" s="9"/>
    </row>
    <row r="173" spans="11:12" ht="14.25" customHeight="1" x14ac:dyDescent="0.3">
      <c r="K173" s="9"/>
      <c r="L173" s="9"/>
    </row>
    <row r="174" spans="11:12" ht="14.25" customHeight="1" x14ac:dyDescent="0.3">
      <c r="K174" s="9"/>
      <c r="L174" s="9"/>
    </row>
    <row r="175" spans="11:12" ht="14.25" customHeight="1" x14ac:dyDescent="0.3">
      <c r="K175" s="9"/>
      <c r="L175" s="9"/>
    </row>
    <row r="176" spans="11:12" ht="14.25" customHeight="1" x14ac:dyDescent="0.3">
      <c r="K176" s="9"/>
      <c r="L176" s="9"/>
    </row>
    <row r="177" spans="11:12" ht="14.25" customHeight="1" x14ac:dyDescent="0.3">
      <c r="K177" s="9"/>
      <c r="L177" s="9"/>
    </row>
    <row r="178" spans="11:12" ht="14.25" customHeight="1" x14ac:dyDescent="0.3">
      <c r="K178" s="9"/>
      <c r="L178" s="9"/>
    </row>
    <row r="179" spans="11:12" ht="14.25" customHeight="1" x14ac:dyDescent="0.3">
      <c r="K179" s="9"/>
      <c r="L179" s="9"/>
    </row>
    <row r="180" spans="11:12" ht="14.25" customHeight="1" x14ac:dyDescent="0.3">
      <c r="K180" s="9"/>
      <c r="L180" s="9"/>
    </row>
    <row r="181" spans="11:12" ht="14.25" customHeight="1" x14ac:dyDescent="0.3">
      <c r="K181" s="9"/>
      <c r="L181" s="9"/>
    </row>
    <row r="182" spans="11:12" ht="14.25" customHeight="1" x14ac:dyDescent="0.3">
      <c r="K182" s="9"/>
      <c r="L182" s="9"/>
    </row>
    <row r="183" spans="11:12" ht="14.25" customHeight="1" x14ac:dyDescent="0.3">
      <c r="K183" s="9"/>
      <c r="L183" s="9"/>
    </row>
    <row r="184" spans="11:12" ht="14.25" customHeight="1" x14ac:dyDescent="0.3">
      <c r="K184" s="9"/>
      <c r="L184" s="9"/>
    </row>
    <row r="185" spans="11:12" ht="14.25" customHeight="1" x14ac:dyDescent="0.3">
      <c r="K185" s="9"/>
      <c r="L185" s="9"/>
    </row>
    <row r="186" spans="11:12" ht="14.25" customHeight="1" x14ac:dyDescent="0.3">
      <c r="K186" s="9"/>
      <c r="L186" s="9"/>
    </row>
    <row r="187" spans="11:12" ht="14.25" customHeight="1" x14ac:dyDescent="0.3">
      <c r="K187" s="9"/>
      <c r="L187" s="9"/>
    </row>
    <row r="188" spans="11:12" ht="14.25" customHeight="1" x14ac:dyDescent="0.3">
      <c r="K188" s="9"/>
      <c r="L188" s="9"/>
    </row>
    <row r="189" spans="11:12" ht="14.25" customHeight="1" x14ac:dyDescent="0.3">
      <c r="K189" s="9"/>
      <c r="L189" s="9"/>
    </row>
    <row r="190" spans="11:12" ht="14.25" customHeight="1" x14ac:dyDescent="0.3">
      <c r="K190" s="9"/>
      <c r="L190" s="9"/>
    </row>
    <row r="191" spans="11:12" ht="14.25" customHeight="1" x14ac:dyDescent="0.3">
      <c r="K191" s="9"/>
      <c r="L191" s="9"/>
    </row>
    <row r="192" spans="11:12" ht="14.25" customHeight="1" x14ac:dyDescent="0.3">
      <c r="K192" s="9"/>
      <c r="L192" s="9"/>
    </row>
    <row r="193" spans="11:12" ht="14.25" customHeight="1" x14ac:dyDescent="0.3">
      <c r="K193" s="9"/>
      <c r="L193" s="9"/>
    </row>
    <row r="194" spans="11:12" ht="14.25" customHeight="1" x14ac:dyDescent="0.3">
      <c r="K194" s="9"/>
      <c r="L194" s="9"/>
    </row>
    <row r="195" spans="11:12" ht="14.25" customHeight="1" x14ac:dyDescent="0.3">
      <c r="K195" s="9"/>
      <c r="L195" s="9"/>
    </row>
    <row r="196" spans="11:12" ht="14.25" customHeight="1" x14ac:dyDescent="0.3">
      <c r="K196" s="9"/>
      <c r="L196" s="9"/>
    </row>
    <row r="197" spans="11:12" ht="14.25" customHeight="1" x14ac:dyDescent="0.3">
      <c r="K197" s="9"/>
      <c r="L197" s="9"/>
    </row>
    <row r="198" spans="11:12" ht="14.25" customHeight="1" x14ac:dyDescent="0.3">
      <c r="K198" s="9"/>
      <c r="L198" s="9"/>
    </row>
    <row r="199" spans="11:12" ht="14.25" customHeight="1" x14ac:dyDescent="0.3">
      <c r="K199" s="9"/>
      <c r="L199" s="9"/>
    </row>
    <row r="200" spans="11:12" ht="14.25" customHeight="1" x14ac:dyDescent="0.3">
      <c r="K200" s="9"/>
      <c r="L200" s="9"/>
    </row>
    <row r="201" spans="11:12" ht="14.25" customHeight="1" x14ac:dyDescent="0.3">
      <c r="K201" s="9"/>
      <c r="L201" s="9"/>
    </row>
    <row r="202" spans="11:12" ht="14.25" customHeight="1" x14ac:dyDescent="0.3">
      <c r="K202" s="9"/>
      <c r="L202" s="9"/>
    </row>
    <row r="203" spans="11:12" ht="14.25" customHeight="1" x14ac:dyDescent="0.3">
      <c r="K203" s="9"/>
      <c r="L203" s="9"/>
    </row>
    <row r="204" spans="11:12" ht="14.25" customHeight="1" x14ac:dyDescent="0.3">
      <c r="K204" s="9"/>
      <c r="L204" s="9"/>
    </row>
    <row r="205" spans="11:12" ht="14.25" customHeight="1" x14ac:dyDescent="0.3">
      <c r="K205" s="9"/>
      <c r="L205" s="9"/>
    </row>
    <row r="206" spans="11:12" ht="14.25" customHeight="1" x14ac:dyDescent="0.3">
      <c r="K206" s="9"/>
      <c r="L206" s="9"/>
    </row>
    <row r="207" spans="11:12" ht="14.25" customHeight="1" x14ac:dyDescent="0.3">
      <c r="K207" s="9"/>
      <c r="L207" s="9"/>
    </row>
    <row r="208" spans="11:12" ht="14.25" customHeight="1" x14ac:dyDescent="0.3">
      <c r="K208" s="9"/>
      <c r="L208" s="9"/>
    </row>
    <row r="209" spans="11:12" ht="14.25" customHeight="1" x14ac:dyDescent="0.3">
      <c r="K209" s="9"/>
      <c r="L209" s="9"/>
    </row>
    <row r="210" spans="11:12" ht="14.25" customHeight="1" x14ac:dyDescent="0.3">
      <c r="K210" s="9"/>
      <c r="L210" s="9"/>
    </row>
    <row r="211" spans="11:12" ht="14.25" customHeight="1" x14ac:dyDescent="0.3">
      <c r="K211" s="9"/>
      <c r="L211" s="9"/>
    </row>
    <row r="212" spans="11:12" ht="14.25" customHeight="1" x14ac:dyDescent="0.3">
      <c r="K212" s="9"/>
      <c r="L212" s="9"/>
    </row>
    <row r="213" spans="11:12" ht="14.25" customHeight="1" x14ac:dyDescent="0.3">
      <c r="K213" s="9"/>
      <c r="L213" s="9"/>
    </row>
    <row r="214" spans="11:12" ht="14.25" customHeight="1" x14ac:dyDescent="0.3">
      <c r="K214" s="9"/>
      <c r="L214" s="9"/>
    </row>
    <row r="215" spans="11:12" ht="14.25" customHeight="1" x14ac:dyDescent="0.3">
      <c r="K215" s="9"/>
      <c r="L215" s="9"/>
    </row>
    <row r="216" spans="11:12" ht="14.25" customHeight="1" x14ac:dyDescent="0.3">
      <c r="K216" s="9"/>
      <c r="L216" s="9"/>
    </row>
    <row r="217" spans="11:12" ht="14.25" customHeight="1" x14ac:dyDescent="0.3">
      <c r="K217" s="9"/>
      <c r="L217" s="9"/>
    </row>
    <row r="218" spans="11:12" ht="14.25" customHeight="1" x14ac:dyDescent="0.3">
      <c r="K218" s="9"/>
      <c r="L218" s="9"/>
    </row>
    <row r="219" spans="11:12" ht="14.25" customHeight="1" x14ac:dyDescent="0.3">
      <c r="K219" s="9"/>
      <c r="L219" s="9"/>
    </row>
    <row r="220" spans="11:12" ht="14.25" customHeight="1" x14ac:dyDescent="0.3">
      <c r="K220" s="9"/>
      <c r="L220" s="9"/>
    </row>
    <row r="221" spans="11:12" ht="14.25" customHeight="1" x14ac:dyDescent="0.3">
      <c r="K221" s="9"/>
      <c r="L221" s="9"/>
    </row>
    <row r="222" spans="11:12" ht="14.25" customHeight="1" x14ac:dyDescent="0.3">
      <c r="K222" s="9"/>
      <c r="L222" s="9"/>
    </row>
    <row r="223" spans="11:12" ht="14.25" customHeight="1" x14ac:dyDescent="0.3">
      <c r="K223" s="9"/>
      <c r="L223" s="9"/>
    </row>
    <row r="224" spans="11:12" ht="14.25" customHeight="1" x14ac:dyDescent="0.3">
      <c r="K224" s="9"/>
      <c r="L224" s="9"/>
    </row>
    <row r="225" spans="11:12" ht="14.25" customHeight="1" x14ac:dyDescent="0.3">
      <c r="K225" s="9"/>
      <c r="L225" s="9"/>
    </row>
    <row r="226" spans="11:12" ht="14.25" customHeight="1" x14ac:dyDescent="0.3">
      <c r="K226" s="9"/>
      <c r="L226" s="9"/>
    </row>
    <row r="227" spans="11:12" ht="14.25" customHeight="1" x14ac:dyDescent="0.3">
      <c r="K227" s="9"/>
      <c r="L227" s="9"/>
    </row>
    <row r="228" spans="11:12" ht="14.25" customHeight="1" x14ac:dyDescent="0.3">
      <c r="K228" s="9"/>
      <c r="L228" s="9"/>
    </row>
    <row r="229" spans="11:12" ht="14.25" customHeight="1" x14ac:dyDescent="0.3">
      <c r="K229" s="9"/>
      <c r="L229" s="9"/>
    </row>
    <row r="230" spans="11:12" ht="14.25" customHeight="1" x14ac:dyDescent="0.3">
      <c r="K230" s="9"/>
      <c r="L230" s="9"/>
    </row>
    <row r="231" spans="11:12" ht="14.25" customHeight="1" x14ac:dyDescent="0.3">
      <c r="K231" s="9"/>
      <c r="L231" s="9"/>
    </row>
    <row r="232" spans="11:12" ht="14.25" customHeight="1" x14ac:dyDescent="0.3">
      <c r="K232" s="9"/>
      <c r="L232" s="9"/>
    </row>
    <row r="233" spans="11:12" ht="14.25" customHeight="1" x14ac:dyDescent="0.3">
      <c r="K233" s="9"/>
      <c r="L233" s="9"/>
    </row>
    <row r="234" spans="11:12" ht="14.25" customHeight="1" x14ac:dyDescent="0.3">
      <c r="K234" s="9"/>
      <c r="L234" s="9"/>
    </row>
    <row r="235" spans="11:12" ht="14.25" customHeight="1" x14ac:dyDescent="0.3">
      <c r="K235" s="9"/>
      <c r="L235" s="9"/>
    </row>
    <row r="236" spans="11:12" ht="14.25" customHeight="1" x14ac:dyDescent="0.3">
      <c r="K236" s="9"/>
      <c r="L236" s="9"/>
    </row>
    <row r="237" spans="11:12" ht="14.25" customHeight="1" x14ac:dyDescent="0.3">
      <c r="K237" s="9"/>
      <c r="L237" s="9"/>
    </row>
    <row r="238" spans="11:12" ht="14.25" customHeight="1" x14ac:dyDescent="0.3">
      <c r="K238" s="9"/>
      <c r="L238" s="9"/>
    </row>
    <row r="239" spans="11:12" ht="14.25" customHeight="1" x14ac:dyDescent="0.3">
      <c r="K239" s="9"/>
      <c r="L239" s="9"/>
    </row>
    <row r="240" spans="11:12" ht="14.25" customHeight="1" x14ac:dyDescent="0.3">
      <c r="K240" s="9"/>
      <c r="L240" s="9"/>
    </row>
    <row r="241" spans="11:12" ht="14.25" customHeight="1" x14ac:dyDescent="0.3">
      <c r="K241" s="9"/>
      <c r="L241" s="9"/>
    </row>
    <row r="242" spans="11:12" ht="14.25" customHeight="1" x14ac:dyDescent="0.3">
      <c r="K242" s="9"/>
      <c r="L242" s="9"/>
    </row>
    <row r="243" spans="11:12" ht="14.25" customHeight="1" x14ac:dyDescent="0.3">
      <c r="K243" s="9"/>
      <c r="L243" s="9"/>
    </row>
    <row r="244" spans="11:12" ht="14.25" customHeight="1" x14ac:dyDescent="0.3">
      <c r="K244" s="9"/>
      <c r="L244" s="9"/>
    </row>
    <row r="245" spans="11:12" ht="14.25" customHeight="1" x14ac:dyDescent="0.3">
      <c r="K245" s="9"/>
      <c r="L245" s="9"/>
    </row>
    <row r="246" spans="11:12" ht="14.25" customHeight="1" x14ac:dyDescent="0.3">
      <c r="K246" s="9"/>
      <c r="L246" s="9"/>
    </row>
    <row r="247" spans="11:12" ht="14.25" customHeight="1" x14ac:dyDescent="0.3">
      <c r="K247" s="9"/>
      <c r="L247" s="9"/>
    </row>
    <row r="248" spans="11:12" ht="14.25" customHeight="1" x14ac:dyDescent="0.3">
      <c r="K248" s="9"/>
      <c r="L248" s="9"/>
    </row>
    <row r="249" spans="11:12" ht="14.25" customHeight="1" x14ac:dyDescent="0.3">
      <c r="K249" s="9"/>
      <c r="L249" s="9"/>
    </row>
    <row r="250" spans="11:12" ht="14.25" customHeight="1" x14ac:dyDescent="0.3">
      <c r="K250" s="9"/>
      <c r="L250" s="9"/>
    </row>
    <row r="251" spans="11:12" ht="14.25" customHeight="1" x14ac:dyDescent="0.3">
      <c r="K251" s="9"/>
      <c r="L251" s="9"/>
    </row>
    <row r="252" spans="11:12" ht="14.25" customHeight="1" x14ac:dyDescent="0.3">
      <c r="K252" s="9"/>
      <c r="L252" s="9"/>
    </row>
    <row r="253" spans="11:12" ht="14.25" customHeight="1" x14ac:dyDescent="0.3">
      <c r="K253" s="9"/>
      <c r="L253" s="9"/>
    </row>
    <row r="254" spans="11:12" ht="14.25" customHeight="1" x14ac:dyDescent="0.3">
      <c r="K254" s="9"/>
      <c r="L254" s="9"/>
    </row>
  </sheetData>
  <mergeCells count="12">
    <mergeCell ref="X4:Y6"/>
    <mergeCell ref="AA10:AB10"/>
    <mergeCell ref="AA9:AB9"/>
    <mergeCell ref="D8:G8"/>
    <mergeCell ref="I8:L8"/>
    <mergeCell ref="N8:Q8"/>
    <mergeCell ref="T8:U9"/>
    <mergeCell ref="D9:E9"/>
    <mergeCell ref="I9:J9"/>
    <mergeCell ref="N9:O9"/>
    <mergeCell ref="I5:K5"/>
    <mergeCell ref="D6:Q6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ZeroMake">
                <anchor moveWithCells="1" sizeWithCells="1">
                  <from>
                    <xdr:col>19</xdr:col>
                    <xdr:colOff>352425</xdr:colOff>
                    <xdr:row>3</xdr:row>
                    <xdr:rowOff>66675</xdr:rowOff>
                  </from>
                  <to>
                    <xdr:col>20</xdr:col>
                    <xdr:colOff>390525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Rate">
                <anchor moveWithCells="1" sizeWithCells="1">
                  <from>
                    <xdr:col>26</xdr:col>
                    <xdr:colOff>314325</xdr:colOff>
                    <xdr:row>3</xdr:row>
                    <xdr:rowOff>123825</xdr:rowOff>
                  </from>
                  <to>
                    <xdr:col>27</xdr:col>
                    <xdr:colOff>457200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 대선</cp:lastModifiedBy>
  <dcterms:created xsi:type="dcterms:W3CDTF">2021-12-10T06:20:02Z</dcterms:created>
  <dcterms:modified xsi:type="dcterms:W3CDTF">2022-05-04T05:10:57Z</dcterms:modified>
</cp:coreProperties>
</file>