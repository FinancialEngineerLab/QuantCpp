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firstSheet="1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AN44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U13" i="4"/>
  <c r="U12" i="4"/>
  <c r="U11" i="4"/>
  <c r="U10" i="4"/>
  <c r="U9" i="4"/>
  <c r="U8" i="4"/>
  <c r="U7" i="4"/>
  <c r="U6" i="4"/>
  <c r="U5" i="4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I16" i="2"/>
  <c r="C16" i="2"/>
  <c r="A16" i="2"/>
  <c r="AK15" i="2"/>
  <c r="AE15" i="2"/>
  <c r="AD15" i="2"/>
  <c r="I15" i="2"/>
  <c r="C15" i="2"/>
  <c r="B15" i="2"/>
  <c r="A15" i="2"/>
  <c r="AK14" i="2"/>
  <c r="AM16" i="2" s="1"/>
  <c r="AI14" i="2"/>
  <c r="AE14" i="2"/>
  <c r="N14" i="2"/>
  <c r="O14" i="2" s="1"/>
  <c r="Q14" i="2" s="1"/>
  <c r="I14" i="2"/>
  <c r="G14" i="2"/>
  <c r="C14" i="2"/>
  <c r="A14" i="2"/>
  <c r="Q13" i="2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N15" i="2" l="1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<sst xmlns="http://schemas.openxmlformats.org/spreadsheetml/2006/main" count="202" uniqueCount="97">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</sst>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441960</xdr:colOff>
          <xdr:row>8</xdr:row>
          <xdr:rowOff>129540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U48" sqref="U48:U54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6" t="s">
        <v>0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</row>
    <row r="3" spans="1:45" x14ac:dyDescent="0.4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</row>
    <row r="4" spans="1:45" x14ac:dyDescent="0.4">
      <c r="A4" s="14">
        <f>4</f>
        <v>4</v>
      </c>
      <c r="B4" s="74" t="s">
        <v>2</v>
      </c>
      <c r="C4" s="74"/>
      <c r="D4" s="75">
        <v>2</v>
      </c>
      <c r="E4" s="75"/>
    </row>
    <row r="5" spans="1:45" x14ac:dyDescent="0.4">
      <c r="A5" s="14">
        <f>A4+1</f>
        <v>5</v>
      </c>
      <c r="G5" s="79" t="s">
        <v>22</v>
      </c>
      <c r="H5" s="81" t="s">
        <v>21</v>
      </c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</row>
    <row r="6" spans="1:45" x14ac:dyDescent="0.4">
      <c r="A6" s="14">
        <f t="shared" ref="A6:A69" si="1">A5+1</f>
        <v>6</v>
      </c>
      <c r="B6" s="74" t="s">
        <v>3</v>
      </c>
      <c r="C6" s="74"/>
      <c r="D6" s="75">
        <v>1</v>
      </c>
      <c r="E6" s="75"/>
      <c r="G6" s="80"/>
      <c r="H6" s="82" t="s">
        <v>7</v>
      </c>
      <c r="I6" s="83"/>
      <c r="L6" s="78" t="s">
        <v>11</v>
      </c>
      <c r="M6" s="78"/>
      <c r="N6" s="78"/>
      <c r="Q6" s="78" t="s">
        <v>12</v>
      </c>
      <c r="R6" s="78"/>
      <c r="S6" s="78"/>
      <c r="V6" s="78" t="s">
        <v>13</v>
      </c>
      <c r="W6" s="78"/>
      <c r="X6" s="78"/>
    </row>
    <row r="7" spans="1:45" x14ac:dyDescent="0.4">
      <c r="A7" s="14">
        <f t="shared" si="1"/>
        <v>7</v>
      </c>
      <c r="B7" s="74" t="s">
        <v>4</v>
      </c>
      <c r="C7" s="74"/>
      <c r="D7" s="75">
        <v>0</v>
      </c>
      <c r="E7" s="75"/>
      <c r="G7" s="80"/>
      <c r="H7" s="84"/>
      <c r="I7" s="85"/>
      <c r="L7" s="78"/>
      <c r="M7" s="78"/>
      <c r="N7" s="78"/>
      <c r="Q7" s="78"/>
      <c r="R7" s="78"/>
      <c r="S7" s="78"/>
      <c r="V7" s="78"/>
      <c r="W7" s="78"/>
      <c r="X7" s="78"/>
    </row>
    <row r="8" spans="1:45" x14ac:dyDescent="0.4">
      <c r="A8" s="14">
        <f t="shared" si="1"/>
        <v>8</v>
      </c>
      <c r="B8" s="74" t="s">
        <v>1</v>
      </c>
      <c r="C8" s="74"/>
      <c r="D8" s="75">
        <v>0.01</v>
      </c>
      <c r="E8" s="75"/>
      <c r="G8" s="80"/>
      <c r="V8" s="78" t="s">
        <v>14</v>
      </c>
      <c r="W8" s="78"/>
      <c r="X8" s="5">
        <v>3</v>
      </c>
    </row>
    <row r="9" spans="1:45" x14ac:dyDescent="0.4">
      <c r="A9" s="14">
        <f t="shared" si="1"/>
        <v>9</v>
      </c>
      <c r="G9" s="80"/>
      <c r="H9" s="2" t="s">
        <v>8</v>
      </c>
      <c r="I9" s="3">
        <v>2.9307461512110663E-2</v>
      </c>
      <c r="Q9" s="78" t="s">
        <v>15</v>
      </c>
      <c r="R9" s="78"/>
      <c r="S9" s="5">
        <v>3</v>
      </c>
      <c r="V9" s="76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0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77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0"/>
      <c r="H11" s="1">
        <v>0.5</v>
      </c>
      <c r="I11" s="4">
        <v>9.1600982051938656E-3</v>
      </c>
      <c r="L11" s="10">
        <v>1</v>
      </c>
      <c r="M11" s="11">
        <v>2.7397260273972603E-3</v>
      </c>
      <c r="N11" s="12">
        <v>3.0499999999999999E-2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0.1615</v>
      </c>
      <c r="X11" s="13">
        <v>0.17050000000000001</v>
      </c>
      <c r="Y11" s="13">
        <v>0.17899999999999999</v>
      </c>
      <c r="Z11" s="13">
        <v>0.189</v>
      </c>
      <c r="AA11" s="13">
        <v>0.19800000000000001</v>
      </c>
      <c r="AB11" s="13">
        <v>0.193</v>
      </c>
      <c r="AC11" s="13">
        <v>0.189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0"/>
      <c r="H12" s="1">
        <v>1</v>
      </c>
      <c r="I12" s="4">
        <v>8.6840004529778331E-3</v>
      </c>
      <c r="L12" s="10">
        <f>L11+1</f>
        <v>2</v>
      </c>
      <c r="M12" s="11">
        <v>1</v>
      </c>
      <c r="N12" s="12">
        <v>3.4509999999999999E-2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0.16550000000000001</v>
      </c>
      <c r="X12" s="13">
        <v>0.17150000000000001</v>
      </c>
      <c r="Y12" s="13">
        <v>0.17800000000000002</v>
      </c>
      <c r="Z12" s="13">
        <v>0.184</v>
      </c>
      <c r="AA12" s="13">
        <v>0.192</v>
      </c>
      <c r="AB12" s="13">
        <v>0.1865</v>
      </c>
      <c r="AC12" s="13">
        <v>0.18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87" t="s">
        <v>6</v>
      </c>
      <c r="E13" s="87"/>
      <c r="G13" s="80"/>
      <c r="H13" s="1">
        <v>1.5</v>
      </c>
      <c r="I13" s="4">
        <v>8.43309818345306E-3</v>
      </c>
      <c r="L13" s="10">
        <f t="shared" ref="L13:L40" si="2">L12+1</f>
        <v>3</v>
      </c>
      <c r="M13" s="11">
        <v>2</v>
      </c>
      <c r="N13" s="12">
        <v>4.2229999999999997E-2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0.17300000000000001</v>
      </c>
      <c r="X13" s="13">
        <v>0.17800000000000002</v>
      </c>
      <c r="Y13" s="13">
        <v>0.17949999999999999</v>
      </c>
      <c r="Z13" s="13">
        <v>0.183</v>
      </c>
      <c r="AA13" s="13">
        <v>0.187</v>
      </c>
      <c r="AB13" s="13">
        <v>0.18099999999999999</v>
      </c>
      <c r="AC13" s="13">
        <v>0.17599999999999999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87"/>
      <c r="E14" s="87"/>
      <c r="G14" s="80"/>
      <c r="H14" s="1">
        <v>2</v>
      </c>
      <c r="I14" s="4">
        <v>7.8692961501670537E-3</v>
      </c>
      <c r="L14" s="10">
        <f t="shared" si="2"/>
        <v>4</v>
      </c>
      <c r="M14" s="11">
        <v>3</v>
      </c>
      <c r="N14" s="12">
        <v>4.2360000000000002E-2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0.184</v>
      </c>
      <c r="X14" s="13">
        <v>0.1855</v>
      </c>
      <c r="Y14" s="13">
        <v>0.182</v>
      </c>
      <c r="Z14" s="13">
        <v>0.1825</v>
      </c>
      <c r="AA14" s="13">
        <v>0.183</v>
      </c>
      <c r="AB14" s="13">
        <v>0.17699999999999999</v>
      </c>
      <c r="AC14" s="13">
        <v>0.17199999999999999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87"/>
      <c r="E15" s="87"/>
      <c r="G15" s="80"/>
      <c r="H15" s="1">
        <v>3</v>
      </c>
      <c r="I15" s="4">
        <v>8.4900537388060207E-3</v>
      </c>
      <c r="L15" s="10">
        <f t="shared" si="2"/>
        <v>5</v>
      </c>
      <c r="M15" s="11">
        <v>4</v>
      </c>
      <c r="N15" s="12">
        <v>4.335E-2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0.1925</v>
      </c>
      <c r="X15" s="13">
        <v>0.1865</v>
      </c>
      <c r="Y15" s="13">
        <v>0.1825</v>
      </c>
      <c r="Z15" s="13">
        <v>0.17899999999999999</v>
      </c>
      <c r="AA15" s="13">
        <v>0.17550000000000002</v>
      </c>
      <c r="AB15" s="13">
        <v>0.17199999999999999</v>
      </c>
      <c r="AC15" s="13">
        <v>0.17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0"/>
      <c r="H16" s="1">
        <v>4</v>
      </c>
      <c r="I16" s="4">
        <v>7.7235122001558321E-3</v>
      </c>
      <c r="L16" s="10">
        <f t="shared" si="2"/>
        <v>6</v>
      </c>
      <c r="M16" s="11">
        <v>5</v>
      </c>
      <c r="N16" s="12">
        <v>4.2889999999999998E-2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0.189</v>
      </c>
      <c r="X16" s="13">
        <v>0.1855</v>
      </c>
      <c r="Y16" s="13">
        <v>0.18049999999999999</v>
      </c>
      <c r="Z16" s="13">
        <v>0.17599999999999999</v>
      </c>
      <c r="AA16" s="13">
        <v>0.17199999999999999</v>
      </c>
      <c r="AB16" s="13">
        <v>0.17</v>
      </c>
      <c r="AC16" s="13">
        <v>0.16800000000000001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88">
        <v>44852.82545138889</v>
      </c>
      <c r="E17" s="88"/>
      <c r="G17" s="80"/>
      <c r="H17" s="1">
        <v>5</v>
      </c>
      <c r="I17" s="4">
        <v>8.4245602427419856E-3</v>
      </c>
      <c r="L17" s="10">
        <f t="shared" si="2"/>
        <v>7</v>
      </c>
      <c r="M17" s="11">
        <v>10</v>
      </c>
      <c r="N17" s="12">
        <v>4.274E-2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0.193</v>
      </c>
      <c r="X17" s="13">
        <v>0.1855</v>
      </c>
      <c r="Y17" s="13">
        <v>0.182</v>
      </c>
      <c r="Z17" s="13">
        <v>0.17749999999999999</v>
      </c>
      <c r="AA17" s="13">
        <v>0.17300000000000001</v>
      </c>
      <c r="AB17" s="13">
        <v>0.17199999999999999</v>
      </c>
      <c r="AC17" s="13">
        <v>0.16900000000000001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88">
        <v>44852.82545138889</v>
      </c>
      <c r="E18" s="88"/>
      <c r="G18" s="80"/>
      <c r="H18" s="1">
        <v>7</v>
      </c>
      <c r="I18" s="4">
        <v>8.0770400386837946E-3</v>
      </c>
      <c r="L18" s="10">
        <f t="shared" si="2"/>
        <v>8</v>
      </c>
      <c r="M18" s="11">
        <v>20</v>
      </c>
      <c r="N18" s="12">
        <v>4.1399999999999999E-2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0.18099999999999999</v>
      </c>
      <c r="X18" s="13">
        <v>0.17849999999999999</v>
      </c>
      <c r="Y18" s="13">
        <v>0.17599999999999999</v>
      </c>
      <c r="Z18" s="13">
        <v>0.17349999999999999</v>
      </c>
      <c r="AA18" s="13">
        <v>0.17</v>
      </c>
      <c r="AB18" s="13">
        <v>0.16800000000000001</v>
      </c>
      <c r="AC18" s="13">
        <v>0.16400000000000001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0"/>
      <c r="H19" s="1">
        <v>10</v>
      </c>
      <c r="I19" s="4">
        <v>7.5827632505627582E-3</v>
      </c>
      <c r="L19" s="10">
        <f t="shared" si="2"/>
        <v>9</v>
      </c>
      <c r="M19" s="11">
        <v>30</v>
      </c>
      <c r="N19" s="12">
        <v>4.0489999999999998E-2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0.18099999999999999</v>
      </c>
      <c r="X19" s="13">
        <v>0.17949999999999999</v>
      </c>
      <c r="Y19" s="13">
        <v>0.17599999999999999</v>
      </c>
      <c r="Z19" s="13">
        <v>0.17349999999999999</v>
      </c>
      <c r="AA19" s="13">
        <v>0.17</v>
      </c>
      <c r="AB19" s="13">
        <v>0.16699999999999998</v>
      </c>
      <c r="AC19" s="13">
        <v>0.158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0"/>
      <c r="H20" s="1"/>
      <c r="I20" s="4"/>
      <c r="L20" s="10">
        <f t="shared" si="2"/>
        <v>10</v>
      </c>
      <c r="M20" s="11"/>
      <c r="N20" s="12"/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0"/>
      <c r="H21" s="1"/>
      <c r="I21" s="4"/>
      <c r="L21" s="10">
        <f t="shared" si="2"/>
        <v>11</v>
      </c>
      <c r="M21" s="11"/>
      <c r="N21" s="12"/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0"/>
      <c r="H22" s="1"/>
      <c r="I22" s="4"/>
      <c r="L22" s="10">
        <f t="shared" si="2"/>
        <v>12</v>
      </c>
      <c r="M22" s="11"/>
      <c r="N22" s="12"/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0"/>
      <c r="H23" s="1"/>
      <c r="I23" s="4"/>
      <c r="L23" s="10">
        <f t="shared" si="2"/>
        <v>13</v>
      </c>
      <c r="M23" s="11"/>
      <c r="N23" s="12"/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0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0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0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0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0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0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0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0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0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0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0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0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0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0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0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0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0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79" t="s">
        <v>24</v>
      </c>
      <c r="H42" s="81" t="s">
        <v>23</v>
      </c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</row>
    <row r="43" spans="1:40" x14ac:dyDescent="0.4">
      <c r="A43" s="14">
        <f t="shared" si="1"/>
        <v>43</v>
      </c>
      <c r="B43" s="74" t="s">
        <v>3</v>
      </c>
      <c r="C43" s="74"/>
      <c r="D43" s="75">
        <v>1</v>
      </c>
      <c r="E43" s="75"/>
      <c r="G43" s="80"/>
      <c r="H43" s="82" t="s">
        <v>7</v>
      </c>
      <c r="I43" s="83"/>
      <c r="L43" s="78" t="s">
        <v>11</v>
      </c>
      <c r="M43" s="78"/>
      <c r="N43" s="78"/>
      <c r="Q43" s="78" t="s">
        <v>12</v>
      </c>
      <c r="R43" s="78"/>
      <c r="S43" s="78"/>
      <c r="V43" s="78" t="s">
        <v>13</v>
      </c>
      <c r="W43" s="78"/>
      <c r="X43" s="78"/>
    </row>
    <row r="44" spans="1:40" x14ac:dyDescent="0.4">
      <c r="A44" s="14">
        <f t="shared" si="1"/>
        <v>44</v>
      </c>
      <c r="B44" s="74" t="s">
        <v>4</v>
      </c>
      <c r="C44" s="74"/>
      <c r="D44" s="75">
        <v>0</v>
      </c>
      <c r="E44" s="75"/>
      <c r="G44" s="80"/>
      <c r="H44" s="84"/>
      <c r="I44" s="85"/>
      <c r="L44" s="78"/>
      <c r="M44" s="78"/>
      <c r="N44" s="78"/>
      <c r="Q44" s="78"/>
      <c r="R44" s="78"/>
      <c r="S44" s="78"/>
      <c r="V44" s="78"/>
      <c r="W44" s="78"/>
      <c r="X44" s="78"/>
    </row>
    <row r="45" spans="1:40" x14ac:dyDescent="0.4">
      <c r="A45" s="14">
        <f t="shared" si="1"/>
        <v>45</v>
      </c>
      <c r="B45" s="74" t="s">
        <v>1</v>
      </c>
      <c r="C45" s="74"/>
      <c r="D45" s="75">
        <v>0.01</v>
      </c>
      <c r="E45" s="75"/>
      <c r="G45" s="80"/>
      <c r="V45" s="78" t="s">
        <v>14</v>
      </c>
      <c r="W45" s="78"/>
      <c r="X45" s="5">
        <v>3</v>
      </c>
    </row>
    <row r="46" spans="1:40" x14ac:dyDescent="0.4">
      <c r="A46" s="14">
        <f t="shared" si="1"/>
        <v>46</v>
      </c>
      <c r="G46" s="80"/>
      <c r="H46" s="2" t="s">
        <v>8</v>
      </c>
      <c r="I46" s="3">
        <v>7.8286944395838352E-3</v>
      </c>
      <c r="Q46" s="78" t="s">
        <v>15</v>
      </c>
      <c r="R46" s="78"/>
      <c r="S46" s="5">
        <v>3</v>
      </c>
      <c r="V46" s="76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0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77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0"/>
      <c r="H48" s="1">
        <v>0.5</v>
      </c>
      <c r="I48" s="4">
        <v>8.0166028250245255E-3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0.16434168787402886</v>
      </c>
      <c r="X48" s="13">
        <v>0.17331660541725327</v>
      </c>
      <c r="Y48" s="13">
        <v>0.18389227153588408</v>
      </c>
      <c r="Z48" s="13">
        <v>0.18957177711912104</v>
      </c>
      <c r="AA48" s="13">
        <v>0.19868827273125536</v>
      </c>
      <c r="AB48" s="13">
        <v>0.1933608468774079</v>
      </c>
      <c r="AC48" s="13">
        <v>0.18988942222162261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0"/>
      <c r="H49" s="1">
        <v>1</v>
      </c>
      <c r="I49" s="4">
        <v>7.0297015000270122E-3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0.16711575189940855</v>
      </c>
      <c r="X49" s="13">
        <v>0.17223277511673557</v>
      </c>
      <c r="Y49" s="13">
        <v>0.18247552214154233</v>
      </c>
      <c r="Z49" s="13">
        <v>0.1877944614164018</v>
      </c>
      <c r="AA49" s="13">
        <v>0.19299640749308344</v>
      </c>
      <c r="AB49" s="13">
        <v>0.18876406981026</v>
      </c>
      <c r="AC49" s="13">
        <v>0.1801238010687459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87" t="s">
        <v>6</v>
      </c>
      <c r="E50" s="87"/>
      <c r="G50" s="80"/>
      <c r="H50" s="1">
        <v>1.5</v>
      </c>
      <c r="I50" s="4">
        <v>7.5497558658616046E-3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0.17404080130561936</v>
      </c>
      <c r="X50" s="13">
        <v>0.18227136749713319</v>
      </c>
      <c r="Y50" s="13">
        <v>0.18348104392010717</v>
      </c>
      <c r="Z50" s="13">
        <v>0.18666375929734186</v>
      </c>
      <c r="AA50" s="13">
        <v>0.19090004504473471</v>
      </c>
      <c r="AB50" s="13">
        <v>0.18131869380597596</v>
      </c>
      <c r="AC50" s="13">
        <v>0.18058935792856598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87"/>
      <c r="E51" s="87"/>
      <c r="G51" s="80"/>
      <c r="H51" s="1">
        <v>2</v>
      </c>
      <c r="I51" s="4">
        <v>6.7939538030882289E-3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0.18702682763852729</v>
      </c>
      <c r="X51" s="13">
        <v>0.18951491183930222</v>
      </c>
      <c r="Y51" s="13">
        <v>0.18644310169676806</v>
      </c>
      <c r="Z51" s="13">
        <v>0.18438544513377153</v>
      </c>
      <c r="AA51" s="13">
        <v>0.18541479871739408</v>
      </c>
      <c r="AB51" s="13">
        <v>0.17717613046935257</v>
      </c>
      <c r="AC51" s="13">
        <v>0.17649021678069085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87"/>
      <c r="E52" s="87"/>
      <c r="G52" s="80"/>
      <c r="H52" s="1">
        <v>3</v>
      </c>
      <c r="I52" s="4">
        <v>7.3111029213330219E-3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0.1940371677881321</v>
      </c>
      <c r="X52" s="13">
        <v>0.19137681677497567</v>
      </c>
      <c r="Y52" s="13">
        <v>0.1871749862507337</v>
      </c>
      <c r="Z52" s="13">
        <v>0.17937257030241843</v>
      </c>
      <c r="AA52" s="13">
        <v>0.18040069342335543</v>
      </c>
      <c r="AB52" s="13">
        <v>0.17492963240514572</v>
      </c>
      <c r="AC52" s="13">
        <v>0.17240863276377219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0"/>
      <c r="H53" s="1">
        <v>4</v>
      </c>
      <c r="I53" s="4">
        <v>6.3686116825640605E-3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0.19178449024457578</v>
      </c>
      <c r="X53" s="13">
        <v>0.18923573548596104</v>
      </c>
      <c r="Y53" s="13">
        <v>0.18229896126040593</v>
      </c>
      <c r="Z53" s="13">
        <v>0.17636830666588851</v>
      </c>
      <c r="AA53" s="13">
        <v>0.17493709045267392</v>
      </c>
      <c r="AB53" s="13">
        <v>0.17379388192157058</v>
      </c>
      <c r="AC53" s="13">
        <v>0.16980706636998824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88">
        <v>44852.82545138889</v>
      </c>
      <c r="E54" s="88"/>
      <c r="G54" s="80"/>
      <c r="H54" s="1">
        <v>5</v>
      </c>
      <c r="I54" s="4">
        <v>6.9539897615562571E-3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0.196185107372043</v>
      </c>
      <c r="X54" s="13">
        <v>0.18703133289981455</v>
      </c>
      <c r="Y54" s="13">
        <v>0.18348739345452553</v>
      </c>
      <c r="Z54" s="13">
        <v>0.18064634905996188</v>
      </c>
      <c r="AA54" s="13">
        <v>0.17762985175765875</v>
      </c>
      <c r="AB54" s="13">
        <v>0.17244843792577588</v>
      </c>
      <c r="AC54" s="13">
        <v>0.17044120852128711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88">
        <v>44852.825462962966</v>
      </c>
      <c r="E55" s="88"/>
      <c r="G55" s="80"/>
      <c r="H55" s="1">
        <v>7</v>
      </c>
      <c r="I55" s="4">
        <v>7.8023669257137876E-3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0.18244163544637693</v>
      </c>
      <c r="X55" s="13">
        <v>0.18081390154370894</v>
      </c>
      <c r="Y55" s="13">
        <v>0.1791603800827547</v>
      </c>
      <c r="Z55" s="13">
        <v>0.17763947086819354</v>
      </c>
      <c r="AA55" s="13">
        <v>0.17099732722068076</v>
      </c>
      <c r="AB55" s="13">
        <v>0.17156800987879536</v>
      </c>
      <c r="AC55" s="13">
        <v>0.16650085643237639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0"/>
      <c r="H56" s="1">
        <v>10</v>
      </c>
      <c r="I56" s="4">
        <v>8.6793975715128355E-3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0.18404621830526616</v>
      </c>
      <c r="X56" s="13">
        <v>0.18337116082562099</v>
      </c>
      <c r="Y56" s="13">
        <v>0.1784132449421624</v>
      </c>
      <c r="Z56" s="13">
        <v>0.17657200821606189</v>
      </c>
      <c r="AA56" s="13">
        <v>0.17293319162819595</v>
      </c>
      <c r="AB56" s="13">
        <v>0.16733549492199806</v>
      </c>
      <c r="AC56" s="13">
        <v>0.16242134733632341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0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0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0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0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0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0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0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0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0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0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0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0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0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0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0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0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0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0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0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0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0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79" t="s">
        <v>26</v>
      </c>
      <c r="H79" s="81" t="s">
        <v>25</v>
      </c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81"/>
      <c r="T79" s="81"/>
      <c r="U79" s="81"/>
      <c r="V79" s="81"/>
      <c r="W79" s="81"/>
      <c r="X79" s="81"/>
    </row>
    <row r="80" spans="1:40" x14ac:dyDescent="0.4">
      <c r="A80" s="14">
        <f t="shared" si="6"/>
        <v>80</v>
      </c>
      <c r="B80" s="74" t="s">
        <v>3</v>
      </c>
      <c r="C80" s="74"/>
      <c r="D80" s="75">
        <v>1</v>
      </c>
      <c r="E80" s="75"/>
      <c r="G80" s="80"/>
      <c r="H80" s="82" t="s">
        <v>7</v>
      </c>
      <c r="I80" s="83"/>
      <c r="L80" s="78" t="s">
        <v>11</v>
      </c>
      <c r="M80" s="78"/>
      <c r="N80" s="78"/>
      <c r="Q80" s="78" t="s">
        <v>12</v>
      </c>
      <c r="R80" s="78"/>
      <c r="S80" s="78"/>
      <c r="V80" s="78" t="s">
        <v>13</v>
      </c>
      <c r="W80" s="78"/>
      <c r="X80" s="78"/>
    </row>
    <row r="81" spans="1:40" x14ac:dyDescent="0.4">
      <c r="A81" s="14">
        <f t="shared" si="6"/>
        <v>81</v>
      </c>
      <c r="B81" s="74" t="s">
        <v>4</v>
      </c>
      <c r="C81" s="74"/>
      <c r="D81" s="75">
        <v>0</v>
      </c>
      <c r="E81" s="75"/>
      <c r="G81" s="80"/>
      <c r="H81" s="84"/>
      <c r="I81" s="85"/>
      <c r="L81" s="78"/>
      <c r="M81" s="78"/>
      <c r="N81" s="78"/>
      <c r="Q81" s="78"/>
      <c r="R81" s="78"/>
      <c r="S81" s="78"/>
      <c r="V81" s="78"/>
      <c r="W81" s="78"/>
      <c r="X81" s="78"/>
    </row>
    <row r="82" spans="1:40" x14ac:dyDescent="0.4">
      <c r="A82" s="14">
        <f t="shared" si="6"/>
        <v>82</v>
      </c>
      <c r="B82" s="74" t="s">
        <v>1</v>
      </c>
      <c r="C82" s="74"/>
      <c r="D82" s="75">
        <v>0.01</v>
      </c>
      <c r="E82" s="75"/>
      <c r="G82" s="80"/>
      <c r="V82" s="78" t="s">
        <v>14</v>
      </c>
      <c r="W82" s="78"/>
      <c r="X82" s="5">
        <v>3</v>
      </c>
    </row>
    <row r="83" spans="1:40" x14ac:dyDescent="0.4">
      <c r="A83" s="14">
        <f t="shared" si="6"/>
        <v>83</v>
      </c>
      <c r="G83" s="80"/>
      <c r="H83" s="2" t="s">
        <v>8</v>
      </c>
      <c r="I83" s="3">
        <v>6.483333333333334E-3</v>
      </c>
      <c r="Q83" s="78" t="s">
        <v>15</v>
      </c>
      <c r="R83" s="78"/>
      <c r="S83" s="5">
        <v>3</v>
      </c>
      <c r="V83" s="76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0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77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0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0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87" t="s">
        <v>6</v>
      </c>
      <c r="E87" s="87"/>
      <c r="G87" s="80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87"/>
      <c r="E88" s="87"/>
      <c r="G88" s="80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87"/>
      <c r="E89" s="87"/>
      <c r="G89" s="80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0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88">
        <v>44803.697731481479</v>
      </c>
      <c r="E91" s="88"/>
      <c r="G91" s="80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88">
        <v>44803.697754629633</v>
      </c>
      <c r="E92" s="88"/>
      <c r="G92" s="80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0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0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0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0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0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0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0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0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0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0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0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0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0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0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0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0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0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0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0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0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0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0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79" t="s">
        <v>28</v>
      </c>
      <c r="H116" s="81" t="s">
        <v>27</v>
      </c>
      <c r="I116" s="81"/>
      <c r="J116" s="81"/>
      <c r="K116" s="81"/>
      <c r="L116" s="81"/>
      <c r="M116" s="81"/>
      <c r="N116" s="81"/>
      <c r="O116" s="81"/>
      <c r="P116" s="81"/>
      <c r="Q116" s="81"/>
      <c r="R116" s="81"/>
      <c r="S116" s="81"/>
      <c r="T116" s="81"/>
      <c r="U116" s="81"/>
      <c r="V116" s="81"/>
      <c r="W116" s="81"/>
      <c r="X116" s="81"/>
    </row>
    <row r="117" spans="2:40" x14ac:dyDescent="0.4">
      <c r="B117" s="74" t="s">
        <v>3</v>
      </c>
      <c r="C117" s="74"/>
      <c r="D117" s="75">
        <v>1</v>
      </c>
      <c r="E117" s="75"/>
      <c r="G117" s="80"/>
      <c r="H117" s="82" t="s">
        <v>7</v>
      </c>
      <c r="I117" s="83"/>
      <c r="L117" s="78" t="s">
        <v>11</v>
      </c>
      <c r="M117" s="78"/>
      <c r="N117" s="78"/>
      <c r="Q117" s="78" t="s">
        <v>12</v>
      </c>
      <c r="R117" s="78"/>
      <c r="S117" s="78"/>
      <c r="V117" s="78" t="s">
        <v>13</v>
      </c>
      <c r="W117" s="78"/>
      <c r="X117" s="78"/>
    </row>
    <row r="118" spans="2:40" x14ac:dyDescent="0.4">
      <c r="B118" s="74" t="s">
        <v>4</v>
      </c>
      <c r="C118" s="74"/>
      <c r="D118" s="75">
        <v>0</v>
      </c>
      <c r="E118" s="75"/>
      <c r="G118" s="80"/>
      <c r="H118" s="84"/>
      <c r="I118" s="85"/>
      <c r="L118" s="78"/>
      <c r="M118" s="78"/>
      <c r="N118" s="78"/>
      <c r="Q118" s="78"/>
      <c r="R118" s="78"/>
      <c r="S118" s="78"/>
      <c r="V118" s="78"/>
      <c r="W118" s="78"/>
      <c r="X118" s="78"/>
    </row>
    <row r="119" spans="2:40" x14ac:dyDescent="0.4">
      <c r="B119" s="74" t="s">
        <v>1</v>
      </c>
      <c r="C119" s="74"/>
      <c r="D119" s="75">
        <v>0.01</v>
      </c>
      <c r="E119" s="75"/>
      <c r="G119" s="80"/>
      <c r="V119" s="78" t="s">
        <v>14</v>
      </c>
      <c r="W119" s="78"/>
      <c r="X119" s="5">
        <v>3</v>
      </c>
    </row>
    <row r="120" spans="2:40" x14ac:dyDescent="0.4">
      <c r="G120" s="80"/>
      <c r="H120" s="2" t="s">
        <v>8</v>
      </c>
      <c r="I120" s="3">
        <v>7.3000000000000009E-3</v>
      </c>
      <c r="Q120" s="78" t="s">
        <v>15</v>
      </c>
      <c r="R120" s="78"/>
      <c r="S120" s="5">
        <v>3</v>
      </c>
      <c r="V120" s="76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0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77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0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0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87" t="s">
        <v>6</v>
      </c>
      <c r="E124" s="87"/>
      <c r="G124" s="80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87"/>
      <c r="E125" s="87"/>
      <c r="G125" s="80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87"/>
      <c r="E126" s="87"/>
      <c r="G126" s="80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0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88">
        <v>44803.697754629633</v>
      </c>
      <c r="E128" s="88"/>
      <c r="G128" s="80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88">
        <v>44803.697777777779</v>
      </c>
      <c r="E129" s="88"/>
      <c r="G129" s="80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0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0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0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0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0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0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0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0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0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0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0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0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0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0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0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0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0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0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0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0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0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0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441960</xdr:colOff>
                    <xdr:row>8</xdr:row>
                    <xdr:rowOff>129540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9" zoomScale="85" zoomScaleNormal="85" workbookViewId="0">
      <selection activeCell="C64" sqref="C64"/>
    </sheetView>
  </sheetViews>
  <sheetFormatPr defaultColWidth="11.3984375" defaultRowHeight="16.2" customHeight="1" x14ac:dyDescent="0.4"/>
  <cols>
    <col min="1" max="1" width="11.3984375" style="42"/>
    <col min="2" max="2" width="11.3984375" style="51"/>
    <col min="3" max="3" width="11.3984375" style="68"/>
    <col min="4" max="9" width="11.3984375" style="48"/>
    <col min="10" max="11" width="11.3984375" style="72"/>
    <col min="12" max="12" width="11.3984375" style="71"/>
    <col min="13" max="13" width="11.3984375" style="43"/>
    <col min="14" max="21" width="11.3984375" style="52"/>
    <col min="22" max="26" width="11.3984375" style="43"/>
    <col min="27" max="28" width="0" style="43" hidden="1" customWidth="1"/>
    <col min="29" max="41" width="11.3984375" style="43"/>
    <col min="42" max="43" width="11.3984375" style="52"/>
    <col min="44" max="46" width="11.3984375" style="53"/>
    <col min="47" max="48" width="11.3984375" style="54"/>
    <col min="49" max="49" width="11.3984375" style="48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4" t="s">
        <v>29</v>
      </c>
      <c r="C3" s="154"/>
      <c r="D3" s="110">
        <v>44851</v>
      </c>
      <c r="E3" s="111"/>
      <c r="F3" s="150" t="s">
        <v>31</v>
      </c>
      <c r="G3" s="150"/>
      <c r="H3" s="111">
        <v>0</v>
      </c>
      <c r="I3" s="111"/>
      <c r="J3" s="150" t="s">
        <v>71</v>
      </c>
      <c r="K3" s="150"/>
      <c r="L3" s="111">
        <v>10000000000</v>
      </c>
      <c r="M3" s="111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110"/>
      <c r="E4" s="111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3" t="s">
        <v>48</v>
      </c>
      <c r="C5" s="153"/>
      <c r="D5" s="153"/>
      <c r="E5" s="153"/>
      <c r="F5" s="153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53"/>
      <c r="V5" s="153"/>
      <c r="W5" s="153"/>
      <c r="X5" s="153"/>
      <c r="Y5" s="153"/>
      <c r="Z5" s="153"/>
      <c r="AD5" s="153" t="s">
        <v>49</v>
      </c>
      <c r="AE5" s="153"/>
      <c r="AF5" s="153"/>
      <c r="AG5" s="153"/>
      <c r="AH5" s="153"/>
      <c r="AI5" s="153"/>
      <c r="AJ5" s="153"/>
      <c r="AK5" s="153"/>
      <c r="AL5" s="153"/>
      <c r="AM5" s="153"/>
      <c r="AN5" s="153"/>
      <c r="AO5" s="153"/>
      <c r="AP5" s="153"/>
      <c r="AQ5" s="153"/>
      <c r="AR5" s="153"/>
      <c r="AS5" s="153"/>
      <c r="AT5" s="153"/>
      <c r="AU5" s="153"/>
      <c r="AV5" s="153"/>
      <c r="AW5" s="153"/>
      <c r="AX5" s="153"/>
      <c r="AY5" s="153"/>
      <c r="AZ5" s="153"/>
      <c r="BA5" s="153"/>
      <c r="BB5" s="153"/>
    </row>
    <row r="6" spans="1:57" ht="16.2" customHeight="1" x14ac:dyDescent="0.4">
      <c r="A6" s="42">
        <f t="shared" si="1"/>
        <v>6</v>
      </c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</row>
    <row r="7" spans="1:57" ht="16.2" customHeight="1" x14ac:dyDescent="0.4">
      <c r="A7" s="42">
        <f t="shared" si="1"/>
        <v>7</v>
      </c>
      <c r="B7" s="154" t="s">
        <v>75</v>
      </c>
      <c r="C7" s="154"/>
      <c r="D7" s="152">
        <v>1</v>
      </c>
      <c r="E7" s="152"/>
      <c r="F7" s="155" t="s">
        <v>32</v>
      </c>
      <c r="G7" s="156"/>
      <c r="H7" s="111">
        <v>1</v>
      </c>
      <c r="I7" s="111"/>
      <c r="J7" s="150" t="s">
        <v>39</v>
      </c>
      <c r="K7" s="150"/>
      <c r="L7" s="111">
        <v>0</v>
      </c>
      <c r="M7" s="111"/>
      <c r="N7" s="43"/>
      <c r="O7" s="43"/>
      <c r="P7" s="43"/>
      <c r="Q7" s="43"/>
      <c r="R7" s="43"/>
      <c r="S7" s="43"/>
      <c r="T7" s="43"/>
      <c r="U7" s="43"/>
      <c r="AD7" s="154" t="s">
        <v>75</v>
      </c>
      <c r="AE7" s="154"/>
      <c r="AF7" s="152">
        <v>1</v>
      </c>
      <c r="AG7" s="152"/>
      <c r="AH7" s="155" t="s">
        <v>32</v>
      </c>
      <c r="AI7" s="156"/>
      <c r="AJ7" s="111">
        <v>1</v>
      </c>
      <c r="AK7" s="111"/>
      <c r="AL7" s="150" t="s">
        <v>39</v>
      </c>
      <c r="AM7" s="150"/>
      <c r="AN7" s="111">
        <v>0</v>
      </c>
      <c r="AO7" s="111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50" t="s">
        <v>53</v>
      </c>
      <c r="C8" s="150"/>
      <c r="D8" s="151">
        <v>1</v>
      </c>
      <c r="E8" s="152"/>
      <c r="F8" s="150" t="s">
        <v>54</v>
      </c>
      <c r="G8" s="150"/>
      <c r="H8" s="151">
        <v>1</v>
      </c>
      <c r="I8" s="152"/>
      <c r="J8" s="150" t="s">
        <v>43</v>
      </c>
      <c r="K8" s="150"/>
      <c r="L8" s="111">
        <v>1</v>
      </c>
      <c r="M8" s="111"/>
      <c r="N8" s="43"/>
      <c r="O8" s="43"/>
      <c r="P8" s="43"/>
      <c r="Q8" s="43"/>
      <c r="R8" s="43"/>
      <c r="S8" s="43"/>
      <c r="T8" s="43"/>
      <c r="U8" s="43"/>
      <c r="AD8" s="150" t="s">
        <v>53</v>
      </c>
      <c r="AE8" s="150"/>
      <c r="AF8" s="151">
        <v>1</v>
      </c>
      <c r="AG8" s="152"/>
      <c r="AH8" s="150" t="s">
        <v>54</v>
      </c>
      <c r="AI8" s="150"/>
      <c r="AJ8" s="151">
        <v>1</v>
      </c>
      <c r="AK8" s="152"/>
      <c r="AL8" s="150" t="s">
        <v>43</v>
      </c>
      <c r="AM8" s="150"/>
      <c r="AN8" s="111">
        <v>0</v>
      </c>
      <c r="AO8" s="111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60" t="str">
        <f>IF(D7&gt;=1,"기초금리1", "")</f>
        <v>기초금리1</v>
      </c>
      <c r="C10" s="148" t="str">
        <f>IF($D$7&gt;=1,"커브번호", "")</f>
        <v>커브번호</v>
      </c>
      <c r="D10" s="148"/>
      <c r="E10" s="118">
        <v>1</v>
      </c>
      <c r="F10" s="118"/>
      <c r="G10" s="45"/>
      <c r="H10" s="45"/>
      <c r="I10" s="131" t="str">
        <f>IF(OR(E11 = 0, E11 = 2, E11 = 4), "RefType = "&amp;E11&amp;" 이므로 Ref Swap 금리정보 사용안함", "사용")</f>
        <v>RefType = 0 이므로 Ref Swap 금리정보 사용안함</v>
      </c>
      <c r="J10" s="131"/>
      <c r="K10" s="131"/>
      <c r="L10" s="132"/>
      <c r="N10" s="145" t="s">
        <v>34</v>
      </c>
      <c r="O10" s="145"/>
      <c r="P10" s="145"/>
      <c r="Q10" s="145"/>
      <c r="R10" s="42"/>
      <c r="S10" s="42"/>
      <c r="T10" s="42"/>
      <c r="U10" s="42"/>
      <c r="W10" s="145" t="s">
        <v>55</v>
      </c>
      <c r="X10" s="145"/>
      <c r="Y10" s="145"/>
      <c r="AD10" s="121" t="str">
        <f>IF($AF$7&gt;=1,"기초금리1", "")</f>
        <v>기초금리1</v>
      </c>
      <c r="AE10" s="117" t="str">
        <f>IF($AF$7&gt;=1,"커브번호", "")</f>
        <v>커브번호</v>
      </c>
      <c r="AF10" s="117"/>
      <c r="AG10" s="118">
        <v>2</v>
      </c>
      <c r="AH10" s="118"/>
      <c r="AI10" s="45"/>
      <c r="AJ10" s="45"/>
      <c r="AK10" s="115" t="str">
        <f>IF(OR(AG11 = 0, AG11 = 2, AG11 = 4), "RefType = "&amp;AG11&amp;" 이므로 Ref Swap 금리정보 사용안함", "사용")</f>
        <v>RefType = 0 이므로 Ref Swap 금리정보 사용안함</v>
      </c>
      <c r="AL10" s="115"/>
      <c r="AM10" s="115"/>
      <c r="AN10" s="116"/>
      <c r="AP10" s="145" t="s">
        <v>57</v>
      </c>
      <c r="AQ10" s="145"/>
      <c r="AR10" s="145"/>
      <c r="AS10" s="145"/>
      <c r="AT10" s="42"/>
      <c r="AU10" s="42"/>
      <c r="AV10" s="42"/>
      <c r="AW10" s="42"/>
      <c r="AY10" s="145" t="s">
        <v>56</v>
      </c>
      <c r="AZ10" s="145"/>
      <c r="BA10" s="145"/>
    </row>
    <row r="11" spans="1:57" ht="16.2" customHeight="1" x14ac:dyDescent="0.4">
      <c r="A11" s="42">
        <f t="shared" si="1"/>
        <v>11</v>
      </c>
      <c r="B11" s="146"/>
      <c r="C11" s="137" t="str">
        <f>IF($D$7&gt;=1,"Reference Rate Type", "")</f>
        <v>Reference Rate Type</v>
      </c>
      <c r="D11" s="138"/>
      <c r="E11" s="149">
        <v>0</v>
      </c>
      <c r="F11" s="149"/>
      <c r="G11" s="123" t="str">
        <f>IF(OR(E11 = 0, E11 = 2, E11 = 4), "", "Zero/Swap 레퍼런스금리정보")</f>
        <v/>
      </c>
      <c r="H11" s="123"/>
      <c r="I11" s="123" t="str">
        <f>IF(OR(E11 = 0, E11 = 2, E11 = 4), "", "연 지급횟수")</f>
        <v/>
      </c>
      <c r="J11" s="124"/>
      <c r="K11" s="108">
        <v>4</v>
      </c>
      <c r="L11" s="109"/>
      <c r="M11" s="42"/>
      <c r="N11" s="159" t="str">
        <f>IF(OR(E11 = 0, E11 = 2, E11 = 4), "ForwardStart", "ResetStart")</f>
        <v>ForwardStart</v>
      </c>
      <c r="O11" s="159" t="str">
        <f>IF(OR(E11 = 0, E11 = 2, E11 = 4), "ForwardEnd", "ResetEnd")</f>
        <v>ForwardEnd</v>
      </c>
      <c r="P11" s="112" t="s">
        <v>35</v>
      </c>
      <c r="Q11" s="112" t="s">
        <v>36</v>
      </c>
      <c r="R11" s="112" t="s">
        <v>37</v>
      </c>
      <c r="S11" s="112" t="s">
        <v>38</v>
      </c>
      <c r="T11" s="112" t="s">
        <v>76</v>
      </c>
      <c r="U11" s="112" t="s">
        <v>77</v>
      </c>
      <c r="W11" s="46" t="s">
        <v>44</v>
      </c>
      <c r="X11" s="133">
        <v>0</v>
      </c>
      <c r="Y11" s="133"/>
      <c r="AD11" s="122"/>
      <c r="AE11" s="104" t="str">
        <f>IF($AF$7&gt;=1,"Reference Rate Type", "")</f>
        <v>Reference Rate Type</v>
      </c>
      <c r="AF11" s="119"/>
      <c r="AG11" s="149">
        <v>0</v>
      </c>
      <c r="AH11" s="149"/>
      <c r="AI11" s="106" t="str">
        <f>IF(OR(AG11 = 0, AG11 = 2, AG11 = 4), "", "Zero/Swap 레퍼런스금리정보")</f>
        <v/>
      </c>
      <c r="AJ11" s="106"/>
      <c r="AK11" s="106" t="str">
        <f>IF(OR(AG11 = 0, AG11 = 2, AG11 = 4), "", "연 지급횟수")</f>
        <v/>
      </c>
      <c r="AL11" s="107"/>
      <c r="AM11" s="108">
        <v>4</v>
      </c>
      <c r="AN11" s="109"/>
      <c r="AO11" s="42"/>
      <c r="AP11" s="112" t="str">
        <f>IF(OR(AG11 = 0, AG11 = 2, AG11 = 4), "ForwardStart", "ResetEnd")</f>
        <v>ForwardStart</v>
      </c>
      <c r="AQ11" s="112" t="str">
        <f>IF(OR(AG11 = 0, AG11 = 2, AG11 = 4), "ForwardEnd", "ResetEnd")</f>
        <v>ForwardEnd</v>
      </c>
      <c r="AR11" s="112" t="s">
        <v>35</v>
      </c>
      <c r="AS11" s="112" t="s">
        <v>36</v>
      </c>
      <c r="AT11" s="112" t="s">
        <v>37</v>
      </c>
      <c r="AU11" s="112" t="s">
        <v>38</v>
      </c>
      <c r="AV11" s="112" t="s">
        <v>76</v>
      </c>
      <c r="AW11" s="112" t="s">
        <v>77</v>
      </c>
      <c r="AY11" s="46" t="s">
        <v>44</v>
      </c>
      <c r="AZ11" s="133">
        <v>0</v>
      </c>
      <c r="BA11" s="133"/>
    </row>
    <row r="12" spans="1:57" ht="16.2" customHeight="1" x14ac:dyDescent="0.4">
      <c r="A12" s="42">
        <f t="shared" si="1"/>
        <v>12</v>
      </c>
      <c r="B12" s="146"/>
      <c r="C12" s="137" t="str">
        <f>IF($D$7&gt;=1,"DayCount", "")</f>
        <v>DayCount</v>
      </c>
      <c r="D12" s="137"/>
      <c r="E12" s="95">
        <v>0</v>
      </c>
      <c r="F12" s="95"/>
      <c r="G12" s="123"/>
      <c r="H12" s="123"/>
      <c r="I12" s="123" t="str">
        <f>IF(OR(E11 = 0, E11 = 2, E11 = 4,E14=1), "", "만기")</f>
        <v/>
      </c>
      <c r="J12" s="124"/>
      <c r="K12" s="157">
        <v>0.25</v>
      </c>
      <c r="L12" s="158"/>
      <c r="N12" s="112"/>
      <c r="O12" s="112"/>
      <c r="P12" s="112"/>
      <c r="Q12" s="112"/>
      <c r="R12" s="112"/>
      <c r="S12" s="112"/>
      <c r="T12" s="112"/>
      <c r="U12" s="112"/>
      <c r="W12" s="46" t="s">
        <v>45</v>
      </c>
      <c r="X12" s="133">
        <v>0</v>
      </c>
      <c r="Y12" s="133"/>
      <c r="AD12" s="122"/>
      <c r="AE12" s="104" t="str">
        <f>IF($AF$7&gt;=1,"DayCount", "")</f>
        <v>DayCount</v>
      </c>
      <c r="AF12" s="104"/>
      <c r="AG12" s="95">
        <v>0</v>
      </c>
      <c r="AH12" s="95"/>
      <c r="AI12" s="106"/>
      <c r="AJ12" s="106"/>
      <c r="AK12" s="123" t="str">
        <f>IF(OR(AG11 = 0, AG11 = 2, AG11 = 4,AG14=1), "", "만기")</f>
        <v/>
      </c>
      <c r="AL12" s="124"/>
      <c r="AM12" s="125">
        <v>0.25</v>
      </c>
      <c r="AN12" s="126"/>
      <c r="AP12" s="112"/>
      <c r="AQ12" s="112"/>
      <c r="AR12" s="112"/>
      <c r="AS12" s="112"/>
      <c r="AT12" s="112"/>
      <c r="AU12" s="112"/>
      <c r="AV12" s="112"/>
      <c r="AW12" s="112"/>
      <c r="AY12" s="46" t="s">
        <v>45</v>
      </c>
      <c r="AZ12" s="133">
        <v>0</v>
      </c>
      <c r="BA12" s="133"/>
    </row>
    <row r="13" spans="1:57" ht="16.2" customHeight="1" x14ac:dyDescent="0.4">
      <c r="A13" s="42">
        <f t="shared" si="1"/>
        <v>13</v>
      </c>
      <c r="B13" s="146"/>
      <c r="C13" s="137" t="str">
        <f>IF($D$7&gt;=1,"금리결정조건Multiple", "")</f>
        <v>금리결정조건Multiple</v>
      </c>
      <c r="D13" s="138"/>
      <c r="E13" s="94">
        <v>1</v>
      </c>
      <c r="F13" s="94"/>
      <c r="G13" s="90" t="str">
        <f>IF(OR(E11 = 0, E11 = 2, E11 = 4), "", "ex) Zero Rate 5년 -&gt; 연 지급횟수= 0, 만기= 5 // CD91일 -&gt; 연 지급횟수= 4, 만기= 0.25")</f>
        <v/>
      </c>
      <c r="H13" s="90"/>
      <c r="I13" s="90"/>
      <c r="J13" s="90"/>
      <c r="K13" s="90"/>
      <c r="L13" s="91"/>
      <c r="M13" s="42"/>
      <c r="N13" s="47">
        <v>43109</v>
      </c>
      <c r="O13" s="47">
        <f t="shared" ref="O13:O24" si="2">EDATE(N13,3)</f>
        <v>43199</v>
      </c>
      <c r="P13" s="47">
        <f>N13</f>
        <v>43109</v>
      </c>
      <c r="Q13" s="47">
        <f>O13</f>
        <v>43199</v>
      </c>
      <c r="R13" s="47">
        <f>Q13+3</f>
        <v>43202</v>
      </c>
      <c r="S13" s="48">
        <v>0</v>
      </c>
      <c r="T13" s="48">
        <v>0</v>
      </c>
      <c r="U13" s="48"/>
      <c r="W13" s="46" t="s">
        <v>46</v>
      </c>
      <c r="X13" s="133">
        <v>0</v>
      </c>
      <c r="Y13" s="133"/>
      <c r="AD13" s="122"/>
      <c r="AE13" s="104" t="str">
        <f>IF($AF$7&gt;=1,"금리결정조건Multiple", "")</f>
        <v>금리결정조건Multiple</v>
      </c>
      <c r="AF13" s="119"/>
      <c r="AG13" s="94">
        <v>1</v>
      </c>
      <c r="AH13" s="94"/>
      <c r="AI13" s="90" t="str">
        <f>IF(OR(AG11 = 0, AG11 = 2, AG11 = 4), "", "ex) Zero Rate 5년 -&gt; 연 지급횟수= 0, 만기= 5 // CD91일 -&gt; 연 지급횟수= 4, 만기= 0.25")</f>
        <v/>
      </c>
      <c r="AJ13" s="90"/>
      <c r="AK13" s="90"/>
      <c r="AL13" s="90"/>
      <c r="AM13" s="90"/>
      <c r="AN13" s="91"/>
      <c r="AO13" s="42"/>
      <c r="AP13" s="47">
        <v>43109</v>
      </c>
      <c r="AQ13" s="47">
        <v>43199</v>
      </c>
      <c r="AR13" s="47">
        <v>43109</v>
      </c>
      <c r="AS13" s="47">
        <v>43199</v>
      </c>
      <c r="AT13" s="47">
        <f>AS13+3</f>
        <v>43202</v>
      </c>
      <c r="AU13" s="48">
        <v>0</v>
      </c>
      <c r="AV13" s="48">
        <v>3.5000000000000003E-2</v>
      </c>
      <c r="AW13" s="48">
        <v>8.0000000000000002E-3</v>
      </c>
      <c r="AY13" s="46" t="s">
        <v>46</v>
      </c>
      <c r="AZ13" s="133">
        <v>0</v>
      </c>
      <c r="BA13" s="133"/>
    </row>
    <row r="14" spans="1:57" ht="16.2" customHeight="1" x14ac:dyDescent="0.4">
      <c r="A14" s="42">
        <f t="shared" si="1"/>
        <v>14</v>
      </c>
      <c r="B14" s="146"/>
      <c r="C14" s="136" t="str">
        <f>IF($D$7&gt;=1,"Power Spread Flag", "")</f>
        <v>Power Spread Flag</v>
      </c>
      <c r="D14" s="136"/>
      <c r="E14" s="95">
        <v>0</v>
      </c>
      <c r="F14" s="95"/>
      <c r="G14" s="143" t="str">
        <f>IF(E14&gt;0,"PowerSpreadFlag 1일때 입력","입력필요X")</f>
        <v>입력필요X</v>
      </c>
      <c r="H14" s="143"/>
      <c r="I14" s="143" t="str">
        <f>IF(E14&gt;0,"만기1","")</f>
        <v/>
      </c>
      <c r="J14" s="143"/>
      <c r="K14" s="97">
        <v>10</v>
      </c>
      <c r="L14" s="98"/>
      <c r="M14" s="42"/>
      <c r="N14" s="47">
        <f>EDATE(N13,3)</f>
        <v>43199</v>
      </c>
      <c r="O14" s="47">
        <f t="shared" si="2"/>
        <v>43290</v>
      </c>
      <c r="P14" s="47">
        <f>N14</f>
        <v>43199</v>
      </c>
      <c r="Q14" s="47">
        <f>O14</f>
        <v>43290</v>
      </c>
      <c r="R14" s="47">
        <f t="shared" ref="R14:R52" si="3">Q14+3</f>
        <v>43293</v>
      </c>
      <c r="S14" s="48">
        <v>0</v>
      </c>
      <c r="T14" s="48">
        <v>0</v>
      </c>
      <c r="U14" s="48"/>
      <c r="W14" s="49" t="s">
        <v>40</v>
      </c>
      <c r="X14" s="49" t="s">
        <v>41</v>
      </c>
      <c r="Y14" s="49" t="s">
        <v>42</v>
      </c>
      <c r="AD14" s="122"/>
      <c r="AE14" s="103" t="str">
        <f>IF($AF$7&gt;=1,"Power Spread Flag", "")</f>
        <v>Power Spread Flag</v>
      </c>
      <c r="AF14" s="103"/>
      <c r="AG14" s="95">
        <v>0</v>
      </c>
      <c r="AH14" s="95"/>
      <c r="AI14" s="96" t="str">
        <f>IF(AG14&gt;0,"PowerSpreadFlag 1일때 입력","입력필요X")</f>
        <v>입력필요X</v>
      </c>
      <c r="AJ14" s="96"/>
      <c r="AK14" s="96" t="str">
        <f>IF(AG14&gt;0,"만기1","")</f>
        <v/>
      </c>
      <c r="AL14" s="96"/>
      <c r="AM14" s="97">
        <v>10</v>
      </c>
      <c r="AN14" s="98"/>
      <c r="AP14" s="47">
        <v>43199</v>
      </c>
      <c r="AQ14" s="47">
        <v>43290</v>
      </c>
      <c r="AR14" s="47">
        <v>43199</v>
      </c>
      <c r="AS14" s="47">
        <v>43290</v>
      </c>
      <c r="AT14" s="47">
        <f t="shared" ref="AT14:AT52" si="4">AS14+3</f>
        <v>43293</v>
      </c>
      <c r="AU14" s="48">
        <v>0</v>
      </c>
      <c r="AV14" s="48">
        <v>3.5000000000000003E-2</v>
      </c>
      <c r="AW14" s="48">
        <v>8.0000000000000002E-3</v>
      </c>
      <c r="AY14" s="49" t="s">
        <v>40</v>
      </c>
      <c r="AZ14" s="49" t="s">
        <v>41</v>
      </c>
      <c r="BA14" s="49" t="s">
        <v>42</v>
      </c>
    </row>
    <row r="15" spans="1:57" ht="16.2" customHeight="1" x14ac:dyDescent="0.4">
      <c r="A15" s="42">
        <f t="shared" si="1"/>
        <v>15</v>
      </c>
      <c r="B15" s="146" t="str">
        <f>IF($D$7&gt;0, "사용", "커브개수"&amp;"="&amp;$D$7&amp;"이므로 사용안함")</f>
        <v>사용</v>
      </c>
      <c r="C15" s="136" t="str">
        <f>IF($D$7&gt;=1,"Range상한", "")</f>
        <v>Range상한</v>
      </c>
      <c r="D15" s="136"/>
      <c r="E15" s="127">
        <v>10</v>
      </c>
      <c r="F15" s="127"/>
      <c r="G15" s="143"/>
      <c r="H15" s="143"/>
      <c r="I15" s="143" t="str">
        <f>IF(E14&gt;0,"만기2","")</f>
        <v/>
      </c>
      <c r="J15" s="143"/>
      <c r="K15" s="97">
        <v>5</v>
      </c>
      <c r="L15" s="98"/>
      <c r="M15" s="42"/>
      <c r="N15" s="47">
        <f t="shared" ref="N15" si="5">EDATE(N14,3)</f>
        <v>43290</v>
      </c>
      <c r="O15" s="47">
        <f t="shared" si="2"/>
        <v>43382</v>
      </c>
      <c r="P15" s="47">
        <f t="shared" ref="P15:P16" si="6">N15</f>
        <v>43290</v>
      </c>
      <c r="Q15" s="47">
        <f t="shared" ref="Q15:Q16" si="7">O15</f>
        <v>43382</v>
      </c>
      <c r="R15" s="47">
        <f t="shared" si="3"/>
        <v>43385</v>
      </c>
      <c r="S15" s="48">
        <v>0</v>
      </c>
      <c r="T15" s="48">
        <v>0</v>
      </c>
      <c r="U15" s="48"/>
      <c r="W15" s="50">
        <v>41188</v>
      </c>
      <c r="X15" s="50">
        <v>41188</v>
      </c>
      <c r="Y15" s="50">
        <v>41188</v>
      </c>
      <c r="AD15" s="122" t="str">
        <f>IF($AF$7&gt;0, "사용", "커브개수"&amp;"="&amp;$AF$7&amp;"이므로 사용안함")</f>
        <v>사용</v>
      </c>
      <c r="AE15" s="103" t="str">
        <f>IF($AF$7&gt;=1,"Range상한", "")</f>
        <v>Range상한</v>
      </c>
      <c r="AF15" s="103"/>
      <c r="AG15" s="127">
        <v>10</v>
      </c>
      <c r="AH15" s="127"/>
      <c r="AI15" s="96"/>
      <c r="AJ15" s="96"/>
      <c r="AK15" s="96" t="str">
        <f>IF(AG14&gt;0,"만기2","")</f>
        <v/>
      </c>
      <c r="AL15" s="96"/>
      <c r="AM15" s="97">
        <v>5</v>
      </c>
      <c r="AN15" s="98"/>
      <c r="AP15" s="47">
        <v>43290</v>
      </c>
      <c r="AQ15" s="47">
        <v>43382</v>
      </c>
      <c r="AR15" s="47">
        <v>43290</v>
      </c>
      <c r="AS15" s="47">
        <v>43382</v>
      </c>
      <c r="AT15" s="47">
        <f t="shared" si="4"/>
        <v>43385</v>
      </c>
      <c r="AU15" s="48">
        <v>0</v>
      </c>
      <c r="AV15" s="48">
        <v>3.5000000000000003E-2</v>
      </c>
      <c r="AW15" s="48">
        <v>8.0000000000000002E-3</v>
      </c>
      <c r="AY15" s="50">
        <v>41188</v>
      </c>
      <c r="AZ15" s="50">
        <v>41188</v>
      </c>
      <c r="BA15" s="50">
        <v>41188</v>
      </c>
    </row>
    <row r="16" spans="1:57" ht="16.2" customHeight="1" x14ac:dyDescent="0.4">
      <c r="A16" s="42">
        <f t="shared" si="1"/>
        <v>16</v>
      </c>
      <c r="B16" s="146"/>
      <c r="C16" s="136" t="str">
        <f>IF($D$7&gt;=1,"Range하한", "")</f>
        <v>Range하한</v>
      </c>
      <c r="D16" s="137"/>
      <c r="E16" s="105">
        <v>-1</v>
      </c>
      <c r="F16" s="105"/>
      <c r="G16" s="147"/>
      <c r="H16" s="147"/>
      <c r="I16" s="144" t="str">
        <f>IF(E14&gt;0,"Spread1","")</f>
        <v/>
      </c>
      <c r="J16" s="144"/>
      <c r="K16" s="134" t="str">
        <f>IF(E14&gt;0, I14&amp;"-"&amp;I15, "")</f>
        <v/>
      </c>
      <c r="L16" s="135"/>
      <c r="M16" s="42"/>
      <c r="N16" s="47">
        <f>EDATE(N15,3)</f>
        <v>43382</v>
      </c>
      <c r="O16" s="47">
        <f t="shared" si="2"/>
        <v>43474</v>
      </c>
      <c r="P16" s="47">
        <f t="shared" si="6"/>
        <v>43382</v>
      </c>
      <c r="Q16" s="47">
        <f t="shared" si="7"/>
        <v>43474</v>
      </c>
      <c r="R16" s="47">
        <f t="shared" si="3"/>
        <v>43477</v>
      </c>
      <c r="S16" s="48">
        <v>0</v>
      </c>
      <c r="T16" s="48">
        <v>0</v>
      </c>
      <c r="U16" s="48"/>
      <c r="W16" s="50">
        <v>41189</v>
      </c>
      <c r="X16" s="50">
        <v>41189</v>
      </c>
      <c r="Y16" s="50">
        <v>41189</v>
      </c>
      <c r="AD16" s="122"/>
      <c r="AE16" s="103" t="str">
        <f>IF($AF$7&gt;=1,"Range하한", "")</f>
        <v>Range하한</v>
      </c>
      <c r="AF16" s="104"/>
      <c r="AG16" s="105">
        <v>-1</v>
      </c>
      <c r="AH16" s="105"/>
      <c r="AI16" s="102"/>
      <c r="AJ16" s="102"/>
      <c r="AK16" s="99" t="str">
        <f>IF(AG14&gt;0,"Spread1","")</f>
        <v/>
      </c>
      <c r="AL16" s="99"/>
      <c r="AM16" s="100" t="str">
        <f>IF(AG14&gt;0, AK14&amp;"-"&amp;AK15, "")</f>
        <v/>
      </c>
      <c r="AN16" s="101"/>
      <c r="AO16" s="42"/>
      <c r="AP16" s="47">
        <v>43382</v>
      </c>
      <c r="AQ16" s="47">
        <v>43474</v>
      </c>
      <c r="AR16" s="47">
        <v>43382</v>
      </c>
      <c r="AS16" s="47">
        <v>43474</v>
      </c>
      <c r="AT16" s="47">
        <f t="shared" si="4"/>
        <v>43477</v>
      </c>
      <c r="AU16" s="48">
        <v>0</v>
      </c>
      <c r="AV16" s="48">
        <v>3.5000000000000003E-2</v>
      </c>
      <c r="AW16" s="48">
        <v>8.0000000000000002E-3</v>
      </c>
      <c r="AY16" s="50">
        <v>41189</v>
      </c>
      <c r="AZ16" s="50">
        <v>41189</v>
      </c>
      <c r="BA16" s="50">
        <v>41189</v>
      </c>
    </row>
    <row r="17" spans="1:53" ht="16.2" customHeight="1" x14ac:dyDescent="0.4">
      <c r="A17" s="42">
        <f t="shared" si="1"/>
        <v>17</v>
      </c>
      <c r="B17" s="41"/>
      <c r="C17" s="128" t="str">
        <f>IF($D$7&gt;=1,"Payoff조건Multiple", "")</f>
        <v>Payoff조건Multiple</v>
      </c>
      <c r="D17" s="128"/>
      <c r="E17" s="113">
        <v>1</v>
      </c>
      <c r="F17" s="113"/>
      <c r="G17" s="92" t="str">
        <f>IF(E14&gt;0,"예시) 10년-5년 스왑: 연 지급횟수=4, 만기1=10, 만기2=5 // 10년-5년 Zero: 연 지급횟수=0","")</f>
        <v/>
      </c>
      <c r="H17" s="92"/>
      <c r="I17" s="92"/>
      <c r="J17" s="92"/>
      <c r="K17" s="92"/>
      <c r="L17" s="93"/>
      <c r="M17" s="42"/>
      <c r="N17" s="47">
        <f>EDATE(N16,3)</f>
        <v>43474</v>
      </c>
      <c r="O17" s="47">
        <f t="shared" si="2"/>
        <v>43564</v>
      </c>
      <c r="P17" s="47">
        <f>N17</f>
        <v>43474</v>
      </c>
      <c r="Q17" s="47">
        <f>O17</f>
        <v>43564</v>
      </c>
      <c r="R17" s="47">
        <f t="shared" si="3"/>
        <v>43567</v>
      </c>
      <c r="S17" s="48">
        <v>0</v>
      </c>
      <c r="T17" s="48">
        <v>0</v>
      </c>
      <c r="U17" s="48"/>
      <c r="W17" s="50">
        <v>41195</v>
      </c>
      <c r="X17" s="50">
        <v>41195</v>
      </c>
      <c r="Y17" s="50">
        <v>41195</v>
      </c>
      <c r="AD17" s="40"/>
      <c r="AE17" s="114" t="str">
        <f>IF($AF$7&gt;=1,"Payoff조건Multiple", "")</f>
        <v>Payoff조건Multiple</v>
      </c>
      <c r="AF17" s="114"/>
      <c r="AG17" s="113">
        <v>1</v>
      </c>
      <c r="AH17" s="113"/>
      <c r="AI17" s="92" t="str">
        <f>IF(AG14&gt;0,"예시) 10년-5년 스왑: 연 지급횟수=4, 만기1=10, 만기2=5 // 10년-5년 Zero: 연 지급횟수=0","")</f>
        <v/>
      </c>
      <c r="AJ17" s="92"/>
      <c r="AK17" s="92"/>
      <c r="AL17" s="92"/>
      <c r="AM17" s="92"/>
      <c r="AN17" s="93"/>
      <c r="AO17" s="42"/>
      <c r="AP17" s="47">
        <v>43474</v>
      </c>
      <c r="AQ17" s="47">
        <v>43564</v>
      </c>
      <c r="AR17" s="47">
        <v>43474</v>
      </c>
      <c r="AS17" s="47">
        <v>43564</v>
      </c>
      <c r="AT17" s="47">
        <f t="shared" si="4"/>
        <v>43567</v>
      </c>
      <c r="AU17" s="48">
        <v>0</v>
      </c>
      <c r="AV17" s="48">
        <v>3.5000000000000003E-2</v>
      </c>
      <c r="AW17" s="48">
        <v>8.0000000000000002E-3</v>
      </c>
      <c r="AY17" s="50">
        <v>41195</v>
      </c>
      <c r="AZ17" s="50">
        <v>41195</v>
      </c>
      <c r="BA17" s="50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52" si="8">EDATE(N17,3)</f>
        <v>43564</v>
      </c>
      <c r="O18" s="47">
        <f t="shared" si="2"/>
        <v>43655</v>
      </c>
      <c r="P18" s="47">
        <f t="shared" ref="P18:P24" si="9">N18</f>
        <v>43564</v>
      </c>
      <c r="Q18" s="47">
        <f t="shared" ref="Q18:Q24" si="10">O18</f>
        <v>43655</v>
      </c>
      <c r="R18" s="47">
        <f t="shared" si="3"/>
        <v>43658</v>
      </c>
      <c r="S18" s="48">
        <v>0</v>
      </c>
      <c r="T18" s="48">
        <v>0</v>
      </c>
      <c r="U18" s="48"/>
      <c r="W18" s="50">
        <v>41196</v>
      </c>
      <c r="X18" s="50">
        <v>41196</v>
      </c>
      <c r="Y18" s="50">
        <v>41196</v>
      </c>
      <c r="AP18" s="47">
        <v>43564</v>
      </c>
      <c r="AQ18" s="47">
        <v>43655</v>
      </c>
      <c r="AR18" s="47">
        <v>43564</v>
      </c>
      <c r="AS18" s="47">
        <v>43655</v>
      </c>
      <c r="AT18" s="47">
        <f t="shared" si="4"/>
        <v>43658</v>
      </c>
      <c r="AU18" s="48">
        <v>0</v>
      </c>
      <c r="AV18" s="48">
        <v>3.5000000000000003E-2</v>
      </c>
      <c r="AW18" s="48">
        <v>8.0000000000000002E-3</v>
      </c>
      <c r="AY18" s="50">
        <v>41196</v>
      </c>
      <c r="AZ18" s="50">
        <v>41196</v>
      </c>
      <c r="BA18" s="50">
        <v>41196</v>
      </c>
    </row>
    <row r="19" spans="1:53" ht="16.2" customHeight="1" thickBot="1" x14ac:dyDescent="0.45">
      <c r="A19" s="42">
        <f t="shared" si="1"/>
        <v>19</v>
      </c>
      <c r="B19" s="160" t="str">
        <f>IF(D7&gt;=2,"기초금리2", "")</f>
        <v/>
      </c>
      <c r="C19" s="148" t="str">
        <f>IF($D$7&gt;=2,"커브번호", "")</f>
        <v/>
      </c>
      <c r="D19" s="148"/>
      <c r="E19" s="118">
        <v>2</v>
      </c>
      <c r="F19" s="118"/>
      <c r="G19" s="45"/>
      <c r="H19" s="45"/>
      <c r="I19" s="131" t="str">
        <f>IF(OR(E20 = 0, E20 = 2, E20 = 4), "RefType = "&amp;E20&amp;" 이므로 Ref Swap 금리정보 사용안함", "사용")</f>
        <v>RefType = 0 이므로 Ref Swap 금리정보 사용안함</v>
      </c>
      <c r="J19" s="131"/>
      <c r="K19" s="131"/>
      <c r="L19" s="132"/>
      <c r="M19" s="42"/>
      <c r="N19" s="47">
        <f t="shared" si="8"/>
        <v>43655</v>
      </c>
      <c r="O19" s="47">
        <f t="shared" si="2"/>
        <v>43747</v>
      </c>
      <c r="P19" s="47">
        <f t="shared" si="9"/>
        <v>43655</v>
      </c>
      <c r="Q19" s="47">
        <f t="shared" si="10"/>
        <v>43747</v>
      </c>
      <c r="R19" s="47">
        <f t="shared" si="3"/>
        <v>43750</v>
      </c>
      <c r="S19" s="48">
        <v>0</v>
      </c>
      <c r="T19" s="48">
        <v>0</v>
      </c>
      <c r="U19" s="48"/>
      <c r="W19" s="50">
        <v>41202</v>
      </c>
      <c r="X19" s="50">
        <v>41202</v>
      </c>
      <c r="Y19" s="50">
        <v>41202</v>
      </c>
      <c r="AD19" s="121" t="str">
        <f>IF($AF$7&gt;=2,"기초금리2", "")</f>
        <v/>
      </c>
      <c r="AE19" s="117" t="str">
        <f>IF($AF$7&gt;=2,"커브번호", "")</f>
        <v/>
      </c>
      <c r="AF19" s="117"/>
      <c r="AG19" s="118">
        <v>2</v>
      </c>
      <c r="AH19" s="118"/>
      <c r="AI19" s="45"/>
      <c r="AJ19" s="45"/>
      <c r="AK19" s="115" t="str">
        <f>IF(OR(AG20 = 0, AG20 = 2, AG20 = 4), "RefType = "&amp;AG20&amp;" 이므로 Ref Swap 금리정보 사용안함", "사용")</f>
        <v>RefType = 0 이므로 Ref Swap 금리정보 사용안함</v>
      </c>
      <c r="AL19" s="115"/>
      <c r="AM19" s="115"/>
      <c r="AN19" s="116"/>
      <c r="AP19" s="47">
        <v>43655</v>
      </c>
      <c r="AQ19" s="47">
        <v>43747</v>
      </c>
      <c r="AR19" s="47">
        <v>43655</v>
      </c>
      <c r="AS19" s="47">
        <v>43747</v>
      </c>
      <c r="AT19" s="47">
        <f t="shared" si="4"/>
        <v>43750</v>
      </c>
      <c r="AU19" s="48">
        <v>0</v>
      </c>
      <c r="AV19" s="48">
        <v>3.5000000000000003E-2</v>
      </c>
      <c r="AW19" s="48">
        <v>8.0000000000000002E-3</v>
      </c>
      <c r="AY19" s="50">
        <v>41202</v>
      </c>
      <c r="AZ19" s="50">
        <v>41202</v>
      </c>
      <c r="BA19" s="50">
        <v>41202</v>
      </c>
    </row>
    <row r="20" spans="1:53" ht="16.2" customHeight="1" thickBot="1" x14ac:dyDescent="0.45">
      <c r="A20" s="42">
        <f t="shared" si="1"/>
        <v>20</v>
      </c>
      <c r="B20" s="146"/>
      <c r="C20" s="137" t="str">
        <f>IF($D$7&gt;=2,"Reference Rate Type", "")</f>
        <v/>
      </c>
      <c r="D20" s="138"/>
      <c r="E20" s="120">
        <v>0</v>
      </c>
      <c r="F20" s="120"/>
      <c r="G20" s="123" t="str">
        <f>IF(OR(E20 = 0, E20 = 2, E20 = 4), "", "Zero/Swap 레퍼런스금리정보")</f>
        <v/>
      </c>
      <c r="H20" s="123"/>
      <c r="I20" s="123" t="str">
        <f>IF(OR(E20 = 0, E20 = 2, E20 = 4), "", "연 지급횟수")</f>
        <v/>
      </c>
      <c r="J20" s="124"/>
      <c r="K20" s="108">
        <v>4</v>
      </c>
      <c r="L20" s="109"/>
      <c r="M20" s="42"/>
      <c r="N20" s="47">
        <f t="shared" si="8"/>
        <v>43747</v>
      </c>
      <c r="O20" s="47">
        <f t="shared" si="2"/>
        <v>43839</v>
      </c>
      <c r="P20" s="47">
        <f t="shared" si="9"/>
        <v>43747</v>
      </c>
      <c r="Q20" s="47">
        <f t="shared" si="10"/>
        <v>43839</v>
      </c>
      <c r="R20" s="47">
        <f t="shared" si="3"/>
        <v>43842</v>
      </c>
      <c r="S20" s="48">
        <v>0</v>
      </c>
      <c r="T20" s="48">
        <v>0</v>
      </c>
      <c r="U20" s="48"/>
      <c r="W20" s="50">
        <v>41203</v>
      </c>
      <c r="X20" s="50">
        <v>41203</v>
      </c>
      <c r="Y20" s="50">
        <v>41203</v>
      </c>
      <c r="AD20" s="122"/>
      <c r="AE20" s="104" t="str">
        <f>IF($AF$7&gt;=2,"Reference Rate Type", "")</f>
        <v/>
      </c>
      <c r="AF20" s="119"/>
      <c r="AG20" s="120">
        <v>0</v>
      </c>
      <c r="AH20" s="120"/>
      <c r="AI20" s="106" t="str">
        <f>IF(OR(AG20 = 0, AG20 = 2, AG20 = 4), "", "Zero/Swap 레퍼런스금리정보")</f>
        <v/>
      </c>
      <c r="AJ20" s="106"/>
      <c r="AK20" s="106" t="str">
        <f>IF(OR(AG20 = 0, AG20 = 2, AG20 = 4), "", "연 지급횟수")</f>
        <v/>
      </c>
      <c r="AL20" s="107"/>
      <c r="AM20" s="108">
        <v>4</v>
      </c>
      <c r="AN20" s="109"/>
      <c r="AP20" s="47">
        <v>43747</v>
      </c>
      <c r="AQ20" s="47">
        <v>43839</v>
      </c>
      <c r="AR20" s="47">
        <v>43747</v>
      </c>
      <c r="AS20" s="47">
        <v>43839</v>
      </c>
      <c r="AT20" s="47">
        <f t="shared" si="4"/>
        <v>43842</v>
      </c>
      <c r="AU20" s="48">
        <v>0</v>
      </c>
      <c r="AV20" s="48">
        <v>3.5000000000000003E-2</v>
      </c>
      <c r="AW20" s="48">
        <v>8.0000000000000002E-3</v>
      </c>
      <c r="AY20" s="50">
        <v>41203</v>
      </c>
      <c r="AZ20" s="50">
        <v>41203</v>
      </c>
      <c r="BA20" s="50">
        <v>41203</v>
      </c>
    </row>
    <row r="21" spans="1:53" ht="16.2" customHeight="1" x14ac:dyDescent="0.4">
      <c r="A21" s="42">
        <f t="shared" si="1"/>
        <v>21</v>
      </c>
      <c r="B21" s="146"/>
      <c r="C21" s="137" t="str">
        <f>IF($D$7&gt;=2,"DayCount", "")</f>
        <v/>
      </c>
      <c r="D21" s="137"/>
      <c r="E21" s="95">
        <v>0</v>
      </c>
      <c r="F21" s="95"/>
      <c r="G21" s="123"/>
      <c r="H21" s="123"/>
      <c r="I21" s="123" t="str">
        <f>IF(OR(E20 = 0, E20 = 2, E20 = 4,E23=1), "", "만기")</f>
        <v/>
      </c>
      <c r="J21" s="124"/>
      <c r="K21" s="125">
        <v>1</v>
      </c>
      <c r="L21" s="126"/>
      <c r="M21" s="42"/>
      <c r="N21" s="47">
        <f t="shared" si="8"/>
        <v>43839</v>
      </c>
      <c r="O21" s="47">
        <f t="shared" si="2"/>
        <v>43930</v>
      </c>
      <c r="P21" s="47">
        <f t="shared" si="9"/>
        <v>43839</v>
      </c>
      <c r="Q21" s="47">
        <f t="shared" si="10"/>
        <v>43930</v>
      </c>
      <c r="R21" s="47">
        <f t="shared" si="3"/>
        <v>43933</v>
      </c>
      <c r="S21" s="48">
        <v>0</v>
      </c>
      <c r="T21" s="48">
        <v>0</v>
      </c>
      <c r="U21" s="48"/>
      <c r="W21" s="50">
        <v>41209</v>
      </c>
      <c r="X21" s="50">
        <v>41209</v>
      </c>
      <c r="Y21" s="50">
        <v>41209</v>
      </c>
      <c r="AD21" s="122"/>
      <c r="AE21" s="104" t="str">
        <f>IF($AF$7&gt;=2,"DayCount", "")</f>
        <v/>
      </c>
      <c r="AF21" s="104"/>
      <c r="AG21" s="95">
        <v>0</v>
      </c>
      <c r="AH21" s="95"/>
      <c r="AI21" s="106"/>
      <c r="AJ21" s="106"/>
      <c r="AK21" s="123" t="str">
        <f>IF(OR(AG20 = 0, AG20 = 2, AG20 = 4,AG23=1), "", "만기")</f>
        <v/>
      </c>
      <c r="AL21" s="124"/>
      <c r="AM21" s="125">
        <v>5</v>
      </c>
      <c r="AN21" s="126"/>
      <c r="AP21" s="47">
        <v>43839</v>
      </c>
      <c r="AQ21" s="47">
        <v>43930</v>
      </c>
      <c r="AR21" s="47">
        <v>43839</v>
      </c>
      <c r="AS21" s="47">
        <v>43930</v>
      </c>
      <c r="AT21" s="47">
        <f t="shared" si="4"/>
        <v>43933</v>
      </c>
      <c r="AU21" s="48">
        <v>0</v>
      </c>
      <c r="AV21" s="48">
        <v>3.5000000000000003E-2</v>
      </c>
      <c r="AW21" s="48">
        <v>8.0000000000000002E-3</v>
      </c>
      <c r="AY21" s="50">
        <v>41209</v>
      </c>
      <c r="AZ21" s="50">
        <v>41209</v>
      </c>
      <c r="BA21" s="50">
        <v>41209</v>
      </c>
    </row>
    <row r="22" spans="1:53" ht="16.2" customHeight="1" x14ac:dyDescent="0.4">
      <c r="A22" s="42">
        <f t="shared" si="1"/>
        <v>22</v>
      </c>
      <c r="B22" s="146"/>
      <c r="C22" s="137" t="str">
        <f>IF($D$7&gt;=2,"금리결정조건Multiple", "")</f>
        <v/>
      </c>
      <c r="D22" s="138"/>
      <c r="E22" s="94">
        <v>1</v>
      </c>
      <c r="F22" s="94"/>
      <c r="G22" s="90" t="str">
        <f>IF(OR(E20 = 0, E20 = 2, E20 = 4), "", "ex) Zero Rate 5년 -&gt; 연 지급횟수= 0, 만기= 5 // CD91일 -&gt; 연 지급횟수= 4, 만기= 0.25")</f>
        <v/>
      </c>
      <c r="H22" s="90"/>
      <c r="I22" s="90"/>
      <c r="J22" s="90"/>
      <c r="K22" s="90"/>
      <c r="L22" s="91"/>
      <c r="M22" s="42"/>
      <c r="N22" s="47">
        <f t="shared" si="8"/>
        <v>43930</v>
      </c>
      <c r="O22" s="47">
        <f t="shared" si="2"/>
        <v>44021</v>
      </c>
      <c r="P22" s="47">
        <f t="shared" si="9"/>
        <v>43930</v>
      </c>
      <c r="Q22" s="47">
        <f t="shared" si="10"/>
        <v>44021</v>
      </c>
      <c r="R22" s="47">
        <f t="shared" si="3"/>
        <v>44024</v>
      </c>
      <c r="S22" s="48">
        <v>0</v>
      </c>
      <c r="T22" s="48">
        <v>0</v>
      </c>
      <c r="U22" s="48"/>
      <c r="W22" s="50">
        <v>41210</v>
      </c>
      <c r="X22" s="50">
        <v>41210</v>
      </c>
      <c r="Y22" s="50">
        <v>41210</v>
      </c>
      <c r="AD22" s="122"/>
      <c r="AE22" s="104" t="str">
        <f>IF($AF$7&gt;=2,"금리결정조건Multiple", "")</f>
        <v/>
      </c>
      <c r="AF22" s="119"/>
      <c r="AG22" s="94">
        <v>1</v>
      </c>
      <c r="AH22" s="94"/>
      <c r="AI22" s="90" t="str">
        <f>IF(OR(AG20 = 0, AG20 = 2, AG20 = 4), "", "ex) Zero Rate 5년 -&gt; 연 지급횟수= 0, 만기= 5 // CD91일 -&gt; 연 지급횟수= 4, 만기= 0.25")</f>
        <v/>
      </c>
      <c r="AJ22" s="90"/>
      <c r="AK22" s="90"/>
      <c r="AL22" s="90"/>
      <c r="AM22" s="90"/>
      <c r="AN22" s="91"/>
      <c r="AP22" s="47">
        <v>43930</v>
      </c>
      <c r="AQ22" s="47">
        <v>44021</v>
      </c>
      <c r="AR22" s="47">
        <v>43930</v>
      </c>
      <c r="AS22" s="47">
        <v>44021</v>
      </c>
      <c r="AT22" s="47">
        <f t="shared" si="4"/>
        <v>44024</v>
      </c>
      <c r="AU22" s="48">
        <v>0</v>
      </c>
      <c r="AV22" s="48">
        <v>3.5000000000000003E-2</v>
      </c>
      <c r="AW22" s="48">
        <v>8.0000000000000002E-3</v>
      </c>
      <c r="AY22" s="50">
        <v>41210</v>
      </c>
      <c r="AZ22" s="50">
        <v>41210</v>
      </c>
      <c r="BA22" s="50">
        <v>41210</v>
      </c>
    </row>
    <row r="23" spans="1:53" ht="16.2" customHeight="1" x14ac:dyDescent="0.4">
      <c r="A23" s="42">
        <f t="shared" si="1"/>
        <v>23</v>
      </c>
      <c r="B23" s="146"/>
      <c r="C23" s="136" t="str">
        <f>IF($D$7&gt;=2,"Power Spread Flag", "")</f>
        <v/>
      </c>
      <c r="D23" s="136"/>
      <c r="E23" s="95">
        <v>0</v>
      </c>
      <c r="F23" s="95"/>
      <c r="G23" s="143" t="str">
        <f>IF(E23&gt;0,"PowerSpreadFlag 1일때 입력","입력필요X")</f>
        <v>입력필요X</v>
      </c>
      <c r="H23" s="143"/>
      <c r="I23" s="143" t="str">
        <f>IF(E23&gt;0,"만기1","")</f>
        <v/>
      </c>
      <c r="J23" s="143"/>
      <c r="K23" s="97">
        <v>10</v>
      </c>
      <c r="L23" s="98"/>
      <c r="M23" s="42"/>
      <c r="N23" s="47">
        <f t="shared" si="8"/>
        <v>44021</v>
      </c>
      <c r="O23" s="47">
        <f t="shared" si="2"/>
        <v>44113</v>
      </c>
      <c r="P23" s="47">
        <f t="shared" si="9"/>
        <v>44021</v>
      </c>
      <c r="Q23" s="47">
        <f t="shared" si="10"/>
        <v>44113</v>
      </c>
      <c r="R23" s="47">
        <f t="shared" si="3"/>
        <v>44116</v>
      </c>
      <c r="S23" s="48">
        <v>0</v>
      </c>
      <c r="T23" s="48">
        <v>0</v>
      </c>
      <c r="U23" s="48"/>
      <c r="W23" s="50">
        <v>41216</v>
      </c>
      <c r="X23" s="50">
        <v>41216</v>
      </c>
      <c r="Y23" s="50">
        <v>41216</v>
      </c>
      <c r="AD23" s="122"/>
      <c r="AE23" s="103" t="str">
        <f>IF($AF$7&gt;=2,"Power Spread Flag", "")</f>
        <v/>
      </c>
      <c r="AF23" s="103"/>
      <c r="AG23" s="95">
        <v>0</v>
      </c>
      <c r="AH23" s="95"/>
      <c r="AI23" s="96" t="str">
        <f>IF(AG23&gt;0,"PowerSpreadFlag 1일때 입력","입력필요X")</f>
        <v>입력필요X</v>
      </c>
      <c r="AJ23" s="96"/>
      <c r="AK23" s="96" t="str">
        <f>IF(AG23&gt;0,"만기1","")</f>
        <v/>
      </c>
      <c r="AL23" s="96"/>
      <c r="AM23" s="97">
        <v>10</v>
      </c>
      <c r="AN23" s="98"/>
      <c r="AP23" s="47">
        <v>44021</v>
      </c>
      <c r="AQ23" s="47">
        <v>44113</v>
      </c>
      <c r="AR23" s="47">
        <v>44021</v>
      </c>
      <c r="AS23" s="47">
        <v>44113</v>
      </c>
      <c r="AT23" s="47">
        <f t="shared" si="4"/>
        <v>44116</v>
      </c>
      <c r="AU23" s="48">
        <v>0</v>
      </c>
      <c r="AV23" s="48">
        <v>3.5000000000000003E-2</v>
      </c>
      <c r="AW23" s="48">
        <v>8.0000000000000002E-3</v>
      </c>
      <c r="AY23" s="50">
        <v>41216</v>
      </c>
      <c r="AZ23" s="50">
        <v>41216</v>
      </c>
      <c r="BA23" s="50">
        <v>41216</v>
      </c>
    </row>
    <row r="24" spans="1:53" ht="16.2" customHeight="1" x14ac:dyDescent="0.4">
      <c r="A24" s="42">
        <f t="shared" si="1"/>
        <v>24</v>
      </c>
      <c r="B24" s="146" t="str">
        <f>IF($D$7&gt;1, "사용", "커브개수"&amp;"="&amp;$D$7&amp;"이므로 사용안함")</f>
        <v>커브개수=1이므로 사용안함</v>
      </c>
      <c r="C24" s="136" t="str">
        <f>IF($D$7&gt;=2,"Range상한", "")</f>
        <v/>
      </c>
      <c r="D24" s="136"/>
      <c r="E24" s="127">
        <v>10</v>
      </c>
      <c r="F24" s="127"/>
      <c r="G24" s="143"/>
      <c r="H24" s="143"/>
      <c r="I24" s="143" t="str">
        <f>IF(E23&gt;0,"만기2","")</f>
        <v/>
      </c>
      <c r="J24" s="143"/>
      <c r="K24" s="97">
        <v>5</v>
      </c>
      <c r="L24" s="98"/>
      <c r="M24" s="42"/>
      <c r="N24" s="47">
        <f t="shared" si="8"/>
        <v>44113</v>
      </c>
      <c r="O24" s="47">
        <f t="shared" si="2"/>
        <v>44205</v>
      </c>
      <c r="P24" s="47">
        <f t="shared" si="9"/>
        <v>44113</v>
      </c>
      <c r="Q24" s="47">
        <f t="shared" si="10"/>
        <v>44205</v>
      </c>
      <c r="R24" s="47">
        <f t="shared" si="3"/>
        <v>44208</v>
      </c>
      <c r="S24" s="48">
        <v>0</v>
      </c>
      <c r="T24" s="48">
        <v>0</v>
      </c>
      <c r="U24" s="48"/>
      <c r="W24" s="50">
        <v>41217</v>
      </c>
      <c r="X24" s="50">
        <v>41217</v>
      </c>
      <c r="Y24" s="50">
        <v>41217</v>
      </c>
      <c r="AD24" s="122" t="str">
        <f>IF($AF$7&gt;1, "사용", "커브개수"&amp;"="&amp;$AF$7&amp;"이므로 사용안함")</f>
        <v>커브개수=1이므로 사용안함</v>
      </c>
      <c r="AE24" s="103" t="str">
        <f>IF($AF$7&gt;=2,"Range상한", "")</f>
        <v/>
      </c>
      <c r="AF24" s="103"/>
      <c r="AG24" s="127">
        <v>0.5</v>
      </c>
      <c r="AH24" s="127"/>
      <c r="AI24" s="96"/>
      <c r="AJ24" s="96"/>
      <c r="AK24" s="96" t="str">
        <f>IF(AG23&gt;0,"만기2","")</f>
        <v/>
      </c>
      <c r="AL24" s="96"/>
      <c r="AM24" s="97">
        <v>5</v>
      </c>
      <c r="AN24" s="98"/>
      <c r="AP24" s="47">
        <v>44113</v>
      </c>
      <c r="AQ24" s="47">
        <v>44205</v>
      </c>
      <c r="AR24" s="47">
        <v>44113</v>
      </c>
      <c r="AS24" s="47">
        <v>44205</v>
      </c>
      <c r="AT24" s="47">
        <f t="shared" si="4"/>
        <v>44208</v>
      </c>
      <c r="AU24" s="48">
        <v>0</v>
      </c>
      <c r="AV24" s="48">
        <v>3.5000000000000003E-2</v>
      </c>
      <c r="AW24" s="48">
        <v>8.0000000000000002E-3</v>
      </c>
      <c r="AY24" s="50">
        <v>41217</v>
      </c>
      <c r="AZ24" s="50">
        <v>41217</v>
      </c>
      <c r="BA24" s="50">
        <v>41217</v>
      </c>
    </row>
    <row r="25" spans="1:53" ht="16.2" customHeight="1" x14ac:dyDescent="0.4">
      <c r="A25" s="42">
        <f t="shared" si="1"/>
        <v>25</v>
      </c>
      <c r="B25" s="146"/>
      <c r="C25" s="136" t="str">
        <f>IF($D$7&gt;=2,"Range하한", "")</f>
        <v/>
      </c>
      <c r="D25" s="137"/>
      <c r="E25" s="105">
        <v>-1</v>
      </c>
      <c r="F25" s="105"/>
      <c r="G25" s="147"/>
      <c r="H25" s="147"/>
      <c r="I25" s="144" t="str">
        <f>IF(E23&gt;0,"Spread1","")</f>
        <v/>
      </c>
      <c r="J25" s="144"/>
      <c r="K25" s="134" t="str">
        <f>IF(E23&gt;0, I23&amp;"-"&amp;I24, "")</f>
        <v/>
      </c>
      <c r="L25" s="135"/>
      <c r="N25" s="47">
        <f t="shared" si="8"/>
        <v>44205</v>
      </c>
      <c r="O25" s="47">
        <f t="shared" ref="O25:O40" si="11">EDATE(N25,3)</f>
        <v>44295</v>
      </c>
      <c r="P25" s="47">
        <f t="shared" ref="P25:P40" si="12">N25</f>
        <v>44205</v>
      </c>
      <c r="Q25" s="47">
        <f t="shared" ref="Q25:Q40" si="13">O25</f>
        <v>44295</v>
      </c>
      <c r="R25" s="47">
        <f t="shared" si="3"/>
        <v>44298</v>
      </c>
      <c r="S25" s="48">
        <v>0</v>
      </c>
      <c r="T25" s="48">
        <v>0</v>
      </c>
      <c r="U25" s="48"/>
      <c r="W25" s="50">
        <v>41223</v>
      </c>
      <c r="X25" s="50">
        <v>41223</v>
      </c>
      <c r="Y25" s="50">
        <v>41223</v>
      </c>
      <c r="AD25" s="122"/>
      <c r="AE25" s="103" t="str">
        <f>IF($AF$7&gt;=2,"Range하한", "")</f>
        <v/>
      </c>
      <c r="AF25" s="104"/>
      <c r="AG25" s="105">
        <v>-0.1</v>
      </c>
      <c r="AH25" s="105"/>
      <c r="AI25" s="102"/>
      <c r="AJ25" s="102"/>
      <c r="AK25" s="99" t="str">
        <f>IF(AG23&gt;0,"Spread1","")</f>
        <v/>
      </c>
      <c r="AL25" s="99"/>
      <c r="AM25" s="100" t="str">
        <f>IF(AG23&gt;0, AK23&amp;"-"&amp;AK24, "")</f>
        <v/>
      </c>
      <c r="AN25" s="101"/>
      <c r="AP25" s="47">
        <v>44205</v>
      </c>
      <c r="AQ25" s="47">
        <v>44295</v>
      </c>
      <c r="AR25" s="47">
        <v>44205</v>
      </c>
      <c r="AS25" s="47">
        <v>44295</v>
      </c>
      <c r="AT25" s="47">
        <f t="shared" si="4"/>
        <v>44298</v>
      </c>
      <c r="AU25" s="48">
        <v>0</v>
      </c>
      <c r="AV25" s="48">
        <v>3.5000000000000003E-2</v>
      </c>
      <c r="AW25" s="48">
        <v>8.0000000000000002E-3</v>
      </c>
      <c r="AY25" s="50">
        <v>41223</v>
      </c>
      <c r="AZ25" s="50">
        <v>41223</v>
      </c>
      <c r="BA25" s="50">
        <v>41223</v>
      </c>
    </row>
    <row r="26" spans="1:53" ht="16.2" customHeight="1" x14ac:dyDescent="0.4">
      <c r="A26" s="42">
        <f t="shared" si="1"/>
        <v>26</v>
      </c>
      <c r="B26" s="41"/>
      <c r="C26" s="128" t="str">
        <f>IF($D$7&gt;=2,"Payoff조건Multiple", "")</f>
        <v/>
      </c>
      <c r="D26" s="128"/>
      <c r="E26" s="113">
        <v>0</v>
      </c>
      <c r="F26" s="113"/>
      <c r="G26" s="92" t="str">
        <f>IF(E23&gt;0,"예시) 10년-5년 스왑: 연 지급횟수=4, 만기1=10, 만기2=5 // 10년-5년 Zero: 연 지급횟수=0","")</f>
        <v/>
      </c>
      <c r="H26" s="92"/>
      <c r="I26" s="92"/>
      <c r="J26" s="92"/>
      <c r="K26" s="92"/>
      <c r="L26" s="93"/>
      <c r="N26" s="47">
        <f t="shared" si="8"/>
        <v>44295</v>
      </c>
      <c r="O26" s="47">
        <f t="shared" si="11"/>
        <v>44386</v>
      </c>
      <c r="P26" s="47">
        <f t="shared" si="12"/>
        <v>44295</v>
      </c>
      <c r="Q26" s="47">
        <f t="shared" si="13"/>
        <v>44386</v>
      </c>
      <c r="R26" s="47">
        <f t="shared" si="3"/>
        <v>44389</v>
      </c>
      <c r="S26" s="48">
        <v>0</v>
      </c>
      <c r="T26" s="48">
        <v>0</v>
      </c>
      <c r="U26" s="48"/>
      <c r="W26" s="50">
        <v>41224</v>
      </c>
      <c r="X26" s="50">
        <v>41224</v>
      </c>
      <c r="Y26" s="50">
        <v>41224</v>
      </c>
      <c r="AD26" s="40"/>
      <c r="AE26" s="114" t="str">
        <f>IF($AF$7&gt;=2,"Payoff조건Multiple", "")</f>
        <v/>
      </c>
      <c r="AF26" s="114"/>
      <c r="AG26" s="113">
        <v>0</v>
      </c>
      <c r="AH26" s="113"/>
      <c r="AI26" s="92" t="str">
        <f>IF(AG23&gt;0,"예시) 10년-5년 스왑: 연 지급횟수=4, 만기1=10, 만기2=5 // 10년-5년 Zero: 연 지급횟수=0","")</f>
        <v/>
      </c>
      <c r="AJ26" s="92"/>
      <c r="AK26" s="92"/>
      <c r="AL26" s="92"/>
      <c r="AM26" s="92"/>
      <c r="AN26" s="93"/>
      <c r="AP26" s="47">
        <v>44295</v>
      </c>
      <c r="AQ26" s="47">
        <v>44386</v>
      </c>
      <c r="AR26" s="47">
        <v>44295</v>
      </c>
      <c r="AS26" s="47">
        <v>44386</v>
      </c>
      <c r="AT26" s="47">
        <f t="shared" si="4"/>
        <v>44389</v>
      </c>
      <c r="AU26" s="48">
        <v>0</v>
      </c>
      <c r="AV26" s="48">
        <v>3.5000000000000003E-2</v>
      </c>
      <c r="AW26" s="48">
        <v>8.0000000000000002E-3</v>
      </c>
      <c r="AY26" s="50">
        <v>41224</v>
      </c>
      <c r="AZ26" s="50">
        <v>41224</v>
      </c>
      <c r="BA26" s="50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>
        <f t="shared" si="8"/>
        <v>44386</v>
      </c>
      <c r="O27" s="47">
        <f t="shared" si="11"/>
        <v>44478</v>
      </c>
      <c r="P27" s="47">
        <f t="shared" si="12"/>
        <v>44386</v>
      </c>
      <c r="Q27" s="47">
        <f t="shared" si="13"/>
        <v>44478</v>
      </c>
      <c r="R27" s="47">
        <f t="shared" si="3"/>
        <v>44481</v>
      </c>
      <c r="S27" s="48">
        <v>0</v>
      </c>
      <c r="T27" s="48">
        <v>0</v>
      </c>
      <c r="U27" s="48"/>
      <c r="W27" s="50">
        <v>41230</v>
      </c>
      <c r="X27" s="50">
        <v>41230</v>
      </c>
      <c r="Y27" s="50">
        <v>41230</v>
      </c>
      <c r="AP27" s="47">
        <v>44386</v>
      </c>
      <c r="AQ27" s="47">
        <v>44478</v>
      </c>
      <c r="AR27" s="47">
        <v>44386</v>
      </c>
      <c r="AS27" s="47">
        <v>44478</v>
      </c>
      <c r="AT27" s="47">
        <f t="shared" si="4"/>
        <v>44481</v>
      </c>
      <c r="AU27" s="48">
        <v>0</v>
      </c>
      <c r="AV27" s="48">
        <v>3.5000000000000003E-2</v>
      </c>
      <c r="AW27" s="48">
        <v>8.0000000000000002E-3</v>
      </c>
      <c r="AY27" s="50">
        <v>41230</v>
      </c>
      <c r="AZ27" s="50">
        <v>41230</v>
      </c>
      <c r="BA27" s="50">
        <v>41230</v>
      </c>
    </row>
    <row r="28" spans="1:53" ht="16.2" customHeight="1" thickBot="1" x14ac:dyDescent="0.45">
      <c r="A28" s="42">
        <f t="shared" si="1"/>
        <v>28</v>
      </c>
      <c r="B28" s="160" t="str">
        <f>IF($D$7&gt;=3,"기초금리3", "")</f>
        <v/>
      </c>
      <c r="C28" s="148" t="str">
        <f>IF($D$7&gt;=3,"커브번호", "")</f>
        <v/>
      </c>
      <c r="D28" s="148"/>
      <c r="E28" s="118">
        <v>3</v>
      </c>
      <c r="F28" s="118"/>
      <c r="G28" s="45"/>
      <c r="H28" s="45"/>
      <c r="I28" s="131" t="str">
        <f>IF(OR(E29 = 0, E29 = 2, E29 = 4), "RefType = "&amp;E29&amp;" 이므로 Ref Swap 금리정보 사용안함", "사용")</f>
        <v>RefType = 0 이므로 Ref Swap 금리정보 사용안함</v>
      </c>
      <c r="J28" s="131"/>
      <c r="K28" s="131"/>
      <c r="L28" s="132"/>
      <c r="N28" s="47">
        <f t="shared" si="8"/>
        <v>44478</v>
      </c>
      <c r="O28" s="47">
        <f t="shared" si="11"/>
        <v>44570</v>
      </c>
      <c r="P28" s="47">
        <f t="shared" si="12"/>
        <v>44478</v>
      </c>
      <c r="Q28" s="47">
        <f t="shared" si="13"/>
        <v>44570</v>
      </c>
      <c r="R28" s="47">
        <f t="shared" si="3"/>
        <v>44573</v>
      </c>
      <c r="S28" s="48">
        <v>0</v>
      </c>
      <c r="T28" s="48">
        <v>0</v>
      </c>
      <c r="U28" s="48"/>
      <c r="W28" s="50">
        <v>41231</v>
      </c>
      <c r="X28" s="50">
        <v>41231</v>
      </c>
      <c r="Y28" s="50">
        <v>41231</v>
      </c>
      <c r="AD28" s="121" t="str">
        <f>IF($AF$7&gt;=3,"기초금리3", "")</f>
        <v/>
      </c>
      <c r="AE28" s="117" t="str">
        <f>IF($AF$7&gt;=3,"커브번호", "")</f>
        <v/>
      </c>
      <c r="AF28" s="117"/>
      <c r="AG28" s="118">
        <v>3</v>
      </c>
      <c r="AH28" s="118"/>
      <c r="AI28" s="45"/>
      <c r="AJ28" s="45"/>
      <c r="AK28" s="115" t="str">
        <f>IF(OR(AG29 = 0, AG29 = 2, AG29 = 4), "RefType = "&amp;AG29&amp;" 이므로 Ref Swap 금리정보 사용안함", "사용")</f>
        <v>RefType = 0 이므로 Ref Swap 금리정보 사용안함</v>
      </c>
      <c r="AL28" s="115"/>
      <c r="AM28" s="115"/>
      <c r="AN28" s="116"/>
      <c r="AP28" s="47">
        <v>44478</v>
      </c>
      <c r="AQ28" s="47">
        <v>44570</v>
      </c>
      <c r="AR28" s="47">
        <v>44478</v>
      </c>
      <c r="AS28" s="47">
        <v>44570</v>
      </c>
      <c r="AT28" s="47">
        <f t="shared" si="4"/>
        <v>44573</v>
      </c>
      <c r="AU28" s="48">
        <v>0</v>
      </c>
      <c r="AV28" s="48">
        <v>3.5000000000000003E-2</v>
      </c>
      <c r="AW28" s="48">
        <v>8.0000000000000002E-3</v>
      </c>
      <c r="AY28" s="50">
        <v>41231</v>
      </c>
      <c r="AZ28" s="50">
        <v>41231</v>
      </c>
      <c r="BA28" s="50">
        <v>41231</v>
      </c>
    </row>
    <row r="29" spans="1:53" ht="16.2" customHeight="1" thickBot="1" x14ac:dyDescent="0.45">
      <c r="A29" s="42">
        <f t="shared" si="1"/>
        <v>29</v>
      </c>
      <c r="B29" s="146"/>
      <c r="C29" s="137" t="str">
        <f>IF($D$7&gt;=3,"Reference Rate Type", "")</f>
        <v/>
      </c>
      <c r="D29" s="138"/>
      <c r="E29" s="120">
        <v>0</v>
      </c>
      <c r="F29" s="120"/>
      <c r="G29" s="123" t="str">
        <f>IF(OR(E29 = 0, E29 = 2, E29 = 4), "", "Zero/Swap 레퍼런스금리정보")</f>
        <v/>
      </c>
      <c r="H29" s="123"/>
      <c r="I29" s="123" t="str">
        <f>IF(OR(E29 = 0, E29 = 2, E29 = 4), "", "연 지급횟수")</f>
        <v/>
      </c>
      <c r="J29" s="124"/>
      <c r="K29" s="108">
        <v>4</v>
      </c>
      <c r="L29" s="109"/>
      <c r="N29" s="47">
        <f t="shared" si="8"/>
        <v>44570</v>
      </c>
      <c r="O29" s="47">
        <f t="shared" si="11"/>
        <v>44660</v>
      </c>
      <c r="P29" s="47">
        <f t="shared" si="12"/>
        <v>44570</v>
      </c>
      <c r="Q29" s="47">
        <f t="shared" si="13"/>
        <v>44660</v>
      </c>
      <c r="R29" s="47">
        <f t="shared" si="3"/>
        <v>44663</v>
      </c>
      <c r="S29" s="48">
        <v>0</v>
      </c>
      <c r="T29" s="48">
        <v>0</v>
      </c>
      <c r="U29" s="48"/>
      <c r="W29" s="50">
        <v>41237</v>
      </c>
      <c r="X29" s="50">
        <v>41237</v>
      </c>
      <c r="Y29" s="50">
        <v>41237</v>
      </c>
      <c r="AD29" s="122"/>
      <c r="AE29" s="104" t="str">
        <f>IF($AF$7&gt;=3,"Reference Rate Type", "")</f>
        <v/>
      </c>
      <c r="AF29" s="119"/>
      <c r="AG29" s="120">
        <v>0</v>
      </c>
      <c r="AH29" s="120"/>
      <c r="AI29" s="106" t="str">
        <f>IF(OR(AG29 = 0, AG29 = 2, AG29 = 4), "", "Zero/Swap 레퍼런스금리정보")</f>
        <v/>
      </c>
      <c r="AJ29" s="106"/>
      <c r="AK29" s="106" t="str">
        <f>IF(OR(AG29 = 0, AG29 = 2, AG29 = 4), "", "연 지급횟수")</f>
        <v/>
      </c>
      <c r="AL29" s="107"/>
      <c r="AM29" s="108">
        <v>4</v>
      </c>
      <c r="AN29" s="109"/>
      <c r="AP29" s="47">
        <v>44570</v>
      </c>
      <c r="AQ29" s="47">
        <v>44660</v>
      </c>
      <c r="AR29" s="47">
        <v>44570</v>
      </c>
      <c r="AS29" s="47">
        <v>44660</v>
      </c>
      <c r="AT29" s="47">
        <f t="shared" si="4"/>
        <v>44663</v>
      </c>
      <c r="AU29" s="48">
        <v>0</v>
      </c>
      <c r="AV29" s="48">
        <v>3.5000000000000003E-2</v>
      </c>
      <c r="AW29" s="48">
        <v>8.0000000000000002E-3</v>
      </c>
      <c r="AY29" s="50">
        <v>41237</v>
      </c>
      <c r="AZ29" s="50">
        <v>41237</v>
      </c>
      <c r="BA29" s="50">
        <v>41237</v>
      </c>
    </row>
    <row r="30" spans="1:53" ht="16.2" customHeight="1" x14ac:dyDescent="0.4">
      <c r="A30" s="42">
        <f t="shared" si="1"/>
        <v>30</v>
      </c>
      <c r="B30" s="146"/>
      <c r="C30" s="137" t="str">
        <f>IF($D$7&gt;=3,"DayCount", "")</f>
        <v/>
      </c>
      <c r="D30" s="137"/>
      <c r="E30" s="95">
        <v>0</v>
      </c>
      <c r="F30" s="95"/>
      <c r="G30" s="123"/>
      <c r="H30" s="123"/>
      <c r="I30" s="123" t="str">
        <f>IF(OR(E29 = 0, E29 = 2, E29 = 4,E32=1), "", "만기")</f>
        <v/>
      </c>
      <c r="J30" s="124"/>
      <c r="K30" s="125">
        <v>5</v>
      </c>
      <c r="L30" s="126"/>
      <c r="N30" s="47">
        <f t="shared" si="8"/>
        <v>44660</v>
      </c>
      <c r="O30" s="47">
        <f t="shared" si="11"/>
        <v>44751</v>
      </c>
      <c r="P30" s="47">
        <f t="shared" si="12"/>
        <v>44660</v>
      </c>
      <c r="Q30" s="47">
        <f t="shared" si="13"/>
        <v>44751</v>
      </c>
      <c r="R30" s="47">
        <f t="shared" si="3"/>
        <v>44754</v>
      </c>
      <c r="S30" s="48">
        <v>0</v>
      </c>
      <c r="T30" s="48">
        <v>0</v>
      </c>
      <c r="U30" s="48"/>
      <c r="W30" s="50">
        <v>41238</v>
      </c>
      <c r="X30" s="50">
        <v>41238</v>
      </c>
      <c r="Y30" s="50">
        <v>41238</v>
      </c>
      <c r="AD30" s="122"/>
      <c r="AE30" s="104" t="str">
        <f>IF($AF$7&gt;=3,"DayCount", "")</f>
        <v/>
      </c>
      <c r="AF30" s="104"/>
      <c r="AG30" s="95">
        <v>0</v>
      </c>
      <c r="AH30" s="95"/>
      <c r="AI30" s="106"/>
      <c r="AJ30" s="106"/>
      <c r="AK30" s="123" t="str">
        <f>IF(OR(AG29 = 0, AG29 = 2, AG29 = 4,AG32=1), "", "만기")</f>
        <v/>
      </c>
      <c r="AL30" s="124"/>
      <c r="AM30" s="125">
        <v>5</v>
      </c>
      <c r="AN30" s="126"/>
      <c r="AP30" s="47">
        <v>44660</v>
      </c>
      <c r="AQ30" s="47">
        <v>44751</v>
      </c>
      <c r="AR30" s="47">
        <v>44660</v>
      </c>
      <c r="AS30" s="47">
        <v>44751</v>
      </c>
      <c r="AT30" s="47">
        <f t="shared" si="4"/>
        <v>44754</v>
      </c>
      <c r="AU30" s="48">
        <v>0</v>
      </c>
      <c r="AV30" s="48">
        <v>3.5000000000000003E-2</v>
      </c>
      <c r="AW30" s="48">
        <v>8.0000000000000002E-3</v>
      </c>
      <c r="AY30" s="50">
        <v>41238</v>
      </c>
      <c r="AZ30" s="50">
        <v>41238</v>
      </c>
      <c r="BA30" s="50">
        <v>41238</v>
      </c>
    </row>
    <row r="31" spans="1:53" ht="16.2" customHeight="1" x14ac:dyDescent="0.4">
      <c r="A31" s="42">
        <f t="shared" si="1"/>
        <v>31</v>
      </c>
      <c r="B31" s="146"/>
      <c r="C31" s="137" t="str">
        <f>IF($D$7&gt;=3,"금리결정조건Multiple", "")</f>
        <v/>
      </c>
      <c r="D31" s="138"/>
      <c r="E31" s="94">
        <v>1</v>
      </c>
      <c r="F31" s="94"/>
      <c r="G31" s="90" t="str">
        <f>IF(OR(E29 = 0, E29 = 2, E29 = 4), "", "ex) Zero Rate 5년 -&gt; 연 지급횟수= 0, 만기= 5 // CD91일 -&gt; 연 지급횟수= 4, 만기= 0.25")</f>
        <v/>
      </c>
      <c r="H31" s="90"/>
      <c r="I31" s="90"/>
      <c r="J31" s="90"/>
      <c r="K31" s="90"/>
      <c r="L31" s="91"/>
      <c r="N31" s="47">
        <f t="shared" si="8"/>
        <v>44751</v>
      </c>
      <c r="O31" s="47">
        <f t="shared" si="11"/>
        <v>44843</v>
      </c>
      <c r="P31" s="47">
        <f t="shared" si="12"/>
        <v>44751</v>
      </c>
      <c r="Q31" s="47">
        <f t="shared" si="13"/>
        <v>44843</v>
      </c>
      <c r="R31" s="47">
        <f t="shared" si="3"/>
        <v>44846</v>
      </c>
      <c r="S31" s="48">
        <v>0</v>
      </c>
      <c r="T31" s="48">
        <v>0</v>
      </c>
      <c r="U31" s="48"/>
      <c r="W31" s="50">
        <v>41244</v>
      </c>
      <c r="X31" s="50">
        <v>41244</v>
      </c>
      <c r="Y31" s="50">
        <v>41244</v>
      </c>
      <c r="AD31" s="122"/>
      <c r="AE31" s="104" t="str">
        <f>IF($AF$7&gt;=3,"금리결정조건Multiple", "")</f>
        <v/>
      </c>
      <c r="AF31" s="119"/>
      <c r="AG31" s="94">
        <v>1</v>
      </c>
      <c r="AH31" s="94"/>
      <c r="AI31" s="90" t="str">
        <f>IF(OR(AG29 = 0, AG29 = 2, AG29 = 4), "", "ex) Zero Rate 5년 -&gt; 연 지급횟수= 0, 만기= 5 // CD91일 -&gt; 연 지급횟수= 4, 만기= 0.25")</f>
        <v/>
      </c>
      <c r="AJ31" s="90"/>
      <c r="AK31" s="90"/>
      <c r="AL31" s="90"/>
      <c r="AM31" s="90"/>
      <c r="AN31" s="91"/>
      <c r="AP31" s="47">
        <v>44751</v>
      </c>
      <c r="AQ31" s="47">
        <v>44843</v>
      </c>
      <c r="AR31" s="47">
        <v>44751</v>
      </c>
      <c r="AS31" s="47">
        <v>44843</v>
      </c>
      <c r="AT31" s="47">
        <f t="shared" si="4"/>
        <v>44846</v>
      </c>
      <c r="AU31" s="48">
        <v>0</v>
      </c>
      <c r="AV31" s="48">
        <v>3.5000000000000003E-2</v>
      </c>
      <c r="AW31" s="48">
        <v>8.0000000000000002E-3</v>
      </c>
      <c r="AY31" s="50">
        <v>41244</v>
      </c>
      <c r="AZ31" s="50">
        <v>41244</v>
      </c>
      <c r="BA31" s="50">
        <v>41244</v>
      </c>
    </row>
    <row r="32" spans="1:53" ht="16.2" customHeight="1" x14ac:dyDescent="0.4">
      <c r="A32" s="42">
        <f t="shared" si="1"/>
        <v>32</v>
      </c>
      <c r="B32" s="146"/>
      <c r="C32" s="136" t="str">
        <f>IF($D$7&gt;=3,"Power Spread Flag", "")</f>
        <v/>
      </c>
      <c r="D32" s="136"/>
      <c r="E32" s="95">
        <v>0</v>
      </c>
      <c r="F32" s="95"/>
      <c r="G32" s="143" t="str">
        <f>IF(E32&gt;0,"PowerSpreadFlag 1일때 입력","입력필요X")</f>
        <v>입력필요X</v>
      </c>
      <c r="H32" s="143"/>
      <c r="I32" s="143" t="str">
        <f>IF(E32&gt;0,"만기1","")</f>
        <v/>
      </c>
      <c r="J32" s="143"/>
      <c r="K32" s="97">
        <v>10</v>
      </c>
      <c r="L32" s="98"/>
      <c r="N32" s="47">
        <f t="shared" si="8"/>
        <v>44843</v>
      </c>
      <c r="O32" s="47">
        <f t="shared" si="11"/>
        <v>44935</v>
      </c>
      <c r="P32" s="47">
        <f t="shared" si="12"/>
        <v>44843</v>
      </c>
      <c r="Q32" s="47">
        <f t="shared" si="13"/>
        <v>44935</v>
      </c>
      <c r="R32" s="47">
        <f t="shared" si="3"/>
        <v>44938</v>
      </c>
      <c r="S32" s="48">
        <v>0</v>
      </c>
      <c r="T32" s="48">
        <v>0</v>
      </c>
      <c r="U32" s="48"/>
      <c r="W32" s="50">
        <v>41245</v>
      </c>
      <c r="X32" s="50">
        <v>41245</v>
      </c>
      <c r="Y32" s="50">
        <v>41245</v>
      </c>
      <c r="AD32" s="122"/>
      <c r="AE32" s="103" t="str">
        <f>IF($AF$7&gt;=3,"Power Spread Flag", "")</f>
        <v/>
      </c>
      <c r="AF32" s="103"/>
      <c r="AG32" s="95">
        <v>0</v>
      </c>
      <c r="AH32" s="95"/>
      <c r="AI32" s="96" t="str">
        <f>IF(AG32&gt;0,"PowerSpreadFlag 1일때 입력","입력필요X")</f>
        <v>입력필요X</v>
      </c>
      <c r="AJ32" s="96"/>
      <c r="AK32" s="96" t="str">
        <f>IF(AG32&gt;0,"만기1","")</f>
        <v/>
      </c>
      <c r="AL32" s="96"/>
      <c r="AM32" s="97">
        <v>10</v>
      </c>
      <c r="AN32" s="98"/>
      <c r="AP32" s="47">
        <v>44843</v>
      </c>
      <c r="AQ32" s="47">
        <v>44935</v>
      </c>
      <c r="AR32" s="47">
        <v>44843</v>
      </c>
      <c r="AS32" s="47">
        <v>44935</v>
      </c>
      <c r="AT32" s="47">
        <f t="shared" si="4"/>
        <v>44938</v>
      </c>
      <c r="AU32" s="48">
        <v>0</v>
      </c>
      <c r="AV32" s="48">
        <v>3.5000000000000003E-2</v>
      </c>
      <c r="AW32" s="48">
        <v>8.0000000000000002E-3</v>
      </c>
      <c r="AY32" s="50">
        <v>41245</v>
      </c>
      <c r="AZ32" s="50">
        <v>41245</v>
      </c>
      <c r="BA32" s="50">
        <v>41245</v>
      </c>
    </row>
    <row r="33" spans="1:53" ht="16.2" customHeight="1" x14ac:dyDescent="0.4">
      <c r="A33" s="42">
        <f t="shared" si="1"/>
        <v>33</v>
      </c>
      <c r="B33" s="146" t="str">
        <f>IF($D$7&gt;2, "사용", "커브개수"&amp;"="&amp;$D$7&amp;"이므로 사용안함")</f>
        <v>커브개수=1이므로 사용안함</v>
      </c>
      <c r="C33" s="136" t="str">
        <f>IF($D$7&gt;=3,"Range상한", "")</f>
        <v/>
      </c>
      <c r="D33" s="136"/>
      <c r="E33" s="127">
        <v>0.5</v>
      </c>
      <c r="F33" s="127"/>
      <c r="G33" s="143"/>
      <c r="H33" s="143"/>
      <c r="I33" s="143" t="str">
        <f>IF(E32&gt;0,"만기2","")</f>
        <v/>
      </c>
      <c r="J33" s="143"/>
      <c r="K33" s="97">
        <v>5</v>
      </c>
      <c r="L33" s="98"/>
      <c r="N33" s="47">
        <f t="shared" si="8"/>
        <v>44935</v>
      </c>
      <c r="O33" s="47">
        <f t="shared" si="11"/>
        <v>45025</v>
      </c>
      <c r="P33" s="47">
        <f t="shared" si="12"/>
        <v>44935</v>
      </c>
      <c r="Q33" s="47">
        <f t="shared" si="13"/>
        <v>45025</v>
      </c>
      <c r="R33" s="47">
        <f t="shared" si="3"/>
        <v>45028</v>
      </c>
      <c r="S33" s="48">
        <v>0</v>
      </c>
      <c r="T33" s="48">
        <v>0</v>
      </c>
      <c r="U33" s="48"/>
      <c r="W33" s="50">
        <v>41251</v>
      </c>
      <c r="X33" s="50">
        <v>41251</v>
      </c>
      <c r="Y33" s="50">
        <v>41251</v>
      </c>
      <c r="AD33" s="122" t="str">
        <f>IF($AF$7&gt;2, "사용", "커브개수"&amp;"="&amp;$AF$7&amp;"이므로 사용안함")</f>
        <v>커브개수=1이므로 사용안함</v>
      </c>
      <c r="AE33" s="103" t="str">
        <f>IF($AF$7&gt;=3,"Range상한", "")</f>
        <v/>
      </c>
      <c r="AF33" s="103"/>
      <c r="AG33" s="127">
        <v>0.5</v>
      </c>
      <c r="AH33" s="127"/>
      <c r="AI33" s="96"/>
      <c r="AJ33" s="96"/>
      <c r="AK33" s="96" t="str">
        <f>IF(AG32&gt;0,"만기2","")</f>
        <v/>
      </c>
      <c r="AL33" s="96"/>
      <c r="AM33" s="97">
        <v>5</v>
      </c>
      <c r="AN33" s="98"/>
      <c r="AP33" s="47">
        <v>44935</v>
      </c>
      <c r="AQ33" s="47">
        <v>45025</v>
      </c>
      <c r="AR33" s="47">
        <v>44935</v>
      </c>
      <c r="AS33" s="47">
        <v>45025</v>
      </c>
      <c r="AT33" s="47">
        <f t="shared" si="4"/>
        <v>45028</v>
      </c>
      <c r="AU33" s="48">
        <v>0</v>
      </c>
      <c r="AV33" s="48">
        <v>0</v>
      </c>
      <c r="AW33" s="48">
        <v>8.0000000000000002E-3</v>
      </c>
      <c r="AY33" s="50">
        <v>41251</v>
      </c>
      <c r="AZ33" s="50">
        <v>41251</v>
      </c>
      <c r="BA33" s="50">
        <v>41251</v>
      </c>
    </row>
    <row r="34" spans="1:53" ht="16.2" customHeight="1" x14ac:dyDescent="0.4">
      <c r="A34" s="42">
        <f t="shared" si="1"/>
        <v>34</v>
      </c>
      <c r="B34" s="146"/>
      <c r="C34" s="136" t="str">
        <f>IF($D$7&gt;=3,"Range하한", "")</f>
        <v/>
      </c>
      <c r="D34" s="137"/>
      <c r="E34" s="105">
        <v>-0.1</v>
      </c>
      <c r="F34" s="105"/>
      <c r="G34" s="147"/>
      <c r="H34" s="147"/>
      <c r="I34" s="144" t="str">
        <f>IF(E32&gt;0,"Spread1","")</f>
        <v/>
      </c>
      <c r="J34" s="144"/>
      <c r="K34" s="134" t="str">
        <f>IF(E32&gt;0, I32&amp;"-"&amp;I33, "")</f>
        <v/>
      </c>
      <c r="L34" s="135"/>
      <c r="N34" s="47">
        <f t="shared" si="8"/>
        <v>45025</v>
      </c>
      <c r="O34" s="47">
        <f t="shared" si="11"/>
        <v>45116</v>
      </c>
      <c r="P34" s="47">
        <f t="shared" si="12"/>
        <v>45025</v>
      </c>
      <c r="Q34" s="47">
        <f t="shared" si="13"/>
        <v>45116</v>
      </c>
      <c r="R34" s="47">
        <f t="shared" si="3"/>
        <v>45119</v>
      </c>
      <c r="S34" s="48">
        <v>0</v>
      </c>
      <c r="T34" s="48">
        <v>0</v>
      </c>
      <c r="U34" s="48"/>
      <c r="W34" s="50">
        <v>41252</v>
      </c>
      <c r="X34" s="50">
        <v>41252</v>
      </c>
      <c r="Y34" s="50">
        <v>41252</v>
      </c>
      <c r="AD34" s="122"/>
      <c r="AE34" s="103" t="str">
        <f>IF($AF$7&gt;=3,"Range하한", "")</f>
        <v/>
      </c>
      <c r="AF34" s="104"/>
      <c r="AG34" s="105">
        <v>-0.1</v>
      </c>
      <c r="AH34" s="105"/>
      <c r="AI34" s="102"/>
      <c r="AJ34" s="102"/>
      <c r="AK34" s="99" t="str">
        <f>IF(AG32&gt;0,"Spread1","")</f>
        <v/>
      </c>
      <c r="AL34" s="99"/>
      <c r="AM34" s="100" t="str">
        <f>IF(AG32&gt;0, AK32&amp;"-"&amp;AK33, "")</f>
        <v/>
      </c>
      <c r="AN34" s="101"/>
      <c r="AP34" s="47">
        <v>45025</v>
      </c>
      <c r="AQ34" s="47">
        <v>45116</v>
      </c>
      <c r="AR34" s="47">
        <v>45025</v>
      </c>
      <c r="AS34" s="47">
        <v>45116</v>
      </c>
      <c r="AT34" s="47">
        <f t="shared" si="4"/>
        <v>45119</v>
      </c>
      <c r="AU34" s="48">
        <v>0</v>
      </c>
      <c r="AV34" s="48">
        <v>0</v>
      </c>
      <c r="AW34" s="48">
        <v>8.0000000000000002E-3</v>
      </c>
      <c r="AY34" s="50">
        <v>41252</v>
      </c>
      <c r="AZ34" s="50">
        <v>41252</v>
      </c>
      <c r="BA34" s="50">
        <v>41252</v>
      </c>
    </row>
    <row r="35" spans="1:53" ht="16.2" customHeight="1" x14ac:dyDescent="0.4">
      <c r="A35" s="42">
        <f t="shared" si="1"/>
        <v>35</v>
      </c>
      <c r="B35" s="41"/>
      <c r="C35" s="128" t="str">
        <f>IF($D$7&gt;=3,"Payoff조건Multiple", "")</f>
        <v/>
      </c>
      <c r="D35" s="128"/>
      <c r="E35" s="113">
        <v>0</v>
      </c>
      <c r="F35" s="113"/>
      <c r="G35" s="92" t="str">
        <f>IF(E32&gt;0,"예시) 10년-5년 스왑: 연 지급횟수=4, 만기1=10, 만기2=5 // 10년-5년 Zero: 연 지급횟수=0","")</f>
        <v/>
      </c>
      <c r="H35" s="92"/>
      <c r="I35" s="92"/>
      <c r="J35" s="92"/>
      <c r="K35" s="92"/>
      <c r="L35" s="93"/>
      <c r="N35" s="47">
        <f t="shared" si="8"/>
        <v>45116</v>
      </c>
      <c r="O35" s="47">
        <f t="shared" si="11"/>
        <v>45208</v>
      </c>
      <c r="P35" s="47">
        <f t="shared" si="12"/>
        <v>45116</v>
      </c>
      <c r="Q35" s="47">
        <f t="shared" si="13"/>
        <v>45208</v>
      </c>
      <c r="R35" s="47">
        <f t="shared" si="3"/>
        <v>45211</v>
      </c>
      <c r="S35" s="48">
        <v>0</v>
      </c>
      <c r="T35" s="48">
        <v>0</v>
      </c>
      <c r="U35" s="48"/>
      <c r="W35" s="50">
        <v>41258</v>
      </c>
      <c r="X35" s="50">
        <v>41258</v>
      </c>
      <c r="Y35" s="50">
        <v>41258</v>
      </c>
      <c r="AD35" s="40"/>
      <c r="AE35" s="114" t="str">
        <f>IF($AF$7&gt;=3,"Payoff조건Multiple", "")</f>
        <v/>
      </c>
      <c r="AF35" s="114"/>
      <c r="AG35" s="113">
        <v>0</v>
      </c>
      <c r="AH35" s="113"/>
      <c r="AI35" s="92" t="str">
        <f>IF(AG32&gt;0,"예시) 10년-5년 스왑: 연 지급횟수=4, 만기1=10, 만기2=5 // 10년-5년 Zero: 연 지급횟수=0","")</f>
        <v/>
      </c>
      <c r="AJ35" s="92"/>
      <c r="AK35" s="92"/>
      <c r="AL35" s="92"/>
      <c r="AM35" s="92"/>
      <c r="AN35" s="93"/>
      <c r="AP35" s="47">
        <v>45116</v>
      </c>
      <c r="AQ35" s="47">
        <v>45208</v>
      </c>
      <c r="AR35" s="47">
        <v>45116</v>
      </c>
      <c r="AS35" s="47">
        <v>45208</v>
      </c>
      <c r="AT35" s="47">
        <f t="shared" si="4"/>
        <v>45211</v>
      </c>
      <c r="AU35" s="48">
        <v>0</v>
      </c>
      <c r="AV35" s="48">
        <v>0</v>
      </c>
      <c r="AW35" s="48">
        <v>8.0000000000000002E-3</v>
      </c>
      <c r="AY35" s="50">
        <v>41258</v>
      </c>
      <c r="AZ35" s="50">
        <v>41258</v>
      </c>
      <c r="BA35" s="50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>
        <f t="shared" si="8"/>
        <v>45208</v>
      </c>
      <c r="O36" s="47">
        <f t="shared" si="11"/>
        <v>45300</v>
      </c>
      <c r="P36" s="47">
        <f t="shared" si="12"/>
        <v>45208</v>
      </c>
      <c r="Q36" s="47">
        <f t="shared" si="13"/>
        <v>45300</v>
      </c>
      <c r="R36" s="47">
        <f t="shared" si="3"/>
        <v>45303</v>
      </c>
      <c r="S36" s="48">
        <v>0</v>
      </c>
      <c r="T36" s="48">
        <v>0</v>
      </c>
      <c r="U36" s="48"/>
      <c r="W36" s="50">
        <v>41259</v>
      </c>
      <c r="X36" s="50">
        <v>41259</v>
      </c>
      <c r="Y36" s="50">
        <v>41259</v>
      </c>
      <c r="AP36" s="47">
        <v>45208</v>
      </c>
      <c r="AQ36" s="47">
        <v>45300</v>
      </c>
      <c r="AR36" s="47">
        <v>45208</v>
      </c>
      <c r="AS36" s="47">
        <v>45300</v>
      </c>
      <c r="AT36" s="47">
        <f t="shared" si="4"/>
        <v>45303</v>
      </c>
      <c r="AU36" s="48">
        <v>0</v>
      </c>
      <c r="AV36" s="48">
        <v>0</v>
      </c>
      <c r="AW36" s="48">
        <v>8.0000000000000002E-3</v>
      </c>
      <c r="AY36" s="50">
        <v>41259</v>
      </c>
      <c r="AZ36" s="50">
        <v>41259</v>
      </c>
      <c r="BA36" s="50">
        <v>41259</v>
      </c>
    </row>
    <row r="37" spans="1:53" ht="16.2" customHeight="1" x14ac:dyDescent="0.4">
      <c r="A37" s="42">
        <f t="shared" si="1"/>
        <v>37</v>
      </c>
      <c r="B37" s="139" t="s">
        <v>47</v>
      </c>
      <c r="C37" s="117" t="s">
        <v>33</v>
      </c>
      <c r="D37" s="117"/>
      <c r="E37" s="163">
        <v>1</v>
      </c>
      <c r="F37" s="164"/>
      <c r="G37" s="43"/>
      <c r="H37" s="121" t="s">
        <v>50</v>
      </c>
      <c r="I37" s="139"/>
      <c r="J37" s="129">
        <v>0</v>
      </c>
      <c r="K37" s="129"/>
      <c r="L37" s="130"/>
      <c r="N37" s="47">
        <f t="shared" si="8"/>
        <v>45300</v>
      </c>
      <c r="O37" s="47">
        <f t="shared" si="11"/>
        <v>45391</v>
      </c>
      <c r="P37" s="47">
        <f t="shared" si="12"/>
        <v>45300</v>
      </c>
      <c r="Q37" s="47">
        <f t="shared" si="13"/>
        <v>45391</v>
      </c>
      <c r="R37" s="47">
        <f t="shared" si="3"/>
        <v>45394</v>
      </c>
      <c r="S37" s="48">
        <v>0</v>
      </c>
      <c r="T37" s="48">
        <v>0</v>
      </c>
      <c r="U37" s="48"/>
      <c r="W37" s="50">
        <v>41262</v>
      </c>
      <c r="X37" s="50">
        <v>41262</v>
      </c>
      <c r="Y37" s="50">
        <v>41262</v>
      </c>
      <c r="AD37" s="139" t="s">
        <v>47</v>
      </c>
      <c r="AE37" s="117" t="s">
        <v>33</v>
      </c>
      <c r="AF37" s="117"/>
      <c r="AG37" s="163">
        <v>1</v>
      </c>
      <c r="AH37" s="164"/>
      <c r="AJ37" s="121" t="s">
        <v>50</v>
      </c>
      <c r="AK37" s="139"/>
      <c r="AL37" s="129">
        <v>0</v>
      </c>
      <c r="AM37" s="129"/>
      <c r="AN37" s="130"/>
      <c r="AP37" s="47">
        <v>45300</v>
      </c>
      <c r="AQ37" s="47">
        <v>45391</v>
      </c>
      <c r="AR37" s="47">
        <v>45300</v>
      </c>
      <c r="AS37" s="47">
        <v>45391</v>
      </c>
      <c r="AT37" s="47">
        <f t="shared" si="4"/>
        <v>45394</v>
      </c>
      <c r="AU37" s="48">
        <v>0</v>
      </c>
      <c r="AV37" s="48">
        <v>0</v>
      </c>
      <c r="AW37" s="48">
        <v>8.0000000000000002E-3</v>
      </c>
      <c r="AY37" s="50">
        <v>41262</v>
      </c>
      <c r="AZ37" s="50">
        <v>41262</v>
      </c>
      <c r="BA37" s="50">
        <v>41262</v>
      </c>
    </row>
    <row r="38" spans="1:53" ht="16.2" customHeight="1" x14ac:dyDescent="0.4">
      <c r="A38" s="42">
        <f t="shared" si="1"/>
        <v>38</v>
      </c>
      <c r="B38" s="161"/>
      <c r="C38" s="114"/>
      <c r="D38" s="114"/>
      <c r="E38" s="165"/>
      <c r="F38" s="166"/>
      <c r="G38" s="43"/>
      <c r="H38" s="140" t="s">
        <v>51</v>
      </c>
      <c r="I38" s="141"/>
      <c r="J38" s="141"/>
      <c r="K38" s="141"/>
      <c r="L38" s="142"/>
      <c r="N38" s="47">
        <f t="shared" si="8"/>
        <v>45391</v>
      </c>
      <c r="O38" s="47">
        <f t="shared" si="11"/>
        <v>45482</v>
      </c>
      <c r="P38" s="47">
        <f t="shared" si="12"/>
        <v>45391</v>
      </c>
      <c r="Q38" s="47">
        <f t="shared" si="13"/>
        <v>45482</v>
      </c>
      <c r="R38" s="47">
        <f t="shared" si="3"/>
        <v>45485</v>
      </c>
      <c r="S38" s="48">
        <v>0</v>
      </c>
      <c r="T38" s="48">
        <v>0</v>
      </c>
      <c r="U38" s="48"/>
      <c r="W38" s="50">
        <v>41265</v>
      </c>
      <c r="X38" s="50">
        <v>41265</v>
      </c>
      <c r="Y38" s="50">
        <v>41265</v>
      </c>
      <c r="AD38" s="161"/>
      <c r="AE38" s="114"/>
      <c r="AF38" s="114"/>
      <c r="AG38" s="165"/>
      <c r="AH38" s="166"/>
      <c r="AJ38" s="140" t="s">
        <v>51</v>
      </c>
      <c r="AK38" s="141"/>
      <c r="AL38" s="141"/>
      <c r="AM38" s="141"/>
      <c r="AN38" s="142"/>
      <c r="AP38" s="47">
        <v>45391</v>
      </c>
      <c r="AQ38" s="47">
        <v>45482</v>
      </c>
      <c r="AR38" s="47">
        <v>45391</v>
      </c>
      <c r="AS38" s="47">
        <v>45482</v>
      </c>
      <c r="AT38" s="47">
        <f t="shared" si="4"/>
        <v>45485</v>
      </c>
      <c r="AU38" s="48">
        <v>0</v>
      </c>
      <c r="AV38" s="48">
        <v>0</v>
      </c>
      <c r="AW38" s="48">
        <v>8.0000000000000002E-3</v>
      </c>
      <c r="AY38" s="50">
        <v>41265</v>
      </c>
      <c r="AZ38" s="50">
        <v>41265</v>
      </c>
      <c r="BA38" s="50">
        <v>41265</v>
      </c>
    </row>
    <row r="39" spans="1:53" ht="16.2" customHeight="1" x14ac:dyDescent="0.4">
      <c r="A39" s="42">
        <f t="shared" si="1"/>
        <v>39</v>
      </c>
      <c r="B39" s="161"/>
      <c r="C39" s="162"/>
      <c r="D39" s="162"/>
      <c r="E39" s="162"/>
      <c r="F39" s="162"/>
      <c r="G39" s="43"/>
      <c r="H39" s="170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71"/>
      <c r="J39" s="171"/>
      <c r="K39" s="171"/>
      <c r="L39" s="172"/>
      <c r="N39" s="47">
        <f t="shared" si="8"/>
        <v>45482</v>
      </c>
      <c r="O39" s="47">
        <f t="shared" si="11"/>
        <v>45574</v>
      </c>
      <c r="P39" s="47">
        <f t="shared" si="12"/>
        <v>45482</v>
      </c>
      <c r="Q39" s="47">
        <f t="shared" si="13"/>
        <v>45574</v>
      </c>
      <c r="R39" s="47">
        <f t="shared" si="3"/>
        <v>45577</v>
      </c>
      <c r="S39" s="48">
        <v>0</v>
      </c>
      <c r="T39" s="48">
        <v>0</v>
      </c>
      <c r="U39" s="48"/>
      <c r="W39" s="50">
        <v>41266</v>
      </c>
      <c r="X39" s="50">
        <v>41266</v>
      </c>
      <c r="Y39" s="50">
        <v>41266</v>
      </c>
      <c r="AD39" s="161"/>
      <c r="AE39" s="162"/>
      <c r="AF39" s="162"/>
      <c r="AG39" s="162"/>
      <c r="AH39" s="162"/>
      <c r="AJ39" s="167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68"/>
      <c r="AL39" s="168"/>
      <c r="AM39" s="168"/>
      <c r="AN39" s="169"/>
      <c r="AP39" s="47">
        <v>45482</v>
      </c>
      <c r="AQ39" s="47">
        <v>45574</v>
      </c>
      <c r="AR39" s="47">
        <v>45482</v>
      </c>
      <c r="AS39" s="47">
        <v>45574</v>
      </c>
      <c r="AT39" s="47">
        <f t="shared" si="4"/>
        <v>45577</v>
      </c>
      <c r="AU39" s="48">
        <v>0</v>
      </c>
      <c r="AV39" s="48">
        <v>0</v>
      </c>
      <c r="AW39" s="48">
        <v>8.0000000000000002E-3</v>
      </c>
      <c r="AY39" s="50">
        <v>41266</v>
      </c>
      <c r="AZ39" s="50">
        <v>41266</v>
      </c>
      <c r="BA39" s="50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140" t="s">
        <v>52</v>
      </c>
      <c r="I40" s="141"/>
      <c r="J40" s="141"/>
      <c r="K40" s="141"/>
      <c r="L40" s="142"/>
      <c r="N40" s="47">
        <f t="shared" si="8"/>
        <v>45574</v>
      </c>
      <c r="O40" s="47">
        <f t="shared" si="11"/>
        <v>45666</v>
      </c>
      <c r="P40" s="47">
        <f t="shared" si="12"/>
        <v>45574</v>
      </c>
      <c r="Q40" s="47">
        <f t="shared" si="13"/>
        <v>45666</v>
      </c>
      <c r="R40" s="47">
        <f t="shared" si="3"/>
        <v>45669</v>
      </c>
      <c r="S40" s="48">
        <v>0</v>
      </c>
      <c r="T40" s="48">
        <v>0</v>
      </c>
      <c r="U40" s="48"/>
      <c r="W40" s="50">
        <v>41268</v>
      </c>
      <c r="X40" s="50">
        <v>41268</v>
      </c>
      <c r="Y40" s="50">
        <v>41268</v>
      </c>
      <c r="AJ40" s="140" t="s">
        <v>52</v>
      </c>
      <c r="AK40" s="141"/>
      <c r="AL40" s="141"/>
      <c r="AM40" s="141"/>
      <c r="AN40" s="142"/>
      <c r="AP40" s="47">
        <v>45574</v>
      </c>
      <c r="AQ40" s="47">
        <v>45666</v>
      </c>
      <c r="AR40" s="47">
        <v>45574</v>
      </c>
      <c r="AS40" s="47">
        <v>45666</v>
      </c>
      <c r="AT40" s="47">
        <f t="shared" si="4"/>
        <v>45669</v>
      </c>
      <c r="AU40" s="48">
        <v>0</v>
      </c>
      <c r="AV40" s="48">
        <v>0</v>
      </c>
      <c r="AW40" s="48">
        <v>8.0000000000000002E-3</v>
      </c>
      <c r="AY40" s="50">
        <v>41268</v>
      </c>
      <c r="AZ40" s="50">
        <v>41268</v>
      </c>
      <c r="BA40" s="50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>
        <f t="shared" si="8"/>
        <v>45666</v>
      </c>
      <c r="O41" s="47">
        <f t="shared" ref="O41:O52" si="14">EDATE(N41,3)</f>
        <v>45756</v>
      </c>
      <c r="P41" s="47">
        <f t="shared" ref="P41:P52" si="15">N41</f>
        <v>45666</v>
      </c>
      <c r="Q41" s="47">
        <f t="shared" ref="Q41:Q52" si="16">O41</f>
        <v>45756</v>
      </c>
      <c r="R41" s="47">
        <f t="shared" si="3"/>
        <v>45759</v>
      </c>
      <c r="S41" s="48">
        <v>0</v>
      </c>
      <c r="T41" s="48">
        <v>0</v>
      </c>
      <c r="U41" s="48"/>
      <c r="W41" s="50">
        <v>41272</v>
      </c>
      <c r="X41" s="50">
        <v>41272</v>
      </c>
      <c r="Y41" s="50">
        <v>41272</v>
      </c>
      <c r="AP41" s="47">
        <v>45666</v>
      </c>
      <c r="AQ41" s="47">
        <v>45756</v>
      </c>
      <c r="AR41" s="47">
        <v>45666</v>
      </c>
      <c r="AS41" s="47">
        <v>45756</v>
      </c>
      <c r="AT41" s="47">
        <f t="shared" si="4"/>
        <v>45759</v>
      </c>
      <c r="AU41" s="48">
        <v>0</v>
      </c>
      <c r="AV41" s="48">
        <v>0</v>
      </c>
      <c r="AW41" s="48">
        <v>8.0000000000000002E-3</v>
      </c>
      <c r="AY41" s="50">
        <v>41272</v>
      </c>
      <c r="AZ41" s="50">
        <v>41272</v>
      </c>
      <c r="BA41" s="50">
        <v>41272</v>
      </c>
    </row>
    <row r="42" spans="1:53" ht="16.2" customHeight="1" x14ac:dyDescent="0.4">
      <c r="A42" s="42">
        <f t="shared" si="1"/>
        <v>42</v>
      </c>
      <c r="B42" s="89" t="s">
        <v>95</v>
      </c>
      <c r="C42" s="89"/>
      <c r="D42" s="89"/>
      <c r="E42" s="89"/>
      <c r="F42" s="89"/>
      <c r="G42" s="89"/>
      <c r="H42" s="89"/>
      <c r="I42" s="89"/>
      <c r="J42" s="89"/>
      <c r="K42" s="89"/>
      <c r="L42" s="89"/>
      <c r="N42" s="47">
        <f t="shared" si="8"/>
        <v>45756</v>
      </c>
      <c r="O42" s="47">
        <f t="shared" si="14"/>
        <v>45847</v>
      </c>
      <c r="P42" s="47">
        <f t="shared" si="15"/>
        <v>45756</v>
      </c>
      <c r="Q42" s="47">
        <f t="shared" si="16"/>
        <v>45847</v>
      </c>
      <c r="R42" s="47">
        <f t="shared" si="3"/>
        <v>45850</v>
      </c>
      <c r="S42" s="48">
        <v>0</v>
      </c>
      <c r="T42" s="48">
        <v>0</v>
      </c>
      <c r="U42" s="48"/>
      <c r="W42" s="50">
        <v>41273</v>
      </c>
      <c r="X42" s="50">
        <v>41273</v>
      </c>
      <c r="Y42" s="50">
        <v>41273</v>
      </c>
      <c r="AP42" s="47">
        <v>45756</v>
      </c>
      <c r="AQ42" s="47">
        <v>45847</v>
      </c>
      <c r="AR42" s="47">
        <v>45756</v>
      </c>
      <c r="AS42" s="47">
        <v>45847</v>
      </c>
      <c r="AT42" s="47">
        <f t="shared" si="4"/>
        <v>45850</v>
      </c>
      <c r="AU42" s="48">
        <v>0</v>
      </c>
      <c r="AV42" s="48">
        <v>0</v>
      </c>
      <c r="AW42" s="48">
        <v>8.0000000000000002E-3</v>
      </c>
      <c r="AY42" s="50">
        <v>41273</v>
      </c>
      <c r="AZ42" s="50">
        <v>41273</v>
      </c>
      <c r="BA42" s="50">
        <v>41273</v>
      </c>
    </row>
    <row r="43" spans="1:53" ht="16.2" customHeight="1" x14ac:dyDescent="0.4">
      <c r="A43" s="42">
        <f t="shared" si="1"/>
        <v>43</v>
      </c>
      <c r="B43" s="67" t="s">
        <v>84</v>
      </c>
      <c r="C43" s="67" t="s">
        <v>96</v>
      </c>
      <c r="D43" s="67" t="s">
        <v>85</v>
      </c>
      <c r="E43" s="67" t="s">
        <v>86</v>
      </c>
      <c r="F43" s="67" t="s">
        <v>87</v>
      </c>
      <c r="G43" s="67" t="s">
        <v>88</v>
      </c>
      <c r="H43" s="67" t="s">
        <v>89</v>
      </c>
      <c r="I43" s="67" t="s">
        <v>93</v>
      </c>
      <c r="J43" s="67" t="s">
        <v>90</v>
      </c>
      <c r="K43" s="67" t="s">
        <v>91</v>
      </c>
      <c r="L43" s="67" t="s">
        <v>92</v>
      </c>
      <c r="N43" s="47">
        <f t="shared" si="8"/>
        <v>45847</v>
      </c>
      <c r="O43" s="47">
        <f t="shared" si="14"/>
        <v>45939</v>
      </c>
      <c r="P43" s="47">
        <f t="shared" si="15"/>
        <v>45847</v>
      </c>
      <c r="Q43" s="47">
        <f t="shared" si="16"/>
        <v>45939</v>
      </c>
      <c r="R43" s="47">
        <f t="shared" si="3"/>
        <v>45942</v>
      </c>
      <c r="S43" s="48">
        <v>0</v>
      </c>
      <c r="T43" s="48">
        <v>0</v>
      </c>
      <c r="U43" s="48"/>
      <c r="W43" s="50">
        <v>41275</v>
      </c>
      <c r="X43" s="50">
        <v>41275</v>
      </c>
      <c r="Y43" s="50">
        <v>41275</v>
      </c>
      <c r="AP43" s="47">
        <v>45847</v>
      </c>
      <c r="AQ43" s="47">
        <v>45939</v>
      </c>
      <c r="AR43" s="47">
        <v>45847</v>
      </c>
      <c r="AS43" s="47">
        <v>45939</v>
      </c>
      <c r="AT43" s="47">
        <f t="shared" si="4"/>
        <v>45942</v>
      </c>
      <c r="AU43" s="48">
        <v>0</v>
      </c>
      <c r="AV43" s="48">
        <v>0</v>
      </c>
      <c r="AW43" s="48">
        <v>8.0000000000000002E-3</v>
      </c>
      <c r="AY43" s="50">
        <v>41275</v>
      </c>
      <c r="AZ43" s="50">
        <v>41275</v>
      </c>
      <c r="BA43" s="50">
        <v>41275</v>
      </c>
    </row>
    <row r="44" spans="1:53" ht="16.2" customHeight="1" x14ac:dyDescent="0.4">
      <c r="A44" s="42">
        <f t="shared" si="1"/>
        <v>44</v>
      </c>
      <c r="B44" s="47">
        <f>R13-15</f>
        <v>43187</v>
      </c>
      <c r="C44" s="68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69">
        <v>0</v>
      </c>
      <c r="K44" s="51">
        <v>1</v>
      </c>
      <c r="L44" s="51">
        <f>COUNT(B44:B1048576)</f>
        <v>40</v>
      </c>
      <c r="N44" s="47">
        <f t="shared" si="8"/>
        <v>45939</v>
      </c>
      <c r="O44" s="47">
        <f t="shared" si="14"/>
        <v>46031</v>
      </c>
      <c r="P44" s="47">
        <f t="shared" si="15"/>
        <v>45939</v>
      </c>
      <c r="Q44" s="47">
        <f t="shared" si="16"/>
        <v>46031</v>
      </c>
      <c r="R44" s="47">
        <f t="shared" si="3"/>
        <v>46034</v>
      </c>
      <c r="S44" s="48">
        <v>0</v>
      </c>
      <c r="T44" s="48">
        <v>0</v>
      </c>
      <c r="U44" s="48"/>
      <c r="W44" s="50">
        <v>41279</v>
      </c>
      <c r="X44" s="50">
        <v>41279</v>
      </c>
      <c r="Y44" s="50">
        <v>41279</v>
      </c>
      <c r="AD44" s="70"/>
      <c r="AE44" s="70"/>
      <c r="AF44" s="70"/>
      <c r="AG44" s="70"/>
      <c r="AH44" s="70"/>
      <c r="AI44" s="70"/>
      <c r="AJ44" s="70"/>
      <c r="AK44" s="70"/>
      <c r="AL44" s="70"/>
      <c r="AN44" s="43">
        <f>COUNT(AD44:AD1048576)</f>
        <v>0</v>
      </c>
      <c r="AP44" s="47">
        <v>45939</v>
      </c>
      <c r="AQ44" s="47">
        <v>46031</v>
      </c>
      <c r="AR44" s="47">
        <v>45939</v>
      </c>
      <c r="AS44" s="47">
        <v>46031</v>
      </c>
      <c r="AT44" s="47">
        <f t="shared" si="4"/>
        <v>46034</v>
      </c>
      <c r="AU44" s="48">
        <v>0</v>
      </c>
      <c r="AV44" s="48">
        <v>0</v>
      </c>
      <c r="AW44" s="48">
        <v>8.0000000000000002E-3</v>
      </c>
      <c r="AY44" s="50">
        <v>41279</v>
      </c>
      <c r="AZ44" s="50">
        <v>41279</v>
      </c>
      <c r="BA44" s="50">
        <v>41279</v>
      </c>
    </row>
    <row r="45" spans="1:53" ht="16.2" customHeight="1" x14ac:dyDescent="0.4">
      <c r="A45" s="42">
        <f t="shared" si="1"/>
        <v>45</v>
      </c>
      <c r="B45" s="47">
        <f t="shared" ref="B45:B83" si="17">R14-15</f>
        <v>43278</v>
      </c>
      <c r="C45" s="68">
        <v>1</v>
      </c>
      <c r="D45" s="48">
        <v>1</v>
      </c>
      <c r="E45" s="48">
        <v>-0.1</v>
      </c>
      <c r="F45" s="48">
        <v>1</v>
      </c>
      <c r="G45" s="48">
        <v>-0.1</v>
      </c>
      <c r="H45" s="48">
        <v>1</v>
      </c>
      <c r="I45" s="48">
        <v>-0.1</v>
      </c>
      <c r="N45" s="47">
        <f t="shared" si="8"/>
        <v>46031</v>
      </c>
      <c r="O45" s="47">
        <f t="shared" si="14"/>
        <v>46121</v>
      </c>
      <c r="P45" s="47">
        <f t="shared" si="15"/>
        <v>46031</v>
      </c>
      <c r="Q45" s="47">
        <f t="shared" si="16"/>
        <v>46121</v>
      </c>
      <c r="R45" s="47">
        <f t="shared" si="3"/>
        <v>46124</v>
      </c>
      <c r="S45" s="48">
        <v>0</v>
      </c>
      <c r="T45" s="48">
        <v>0</v>
      </c>
      <c r="U45" s="48"/>
      <c r="W45" s="50">
        <v>41280</v>
      </c>
      <c r="X45" s="50">
        <v>41280</v>
      </c>
      <c r="Y45" s="50">
        <v>41280</v>
      </c>
      <c r="AP45" s="47">
        <v>46031</v>
      </c>
      <c r="AQ45" s="47">
        <v>46121</v>
      </c>
      <c r="AR45" s="47">
        <v>46031</v>
      </c>
      <c r="AS45" s="47">
        <v>46121</v>
      </c>
      <c r="AT45" s="47">
        <f t="shared" si="4"/>
        <v>46124</v>
      </c>
      <c r="AU45" s="48">
        <v>0</v>
      </c>
      <c r="AV45" s="48">
        <v>0</v>
      </c>
      <c r="AW45" s="48">
        <v>8.0000000000000002E-3</v>
      </c>
      <c r="AY45" s="50">
        <v>41280</v>
      </c>
      <c r="AZ45" s="50">
        <v>41280</v>
      </c>
      <c r="BA45" s="50">
        <v>41280</v>
      </c>
    </row>
    <row r="46" spans="1:53" ht="16.2" customHeight="1" x14ac:dyDescent="0.4">
      <c r="A46" s="42">
        <f t="shared" si="1"/>
        <v>46</v>
      </c>
      <c r="B46" s="47">
        <f t="shared" si="17"/>
        <v>43370</v>
      </c>
      <c r="C46" s="68">
        <v>1</v>
      </c>
      <c r="D46" s="48">
        <v>1</v>
      </c>
      <c r="E46" s="48">
        <v>-0.1</v>
      </c>
      <c r="F46" s="48">
        <v>1</v>
      </c>
      <c r="G46" s="48">
        <v>-0.1</v>
      </c>
      <c r="H46" s="48">
        <v>1</v>
      </c>
      <c r="I46" s="48">
        <v>-0.1</v>
      </c>
      <c r="N46" s="47">
        <f t="shared" si="8"/>
        <v>46121</v>
      </c>
      <c r="O46" s="47">
        <f t="shared" si="14"/>
        <v>46212</v>
      </c>
      <c r="P46" s="47">
        <f t="shared" si="15"/>
        <v>46121</v>
      </c>
      <c r="Q46" s="47">
        <f t="shared" si="16"/>
        <v>46212</v>
      </c>
      <c r="R46" s="47">
        <f t="shared" si="3"/>
        <v>46215</v>
      </c>
      <c r="S46" s="48">
        <v>0</v>
      </c>
      <c r="T46" s="48">
        <v>0</v>
      </c>
      <c r="U46" s="48"/>
      <c r="W46" s="50">
        <v>41286</v>
      </c>
      <c r="X46" s="50">
        <v>41286</v>
      </c>
      <c r="Y46" s="50">
        <v>41286</v>
      </c>
      <c r="AP46" s="52">
        <v>46121</v>
      </c>
      <c r="AQ46" s="52">
        <v>46212</v>
      </c>
      <c r="AR46" s="53">
        <v>46121</v>
      </c>
      <c r="AS46" s="53">
        <v>46212</v>
      </c>
      <c r="AT46" s="47">
        <f t="shared" si="4"/>
        <v>46215</v>
      </c>
      <c r="AU46" s="54">
        <v>0</v>
      </c>
      <c r="AV46" s="54">
        <v>0</v>
      </c>
      <c r="AW46" s="48">
        <v>8.0000000000000002E-3</v>
      </c>
      <c r="AY46" s="50">
        <v>41286</v>
      </c>
      <c r="AZ46" s="50">
        <v>41286</v>
      </c>
      <c r="BA46" s="50">
        <v>41286</v>
      </c>
    </row>
    <row r="47" spans="1:53" ht="16.2" customHeight="1" x14ac:dyDescent="0.4">
      <c r="A47" s="42">
        <f t="shared" si="1"/>
        <v>47</v>
      </c>
      <c r="B47" s="47">
        <f t="shared" si="17"/>
        <v>43462</v>
      </c>
      <c r="C47" s="68">
        <v>1</v>
      </c>
      <c r="D47" s="48">
        <v>1</v>
      </c>
      <c r="E47" s="48">
        <v>-0.1</v>
      </c>
      <c r="F47" s="48">
        <v>1</v>
      </c>
      <c r="G47" s="48">
        <v>-0.1</v>
      </c>
      <c r="H47" s="48">
        <v>1</v>
      </c>
      <c r="I47" s="48">
        <v>-0.1</v>
      </c>
      <c r="N47" s="47">
        <f t="shared" si="8"/>
        <v>46212</v>
      </c>
      <c r="O47" s="47">
        <f t="shared" si="14"/>
        <v>46304</v>
      </c>
      <c r="P47" s="47">
        <f t="shared" si="15"/>
        <v>46212</v>
      </c>
      <c r="Q47" s="47">
        <f t="shared" si="16"/>
        <v>46304</v>
      </c>
      <c r="R47" s="47">
        <f t="shared" si="3"/>
        <v>46307</v>
      </c>
      <c r="S47" s="48">
        <v>0</v>
      </c>
      <c r="T47" s="48">
        <v>0</v>
      </c>
      <c r="U47" s="48"/>
      <c r="W47" s="50">
        <v>41287</v>
      </c>
      <c r="X47" s="50">
        <v>41287</v>
      </c>
      <c r="Y47" s="50">
        <v>41287</v>
      </c>
      <c r="AP47" s="52">
        <v>46212</v>
      </c>
      <c r="AQ47" s="52">
        <v>46304</v>
      </c>
      <c r="AR47" s="53">
        <v>46212</v>
      </c>
      <c r="AS47" s="53">
        <v>46304</v>
      </c>
      <c r="AT47" s="47">
        <f t="shared" si="4"/>
        <v>46307</v>
      </c>
      <c r="AU47" s="54">
        <v>0</v>
      </c>
      <c r="AV47" s="54">
        <v>0</v>
      </c>
      <c r="AW47" s="48">
        <v>8.0000000000000002E-3</v>
      </c>
      <c r="AY47" s="50">
        <v>41287</v>
      </c>
      <c r="AZ47" s="50">
        <v>41287</v>
      </c>
      <c r="BA47" s="50">
        <v>41287</v>
      </c>
    </row>
    <row r="48" spans="1:53" ht="16.2" customHeight="1" x14ac:dyDescent="0.4">
      <c r="A48" s="42">
        <f t="shared" si="1"/>
        <v>48</v>
      </c>
      <c r="B48" s="47">
        <f t="shared" si="17"/>
        <v>43552</v>
      </c>
      <c r="C48" s="68">
        <v>1</v>
      </c>
      <c r="D48" s="48">
        <v>1</v>
      </c>
      <c r="E48" s="48">
        <v>-0.1</v>
      </c>
      <c r="F48" s="48">
        <v>1</v>
      </c>
      <c r="G48" s="48">
        <v>-0.1</v>
      </c>
      <c r="H48" s="48">
        <v>1</v>
      </c>
      <c r="I48" s="48">
        <v>-0.1</v>
      </c>
      <c r="N48" s="47">
        <f t="shared" si="8"/>
        <v>46304</v>
      </c>
      <c r="O48" s="47">
        <f t="shared" si="14"/>
        <v>46396</v>
      </c>
      <c r="P48" s="47">
        <f t="shared" si="15"/>
        <v>46304</v>
      </c>
      <c r="Q48" s="47">
        <f t="shared" si="16"/>
        <v>46396</v>
      </c>
      <c r="R48" s="47">
        <f t="shared" si="3"/>
        <v>46399</v>
      </c>
      <c r="S48" s="48">
        <v>0</v>
      </c>
      <c r="T48" s="48">
        <v>0</v>
      </c>
      <c r="U48" s="48"/>
      <c r="W48" s="50">
        <v>41293</v>
      </c>
      <c r="X48" s="50">
        <v>41293</v>
      </c>
      <c r="Y48" s="50">
        <v>41293</v>
      </c>
      <c r="AP48" s="52">
        <v>46304</v>
      </c>
      <c r="AQ48" s="52">
        <v>46396</v>
      </c>
      <c r="AR48" s="53">
        <v>46304</v>
      </c>
      <c r="AS48" s="53">
        <v>46396</v>
      </c>
      <c r="AT48" s="47">
        <f t="shared" si="4"/>
        <v>46399</v>
      </c>
      <c r="AU48" s="54">
        <v>0</v>
      </c>
      <c r="AV48" s="54">
        <v>0</v>
      </c>
      <c r="AW48" s="48">
        <v>8.0000000000000002E-3</v>
      </c>
      <c r="AY48" s="50">
        <v>41293</v>
      </c>
      <c r="AZ48" s="50">
        <v>41293</v>
      </c>
      <c r="BA48" s="50">
        <v>41293</v>
      </c>
    </row>
    <row r="49" spans="1:53" ht="16.2" customHeight="1" x14ac:dyDescent="0.4">
      <c r="A49" s="42">
        <f t="shared" si="1"/>
        <v>49</v>
      </c>
      <c r="B49" s="47">
        <f t="shared" si="17"/>
        <v>43643</v>
      </c>
      <c r="C49" s="68">
        <v>1</v>
      </c>
      <c r="D49" s="48">
        <v>1</v>
      </c>
      <c r="E49" s="48">
        <v>-0.1</v>
      </c>
      <c r="F49" s="48">
        <v>1</v>
      </c>
      <c r="G49" s="48">
        <v>-0.1</v>
      </c>
      <c r="H49" s="48">
        <v>1</v>
      </c>
      <c r="I49" s="48">
        <v>-0.1</v>
      </c>
      <c r="N49" s="47">
        <f t="shared" si="8"/>
        <v>46396</v>
      </c>
      <c r="O49" s="47">
        <f t="shared" si="14"/>
        <v>46486</v>
      </c>
      <c r="P49" s="47">
        <f t="shared" si="15"/>
        <v>46396</v>
      </c>
      <c r="Q49" s="47">
        <f t="shared" si="16"/>
        <v>46486</v>
      </c>
      <c r="R49" s="47">
        <f t="shared" si="3"/>
        <v>46489</v>
      </c>
      <c r="S49" s="48">
        <v>0</v>
      </c>
      <c r="T49" s="48">
        <v>0</v>
      </c>
      <c r="U49" s="48"/>
      <c r="W49" s="50">
        <v>41294</v>
      </c>
      <c r="X49" s="50">
        <v>41294</v>
      </c>
      <c r="Y49" s="50">
        <v>41294</v>
      </c>
      <c r="AP49" s="52">
        <v>46396</v>
      </c>
      <c r="AQ49" s="52">
        <v>46486</v>
      </c>
      <c r="AR49" s="53">
        <v>46396</v>
      </c>
      <c r="AS49" s="53">
        <v>46486</v>
      </c>
      <c r="AT49" s="47">
        <f t="shared" si="4"/>
        <v>46489</v>
      </c>
      <c r="AU49" s="54">
        <v>0</v>
      </c>
      <c r="AV49" s="54">
        <v>0</v>
      </c>
      <c r="AW49" s="48">
        <v>8.0000000000000002E-3</v>
      </c>
      <c r="AY49" s="50">
        <v>41294</v>
      </c>
      <c r="AZ49" s="50">
        <v>41294</v>
      </c>
      <c r="BA49" s="50">
        <v>41294</v>
      </c>
    </row>
    <row r="50" spans="1:53" ht="16.2" customHeight="1" x14ac:dyDescent="0.4">
      <c r="A50" s="42">
        <f t="shared" si="1"/>
        <v>50</v>
      </c>
      <c r="B50" s="47">
        <f t="shared" si="17"/>
        <v>43735</v>
      </c>
      <c r="C50" s="68">
        <v>1</v>
      </c>
      <c r="D50" s="48">
        <v>1</v>
      </c>
      <c r="E50" s="48">
        <v>-0.1</v>
      </c>
      <c r="F50" s="48">
        <v>1</v>
      </c>
      <c r="G50" s="48">
        <v>-0.1</v>
      </c>
      <c r="H50" s="48">
        <v>1</v>
      </c>
      <c r="I50" s="48">
        <v>-0.1</v>
      </c>
      <c r="N50" s="47">
        <f t="shared" si="8"/>
        <v>46486</v>
      </c>
      <c r="O50" s="47">
        <f t="shared" si="14"/>
        <v>46577</v>
      </c>
      <c r="P50" s="47">
        <f t="shared" si="15"/>
        <v>46486</v>
      </c>
      <c r="Q50" s="47">
        <f t="shared" si="16"/>
        <v>46577</v>
      </c>
      <c r="R50" s="47">
        <f t="shared" si="3"/>
        <v>46580</v>
      </c>
      <c r="S50" s="48">
        <v>0</v>
      </c>
      <c r="T50" s="48">
        <v>0</v>
      </c>
      <c r="U50" s="48"/>
      <c r="W50" s="50">
        <v>41300</v>
      </c>
      <c r="X50" s="50">
        <v>41300</v>
      </c>
      <c r="Y50" s="50">
        <v>41300</v>
      </c>
      <c r="AP50" s="52">
        <v>46486</v>
      </c>
      <c r="AQ50" s="52">
        <v>46577</v>
      </c>
      <c r="AR50" s="53">
        <v>46486</v>
      </c>
      <c r="AS50" s="53">
        <v>46577</v>
      </c>
      <c r="AT50" s="47">
        <f t="shared" si="4"/>
        <v>46580</v>
      </c>
      <c r="AU50" s="54">
        <v>0</v>
      </c>
      <c r="AV50" s="54">
        <v>0</v>
      </c>
      <c r="AW50" s="48">
        <v>8.0000000000000002E-3</v>
      </c>
      <c r="AY50" s="50">
        <v>41300</v>
      </c>
      <c r="AZ50" s="50">
        <v>41300</v>
      </c>
      <c r="BA50" s="50">
        <v>41300</v>
      </c>
    </row>
    <row r="51" spans="1:53" ht="16.2" customHeight="1" x14ac:dyDescent="0.4">
      <c r="A51" s="42">
        <f t="shared" si="1"/>
        <v>51</v>
      </c>
      <c r="B51" s="47">
        <f t="shared" si="17"/>
        <v>43827</v>
      </c>
      <c r="C51" s="68">
        <v>1</v>
      </c>
      <c r="D51" s="48">
        <v>1</v>
      </c>
      <c r="E51" s="48">
        <v>-0.1</v>
      </c>
      <c r="F51" s="48">
        <v>1</v>
      </c>
      <c r="G51" s="48">
        <v>-0.1</v>
      </c>
      <c r="H51" s="48">
        <v>1</v>
      </c>
      <c r="I51" s="48">
        <v>-0.1</v>
      </c>
      <c r="N51" s="47">
        <f t="shared" si="8"/>
        <v>46577</v>
      </c>
      <c r="O51" s="47">
        <f t="shared" si="14"/>
        <v>46669</v>
      </c>
      <c r="P51" s="47">
        <f t="shared" si="15"/>
        <v>46577</v>
      </c>
      <c r="Q51" s="47">
        <f t="shared" si="16"/>
        <v>46669</v>
      </c>
      <c r="R51" s="47">
        <f t="shared" si="3"/>
        <v>46672</v>
      </c>
      <c r="S51" s="48">
        <v>0</v>
      </c>
      <c r="T51" s="48">
        <v>0</v>
      </c>
      <c r="U51" s="48"/>
      <c r="W51" s="50">
        <v>41301</v>
      </c>
      <c r="X51" s="50">
        <v>41301</v>
      </c>
      <c r="Y51" s="50">
        <v>41301</v>
      </c>
      <c r="AP51" s="52">
        <v>46577</v>
      </c>
      <c r="AQ51" s="52">
        <v>46669</v>
      </c>
      <c r="AR51" s="53">
        <v>46577</v>
      </c>
      <c r="AS51" s="53">
        <v>46669</v>
      </c>
      <c r="AT51" s="47">
        <f t="shared" si="4"/>
        <v>46672</v>
      </c>
      <c r="AU51" s="54">
        <v>0</v>
      </c>
      <c r="AV51" s="54">
        <v>0</v>
      </c>
      <c r="AW51" s="48">
        <v>8.0000000000000002E-3</v>
      </c>
      <c r="AY51" s="50">
        <v>41301</v>
      </c>
      <c r="AZ51" s="50">
        <v>41301</v>
      </c>
      <c r="BA51" s="50">
        <v>41301</v>
      </c>
    </row>
    <row r="52" spans="1:53" ht="16.2" customHeight="1" x14ac:dyDescent="0.4">
      <c r="A52" s="42">
        <f t="shared" si="1"/>
        <v>52</v>
      </c>
      <c r="B52" s="47">
        <f t="shared" si="17"/>
        <v>43918</v>
      </c>
      <c r="C52" s="68">
        <v>1</v>
      </c>
      <c r="D52" s="48">
        <v>1</v>
      </c>
      <c r="E52" s="48">
        <v>-0.1</v>
      </c>
      <c r="F52" s="48">
        <v>1</v>
      </c>
      <c r="G52" s="48">
        <v>-0.1</v>
      </c>
      <c r="H52" s="48">
        <v>1</v>
      </c>
      <c r="I52" s="48">
        <v>-0.1</v>
      </c>
      <c r="N52" s="47">
        <f t="shared" si="8"/>
        <v>46669</v>
      </c>
      <c r="O52" s="47">
        <f t="shared" si="14"/>
        <v>46761</v>
      </c>
      <c r="P52" s="47">
        <f t="shared" si="15"/>
        <v>46669</v>
      </c>
      <c r="Q52" s="47">
        <f t="shared" si="16"/>
        <v>46761</v>
      </c>
      <c r="R52" s="47">
        <f t="shared" si="3"/>
        <v>46764</v>
      </c>
      <c r="S52" s="48">
        <v>0</v>
      </c>
      <c r="T52" s="48">
        <v>0</v>
      </c>
      <c r="U52" s="48"/>
      <c r="W52" s="50">
        <v>41307</v>
      </c>
      <c r="X52" s="50">
        <v>41307</v>
      </c>
      <c r="Y52" s="50">
        <v>41307</v>
      </c>
      <c r="AP52" s="52">
        <v>46669</v>
      </c>
      <c r="AQ52" s="52">
        <v>46761</v>
      </c>
      <c r="AR52" s="53">
        <v>46669</v>
      </c>
      <c r="AS52" s="53">
        <v>46761</v>
      </c>
      <c r="AT52" s="47">
        <f t="shared" si="4"/>
        <v>46764</v>
      </c>
      <c r="AU52" s="54">
        <v>0</v>
      </c>
      <c r="AV52" s="54">
        <v>0</v>
      </c>
      <c r="AW52" s="48">
        <v>8.0000000000000002E-3</v>
      </c>
      <c r="AY52" s="50">
        <v>41307</v>
      </c>
      <c r="AZ52" s="50">
        <v>41307</v>
      </c>
      <c r="BA52" s="50">
        <v>41307</v>
      </c>
    </row>
    <row r="53" spans="1:53" ht="16.2" customHeight="1" x14ac:dyDescent="0.4">
      <c r="A53" s="42">
        <f t="shared" si="1"/>
        <v>53</v>
      </c>
      <c r="B53" s="47">
        <f t="shared" si="17"/>
        <v>44009</v>
      </c>
      <c r="C53" s="68">
        <v>1</v>
      </c>
      <c r="D53" s="48">
        <v>1</v>
      </c>
      <c r="E53" s="48">
        <v>-0.1</v>
      </c>
      <c r="F53" s="48">
        <v>1</v>
      </c>
      <c r="G53" s="48">
        <v>-0.1</v>
      </c>
      <c r="H53" s="48">
        <v>1</v>
      </c>
      <c r="I53" s="48">
        <v>-0.1</v>
      </c>
      <c r="N53" s="47"/>
      <c r="O53" s="47"/>
      <c r="P53" s="47"/>
      <c r="Q53" s="47"/>
      <c r="R53" s="47"/>
      <c r="S53" s="48"/>
      <c r="T53" s="48"/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2" customHeight="1" x14ac:dyDescent="0.4">
      <c r="A54" s="42">
        <f t="shared" si="1"/>
        <v>54</v>
      </c>
      <c r="B54" s="47">
        <f t="shared" si="17"/>
        <v>44101</v>
      </c>
      <c r="C54" s="68">
        <v>1</v>
      </c>
      <c r="D54" s="48">
        <v>1</v>
      </c>
      <c r="E54" s="48">
        <v>-0.1</v>
      </c>
      <c r="F54" s="48">
        <v>1</v>
      </c>
      <c r="G54" s="48">
        <v>-0.1</v>
      </c>
      <c r="H54" s="48">
        <v>1</v>
      </c>
      <c r="I54" s="48">
        <v>-0.1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2" customHeight="1" x14ac:dyDescent="0.4">
      <c r="A55" s="42">
        <f t="shared" si="1"/>
        <v>55</v>
      </c>
      <c r="B55" s="47">
        <f t="shared" si="17"/>
        <v>44193</v>
      </c>
      <c r="C55" s="68">
        <v>1</v>
      </c>
      <c r="D55" s="48">
        <v>1</v>
      </c>
      <c r="E55" s="48">
        <v>-0.1</v>
      </c>
      <c r="F55" s="48">
        <v>1</v>
      </c>
      <c r="G55" s="48">
        <v>-0.1</v>
      </c>
      <c r="H55" s="48">
        <v>1</v>
      </c>
      <c r="I55" s="48">
        <v>-0.1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2" customHeight="1" x14ac:dyDescent="0.4">
      <c r="A56" s="42">
        <f t="shared" si="1"/>
        <v>56</v>
      </c>
      <c r="B56" s="47">
        <f t="shared" si="17"/>
        <v>44283</v>
      </c>
      <c r="C56" s="68">
        <v>1</v>
      </c>
      <c r="D56" s="48">
        <v>1</v>
      </c>
      <c r="E56" s="48">
        <v>-0.1</v>
      </c>
      <c r="F56" s="48">
        <v>1</v>
      </c>
      <c r="G56" s="48">
        <v>-0.1</v>
      </c>
      <c r="H56" s="48">
        <v>1</v>
      </c>
      <c r="I56" s="48">
        <v>-0.1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2" customHeight="1" x14ac:dyDescent="0.4">
      <c r="A57" s="42">
        <f t="shared" si="1"/>
        <v>57</v>
      </c>
      <c r="B57" s="47">
        <f t="shared" si="17"/>
        <v>44374</v>
      </c>
      <c r="C57" s="68">
        <v>1</v>
      </c>
      <c r="D57" s="48">
        <v>1</v>
      </c>
      <c r="E57" s="48">
        <v>-0.1</v>
      </c>
      <c r="F57" s="48">
        <v>1</v>
      </c>
      <c r="G57" s="48">
        <v>-0.1</v>
      </c>
      <c r="H57" s="48">
        <v>1</v>
      </c>
      <c r="I57" s="48">
        <v>-0.1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2" customHeight="1" x14ac:dyDescent="0.4">
      <c r="A58" s="42">
        <f t="shared" si="1"/>
        <v>58</v>
      </c>
      <c r="B58" s="47">
        <f t="shared" si="17"/>
        <v>44466</v>
      </c>
      <c r="C58" s="68">
        <v>1</v>
      </c>
      <c r="D58" s="48">
        <v>1</v>
      </c>
      <c r="E58" s="48">
        <v>-0.1</v>
      </c>
      <c r="F58" s="48">
        <v>1</v>
      </c>
      <c r="G58" s="48">
        <v>-0.1</v>
      </c>
      <c r="H58" s="48">
        <v>1</v>
      </c>
      <c r="I58" s="48">
        <v>-0.1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2" customHeight="1" x14ac:dyDescent="0.4">
      <c r="A59" s="42">
        <f t="shared" si="1"/>
        <v>59</v>
      </c>
      <c r="B59" s="47">
        <f t="shared" si="17"/>
        <v>44558</v>
      </c>
      <c r="C59" s="68">
        <v>1</v>
      </c>
      <c r="D59" s="48">
        <v>1</v>
      </c>
      <c r="E59" s="48">
        <v>-0.1</v>
      </c>
      <c r="F59" s="48">
        <v>1</v>
      </c>
      <c r="G59" s="48">
        <v>-0.1</v>
      </c>
      <c r="H59" s="48">
        <v>1</v>
      </c>
      <c r="I59" s="48">
        <v>-0.1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2" customHeight="1" x14ac:dyDescent="0.4">
      <c r="A60" s="42">
        <f t="shared" si="1"/>
        <v>60</v>
      </c>
      <c r="B60" s="47">
        <f t="shared" si="17"/>
        <v>44648</v>
      </c>
      <c r="C60" s="68">
        <v>1</v>
      </c>
      <c r="D60" s="48">
        <v>1</v>
      </c>
      <c r="E60" s="48">
        <v>-0.1</v>
      </c>
      <c r="F60" s="48">
        <v>1</v>
      </c>
      <c r="G60" s="48">
        <v>-0.1</v>
      </c>
      <c r="H60" s="48">
        <v>1</v>
      </c>
      <c r="I60" s="48">
        <v>-0.1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2" customHeight="1" x14ac:dyDescent="0.4">
      <c r="A61" s="42">
        <f t="shared" si="1"/>
        <v>61</v>
      </c>
      <c r="B61" s="47">
        <f t="shared" si="17"/>
        <v>44739</v>
      </c>
      <c r="C61" s="68">
        <v>1</v>
      </c>
      <c r="D61" s="48">
        <v>1</v>
      </c>
      <c r="E61" s="48">
        <v>-0.1</v>
      </c>
      <c r="F61" s="48">
        <v>1</v>
      </c>
      <c r="G61" s="48">
        <v>-0.1</v>
      </c>
      <c r="H61" s="48">
        <v>1</v>
      </c>
      <c r="I61" s="48">
        <v>-0.1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2" customHeight="1" x14ac:dyDescent="0.4">
      <c r="B62" s="47">
        <f t="shared" si="17"/>
        <v>44831</v>
      </c>
      <c r="C62" s="68">
        <v>1</v>
      </c>
      <c r="D62" s="48">
        <v>1</v>
      </c>
      <c r="E62" s="48">
        <v>-0.1</v>
      </c>
      <c r="F62" s="48">
        <v>1</v>
      </c>
      <c r="G62" s="48">
        <v>-0.1</v>
      </c>
      <c r="H62" s="48">
        <v>1</v>
      </c>
      <c r="I62" s="48">
        <v>-0.1</v>
      </c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2" customHeight="1" x14ac:dyDescent="0.4">
      <c r="B63" s="47">
        <f t="shared" si="17"/>
        <v>44923</v>
      </c>
      <c r="C63" s="68">
        <v>1</v>
      </c>
      <c r="D63" s="48">
        <v>1</v>
      </c>
      <c r="E63" s="48">
        <v>-0.1</v>
      </c>
      <c r="F63" s="48">
        <v>1</v>
      </c>
      <c r="G63" s="48">
        <v>-0.1</v>
      </c>
      <c r="H63" s="48">
        <v>1</v>
      </c>
      <c r="I63" s="48">
        <v>-0.1</v>
      </c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2" customHeight="1" x14ac:dyDescent="0.4">
      <c r="B64" s="47">
        <f t="shared" si="17"/>
        <v>45013</v>
      </c>
      <c r="C64" s="68">
        <v>1</v>
      </c>
      <c r="D64" s="48">
        <v>1</v>
      </c>
      <c r="E64" s="48">
        <v>-0.1</v>
      </c>
      <c r="F64" s="48">
        <v>1</v>
      </c>
      <c r="G64" s="48">
        <v>-0.1</v>
      </c>
      <c r="H64" s="48">
        <v>1</v>
      </c>
      <c r="I64" s="48">
        <v>-0.1</v>
      </c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:53" ht="16.2" customHeight="1" x14ac:dyDescent="0.4">
      <c r="B65" s="47">
        <f t="shared" si="17"/>
        <v>45104</v>
      </c>
      <c r="C65" s="68">
        <v>1</v>
      </c>
      <c r="D65" s="48">
        <v>1</v>
      </c>
      <c r="E65" s="48">
        <v>-0.1</v>
      </c>
      <c r="F65" s="48">
        <v>1</v>
      </c>
      <c r="G65" s="48">
        <v>-0.1</v>
      </c>
      <c r="H65" s="48">
        <v>1</v>
      </c>
      <c r="I65" s="48">
        <v>-0.1</v>
      </c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:53" ht="16.2" customHeight="1" x14ac:dyDescent="0.4">
      <c r="B66" s="47">
        <f t="shared" si="17"/>
        <v>45196</v>
      </c>
      <c r="C66" s="68">
        <v>1</v>
      </c>
      <c r="D66" s="48">
        <v>1</v>
      </c>
      <c r="E66" s="48">
        <v>-0.1</v>
      </c>
      <c r="F66" s="48">
        <v>1</v>
      </c>
      <c r="G66" s="48">
        <v>-0.1</v>
      </c>
      <c r="H66" s="48">
        <v>1</v>
      </c>
      <c r="I66" s="48">
        <v>-0.1</v>
      </c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:53" ht="16.2" customHeight="1" x14ac:dyDescent="0.4">
      <c r="B67" s="47">
        <f t="shared" si="17"/>
        <v>45288</v>
      </c>
      <c r="C67" s="68">
        <v>1</v>
      </c>
      <c r="D67" s="48">
        <v>1</v>
      </c>
      <c r="E67" s="48">
        <v>-0.1</v>
      </c>
      <c r="F67" s="48">
        <v>1</v>
      </c>
      <c r="G67" s="48">
        <v>-0.1</v>
      </c>
      <c r="H67" s="48">
        <v>1</v>
      </c>
      <c r="I67" s="48">
        <v>-0.1</v>
      </c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:53" ht="16.2" customHeight="1" x14ac:dyDescent="0.4">
      <c r="B68" s="47">
        <f t="shared" si="17"/>
        <v>45379</v>
      </c>
      <c r="C68" s="68">
        <v>1</v>
      </c>
      <c r="D68" s="48">
        <v>1</v>
      </c>
      <c r="E68" s="48">
        <v>-0.1</v>
      </c>
      <c r="F68" s="48">
        <v>1</v>
      </c>
      <c r="G68" s="48">
        <v>-0.1</v>
      </c>
      <c r="H68" s="48">
        <v>1</v>
      </c>
      <c r="I68" s="48">
        <v>-0.1</v>
      </c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:53" ht="16.2" customHeight="1" x14ac:dyDescent="0.4">
      <c r="B69" s="47">
        <f t="shared" si="17"/>
        <v>45470</v>
      </c>
      <c r="C69" s="68">
        <v>1</v>
      </c>
      <c r="D69" s="48">
        <v>1</v>
      </c>
      <c r="E69" s="48">
        <v>-0.1</v>
      </c>
      <c r="F69" s="48">
        <v>1</v>
      </c>
      <c r="G69" s="48">
        <v>-0.1</v>
      </c>
      <c r="H69" s="48">
        <v>1</v>
      </c>
      <c r="I69" s="48">
        <v>-0.1</v>
      </c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:53" ht="16.2" customHeight="1" x14ac:dyDescent="0.4">
      <c r="B70" s="47">
        <f t="shared" si="17"/>
        <v>45562</v>
      </c>
      <c r="C70" s="68">
        <v>1</v>
      </c>
      <c r="D70" s="48">
        <v>1</v>
      </c>
      <c r="E70" s="48">
        <v>-0.1</v>
      </c>
      <c r="F70" s="48">
        <v>1</v>
      </c>
      <c r="G70" s="48">
        <v>-0.1</v>
      </c>
      <c r="H70" s="48">
        <v>1</v>
      </c>
      <c r="I70" s="48">
        <v>-0.1</v>
      </c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:53" ht="16.2" customHeight="1" x14ac:dyDescent="0.4">
      <c r="B71" s="47">
        <f t="shared" si="17"/>
        <v>45654</v>
      </c>
      <c r="C71" s="68">
        <v>1</v>
      </c>
      <c r="D71" s="48">
        <v>1</v>
      </c>
      <c r="E71" s="48">
        <v>-0.1</v>
      </c>
      <c r="F71" s="48">
        <v>1</v>
      </c>
      <c r="G71" s="48">
        <v>-0.1</v>
      </c>
      <c r="H71" s="48">
        <v>1</v>
      </c>
      <c r="I71" s="48">
        <v>-0.1</v>
      </c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:53" ht="16.2" customHeight="1" x14ac:dyDescent="0.4">
      <c r="B72" s="47">
        <f t="shared" si="17"/>
        <v>45744</v>
      </c>
      <c r="C72" s="68">
        <v>1</v>
      </c>
      <c r="D72" s="48">
        <v>1</v>
      </c>
      <c r="E72" s="48">
        <v>-0.1</v>
      </c>
      <c r="F72" s="48">
        <v>1</v>
      </c>
      <c r="G72" s="48">
        <v>-0.1</v>
      </c>
      <c r="H72" s="48">
        <v>1</v>
      </c>
      <c r="I72" s="48">
        <v>-0.1</v>
      </c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:53" ht="16.2" customHeight="1" x14ac:dyDescent="0.4">
      <c r="B73" s="47">
        <f t="shared" si="17"/>
        <v>45835</v>
      </c>
      <c r="C73" s="68">
        <v>1</v>
      </c>
      <c r="D73" s="48">
        <v>1</v>
      </c>
      <c r="E73" s="48">
        <v>-0.1</v>
      </c>
      <c r="F73" s="48">
        <v>1</v>
      </c>
      <c r="G73" s="48">
        <v>-0.1</v>
      </c>
      <c r="H73" s="48">
        <v>1</v>
      </c>
      <c r="I73" s="48">
        <v>-0.1</v>
      </c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:53" ht="16.2" customHeight="1" x14ac:dyDescent="0.4">
      <c r="B74" s="47">
        <f t="shared" si="17"/>
        <v>45927</v>
      </c>
      <c r="C74" s="68">
        <v>1</v>
      </c>
      <c r="D74" s="48">
        <v>1</v>
      </c>
      <c r="E74" s="48">
        <v>-0.1</v>
      </c>
      <c r="F74" s="48">
        <v>1</v>
      </c>
      <c r="G74" s="48">
        <v>-0.1</v>
      </c>
      <c r="H74" s="48">
        <v>1</v>
      </c>
      <c r="I74" s="48">
        <v>-0.1</v>
      </c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:53" ht="16.2" customHeight="1" x14ac:dyDescent="0.4">
      <c r="B75" s="47">
        <f t="shared" si="17"/>
        <v>46019</v>
      </c>
      <c r="C75" s="68">
        <v>1</v>
      </c>
      <c r="D75" s="48">
        <v>1</v>
      </c>
      <c r="E75" s="48">
        <v>-0.1</v>
      </c>
      <c r="F75" s="48">
        <v>1</v>
      </c>
      <c r="G75" s="48">
        <v>-0.1</v>
      </c>
      <c r="H75" s="48">
        <v>1</v>
      </c>
      <c r="I75" s="48">
        <v>-0.1</v>
      </c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:53" ht="16.2" customHeight="1" x14ac:dyDescent="0.4">
      <c r="B76" s="47">
        <f t="shared" si="17"/>
        <v>46109</v>
      </c>
      <c r="C76" s="68">
        <v>1</v>
      </c>
      <c r="D76" s="48">
        <v>1</v>
      </c>
      <c r="E76" s="48">
        <v>-0.1</v>
      </c>
      <c r="F76" s="48">
        <v>1</v>
      </c>
      <c r="G76" s="48">
        <v>-0.1</v>
      </c>
      <c r="H76" s="48">
        <v>1</v>
      </c>
      <c r="I76" s="48">
        <v>-0.1</v>
      </c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:53" ht="16.2" customHeight="1" x14ac:dyDescent="0.4">
      <c r="B77" s="47">
        <f t="shared" si="17"/>
        <v>46200</v>
      </c>
      <c r="C77" s="68">
        <v>1</v>
      </c>
      <c r="D77" s="48">
        <v>1</v>
      </c>
      <c r="E77" s="48">
        <v>-0.1</v>
      </c>
      <c r="F77" s="48">
        <v>1</v>
      </c>
      <c r="G77" s="48">
        <v>-0.1</v>
      </c>
      <c r="H77" s="48">
        <v>1</v>
      </c>
      <c r="I77" s="48">
        <v>-0.1</v>
      </c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:53" ht="16.2" customHeight="1" x14ac:dyDescent="0.4">
      <c r="B78" s="47">
        <f t="shared" si="17"/>
        <v>46292</v>
      </c>
      <c r="C78" s="68">
        <v>1</v>
      </c>
      <c r="D78" s="48">
        <v>1</v>
      </c>
      <c r="E78" s="48">
        <v>-0.1</v>
      </c>
      <c r="F78" s="48">
        <v>1</v>
      </c>
      <c r="G78" s="48">
        <v>-0.1</v>
      </c>
      <c r="H78" s="48">
        <v>1</v>
      </c>
      <c r="I78" s="48">
        <v>-0.1</v>
      </c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:53" ht="16.2" customHeight="1" x14ac:dyDescent="0.4">
      <c r="B79" s="47">
        <f t="shared" si="17"/>
        <v>46384</v>
      </c>
      <c r="C79" s="68">
        <v>1</v>
      </c>
      <c r="D79" s="48">
        <v>1</v>
      </c>
      <c r="E79" s="48">
        <v>-0.1</v>
      </c>
      <c r="F79" s="48">
        <v>1</v>
      </c>
      <c r="G79" s="48">
        <v>-0.1</v>
      </c>
      <c r="H79" s="48">
        <v>1</v>
      </c>
      <c r="I79" s="48">
        <v>-0.1</v>
      </c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:53" ht="16.2" customHeight="1" x14ac:dyDescent="0.4">
      <c r="B80" s="47">
        <f t="shared" si="17"/>
        <v>46474</v>
      </c>
      <c r="C80" s="68">
        <v>1</v>
      </c>
      <c r="D80" s="48">
        <v>1</v>
      </c>
      <c r="E80" s="48">
        <v>-0.1</v>
      </c>
      <c r="F80" s="48">
        <v>1</v>
      </c>
      <c r="G80" s="48">
        <v>-0.1</v>
      </c>
      <c r="H80" s="48">
        <v>1</v>
      </c>
      <c r="I80" s="48">
        <v>-0.1</v>
      </c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:53" ht="16.2" customHeight="1" x14ac:dyDescent="0.4">
      <c r="B81" s="47">
        <f t="shared" si="17"/>
        <v>46565</v>
      </c>
      <c r="C81" s="68">
        <v>1</v>
      </c>
      <c r="D81" s="48">
        <v>1</v>
      </c>
      <c r="E81" s="48">
        <v>-0.1</v>
      </c>
      <c r="F81" s="48">
        <v>1</v>
      </c>
      <c r="G81" s="48">
        <v>-0.1</v>
      </c>
      <c r="H81" s="48">
        <v>1</v>
      </c>
      <c r="I81" s="48">
        <v>-0.1</v>
      </c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:53" ht="16.2" customHeight="1" x14ac:dyDescent="0.4">
      <c r="B82" s="47">
        <f t="shared" si="17"/>
        <v>46657</v>
      </c>
      <c r="C82" s="68">
        <v>1</v>
      </c>
      <c r="D82" s="48">
        <v>1</v>
      </c>
      <c r="E82" s="48">
        <v>-0.1</v>
      </c>
      <c r="F82" s="48">
        <v>1</v>
      </c>
      <c r="G82" s="48">
        <v>-0.1</v>
      </c>
      <c r="H82" s="48">
        <v>1</v>
      </c>
      <c r="I82" s="48">
        <v>-0.1</v>
      </c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:53" ht="16.2" customHeight="1" x14ac:dyDescent="0.4">
      <c r="B83" s="47">
        <f t="shared" si="17"/>
        <v>46749</v>
      </c>
      <c r="C83" s="68">
        <v>1</v>
      </c>
      <c r="D83" s="48">
        <v>1</v>
      </c>
      <c r="E83" s="48">
        <v>-0.1</v>
      </c>
      <c r="F83" s="48">
        <v>1</v>
      </c>
      <c r="G83" s="48">
        <v>-0.1</v>
      </c>
      <c r="H83" s="48">
        <v>1</v>
      </c>
      <c r="I83" s="48">
        <v>-0.1</v>
      </c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:53" ht="16.2" customHeight="1" x14ac:dyDescent="0.4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:53" ht="16.2" customHeight="1" x14ac:dyDescent="0.4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:53" ht="16.2" customHeight="1" x14ac:dyDescent="0.4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:53" ht="16.2" customHeight="1" x14ac:dyDescent="0.4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:53" ht="16.2" customHeight="1" x14ac:dyDescent="0.4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:53" ht="16.2" customHeight="1" x14ac:dyDescent="0.4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:53" ht="16.2" customHeight="1" x14ac:dyDescent="0.4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:53" ht="16.2" customHeight="1" x14ac:dyDescent="0.4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:53" ht="16.2" customHeight="1" x14ac:dyDescent="0.4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:53" ht="16.2" customHeight="1" x14ac:dyDescent="0.4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:53" ht="16.2" customHeight="1" x14ac:dyDescent="0.4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:53" ht="16.2" customHeight="1" x14ac:dyDescent="0.4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:53" ht="16.2" customHeight="1" x14ac:dyDescent="0.4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2" customHeight="1" x14ac:dyDescent="0.4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2" customHeight="1" x14ac:dyDescent="0.4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2" customHeight="1" x14ac:dyDescent="0.4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2" customHeight="1" x14ac:dyDescent="0.4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2" customHeight="1" x14ac:dyDescent="0.4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2" customHeight="1" x14ac:dyDescent="0.4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2" customHeight="1" x14ac:dyDescent="0.4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2" customHeight="1" x14ac:dyDescent="0.4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2" customHeight="1" x14ac:dyDescent="0.4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2" customHeight="1" x14ac:dyDescent="0.4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2" customHeight="1" x14ac:dyDescent="0.4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2" customHeight="1" x14ac:dyDescent="0.4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2" customHeight="1" x14ac:dyDescent="0.4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2" customHeight="1" x14ac:dyDescent="0.4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2" customHeight="1" x14ac:dyDescent="0.4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2" customHeight="1" x14ac:dyDescent="0.4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2" customHeight="1" x14ac:dyDescent="0.4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2" customHeight="1" x14ac:dyDescent="0.4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2" customHeight="1" x14ac:dyDescent="0.4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2" customHeight="1" x14ac:dyDescent="0.4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2" customHeight="1" x14ac:dyDescent="0.4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2" customHeight="1" x14ac:dyDescent="0.4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2" customHeight="1" x14ac:dyDescent="0.4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2" customHeight="1" x14ac:dyDescent="0.4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2" customHeight="1" x14ac:dyDescent="0.4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2" customHeight="1" x14ac:dyDescent="0.4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2" customHeight="1" x14ac:dyDescent="0.4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2" customHeight="1" x14ac:dyDescent="0.4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2" customHeight="1" x14ac:dyDescent="0.4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2" customHeight="1" x14ac:dyDescent="0.4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2" customHeight="1" x14ac:dyDescent="0.4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2" customHeight="1" x14ac:dyDescent="0.4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2" customHeight="1" x14ac:dyDescent="0.4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2" customHeight="1" x14ac:dyDescent="0.4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2" customHeight="1" x14ac:dyDescent="0.4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2" customHeight="1" x14ac:dyDescent="0.4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2" customHeight="1" x14ac:dyDescent="0.4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2" customHeight="1" x14ac:dyDescent="0.4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2" customHeight="1" x14ac:dyDescent="0.4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2" customHeight="1" x14ac:dyDescent="0.4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2" customHeight="1" x14ac:dyDescent="0.4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2" customHeight="1" x14ac:dyDescent="0.4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2" customHeight="1" x14ac:dyDescent="0.4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2" customHeight="1" x14ac:dyDescent="0.4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2" customHeight="1" x14ac:dyDescent="0.4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2" customHeight="1" x14ac:dyDescent="0.4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2" customHeight="1" x14ac:dyDescent="0.4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2" customHeight="1" x14ac:dyDescent="0.4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2" customHeight="1" x14ac:dyDescent="0.4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2" customHeight="1" x14ac:dyDescent="0.4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2" customHeight="1" x14ac:dyDescent="0.4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2" customHeight="1" x14ac:dyDescent="0.4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2" customHeight="1" x14ac:dyDescent="0.4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2" customHeight="1" x14ac:dyDescent="0.4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2" customHeight="1" x14ac:dyDescent="0.4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2" customHeight="1" x14ac:dyDescent="0.4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2" customHeight="1" x14ac:dyDescent="0.4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2" customHeight="1" x14ac:dyDescent="0.4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2" customHeight="1" x14ac:dyDescent="0.4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2" customHeight="1" x14ac:dyDescent="0.4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2" customHeight="1" x14ac:dyDescent="0.4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2" customHeight="1" x14ac:dyDescent="0.4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2" customHeight="1" x14ac:dyDescent="0.4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2" customHeight="1" x14ac:dyDescent="0.4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2" customHeight="1" x14ac:dyDescent="0.4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2" customHeight="1" x14ac:dyDescent="0.4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2" customHeight="1" x14ac:dyDescent="0.4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2" customHeight="1" x14ac:dyDescent="0.4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2" customHeight="1" x14ac:dyDescent="0.4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2" customHeight="1" x14ac:dyDescent="0.4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2" customHeight="1" x14ac:dyDescent="0.4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2" customHeight="1" x14ac:dyDescent="0.4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2" customHeight="1" x14ac:dyDescent="0.4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2" customHeight="1" x14ac:dyDescent="0.4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2" customHeight="1" x14ac:dyDescent="0.4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2" customHeight="1" x14ac:dyDescent="0.4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2" customHeight="1" x14ac:dyDescent="0.4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2" customHeight="1" x14ac:dyDescent="0.4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2" customHeight="1" x14ac:dyDescent="0.4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2" customHeight="1" x14ac:dyDescent="0.4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2" customHeight="1" x14ac:dyDescent="0.4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2" customHeight="1" x14ac:dyDescent="0.4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2" customHeight="1" x14ac:dyDescent="0.4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2" customHeight="1" x14ac:dyDescent="0.4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2" customHeight="1" x14ac:dyDescent="0.4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2" customHeight="1" x14ac:dyDescent="0.4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2" customHeight="1" x14ac:dyDescent="0.4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2" customHeight="1" x14ac:dyDescent="0.4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2" customHeight="1" x14ac:dyDescent="0.4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2" customHeight="1" x14ac:dyDescent="0.4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2" customHeight="1" x14ac:dyDescent="0.4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2" customHeight="1" x14ac:dyDescent="0.4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2" customHeight="1" x14ac:dyDescent="0.4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2" customHeight="1" x14ac:dyDescent="0.4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2" customHeight="1" x14ac:dyDescent="0.4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2" customHeight="1" x14ac:dyDescent="0.4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2" customHeight="1" x14ac:dyDescent="0.4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2" customHeight="1" x14ac:dyDescent="0.4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2" customHeight="1" x14ac:dyDescent="0.4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2" customHeight="1" x14ac:dyDescent="0.4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2" customHeight="1" x14ac:dyDescent="0.4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2" customHeight="1" x14ac:dyDescent="0.4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2" customHeight="1" x14ac:dyDescent="0.4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2" customHeight="1" x14ac:dyDescent="0.4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2" customHeight="1" x14ac:dyDescent="0.4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2" customHeight="1" x14ac:dyDescent="0.4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2" customHeight="1" x14ac:dyDescent="0.4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2" customHeight="1" x14ac:dyDescent="0.4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2" customHeight="1" x14ac:dyDescent="0.4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2" customHeight="1" x14ac:dyDescent="0.4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2" customHeight="1" x14ac:dyDescent="0.4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2" customHeight="1" x14ac:dyDescent="0.4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2" customHeight="1" x14ac:dyDescent="0.4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2" customHeight="1" x14ac:dyDescent="0.4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2" customHeight="1" x14ac:dyDescent="0.4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2" customHeight="1" x14ac:dyDescent="0.4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2" customHeight="1" x14ac:dyDescent="0.4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2" customHeight="1" x14ac:dyDescent="0.4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2" customHeight="1" x14ac:dyDescent="0.4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2" customHeight="1" x14ac:dyDescent="0.4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2" customHeight="1" x14ac:dyDescent="0.4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2" customHeight="1" x14ac:dyDescent="0.4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2" customHeight="1" x14ac:dyDescent="0.4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2" customHeight="1" x14ac:dyDescent="0.4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2" customHeight="1" x14ac:dyDescent="0.4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2" customHeight="1" x14ac:dyDescent="0.4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2" customHeight="1" x14ac:dyDescent="0.4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2" customHeight="1" x14ac:dyDescent="0.4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2" customHeight="1" x14ac:dyDescent="0.4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2" customHeight="1" x14ac:dyDescent="0.4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2" customHeight="1" x14ac:dyDescent="0.4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2" customHeight="1" x14ac:dyDescent="0.4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2" customHeight="1" x14ac:dyDescent="0.4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2" customHeight="1" x14ac:dyDescent="0.4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2" customHeight="1" x14ac:dyDescent="0.4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2" customHeight="1" x14ac:dyDescent="0.4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2" customHeight="1" x14ac:dyDescent="0.4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2" customHeight="1" x14ac:dyDescent="0.4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2" customHeight="1" x14ac:dyDescent="0.4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2" customHeight="1" x14ac:dyDescent="0.4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2" customHeight="1" x14ac:dyDescent="0.4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2" customHeight="1" x14ac:dyDescent="0.4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2" customHeight="1" x14ac:dyDescent="0.4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2" customHeight="1" x14ac:dyDescent="0.4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2" customHeight="1" x14ac:dyDescent="0.4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2" customHeight="1" x14ac:dyDescent="0.4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2" customHeight="1" x14ac:dyDescent="0.4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2" customHeight="1" x14ac:dyDescent="0.4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2" customHeight="1" x14ac:dyDescent="0.4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2" customHeight="1" x14ac:dyDescent="0.4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2" customHeight="1" x14ac:dyDescent="0.4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2" customHeight="1" x14ac:dyDescent="0.4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2" customHeight="1" x14ac:dyDescent="0.4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2" customHeight="1" x14ac:dyDescent="0.4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2" customHeight="1" x14ac:dyDescent="0.4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2" customHeight="1" x14ac:dyDescent="0.4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2" customHeight="1" x14ac:dyDescent="0.4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2" customHeight="1" x14ac:dyDescent="0.4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2" customHeight="1" x14ac:dyDescent="0.4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2" customHeight="1" x14ac:dyDescent="0.4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2" customHeight="1" x14ac:dyDescent="0.4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2" customHeight="1" x14ac:dyDescent="0.4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2" customHeight="1" x14ac:dyDescent="0.4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2" customHeight="1" x14ac:dyDescent="0.4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2" customHeight="1" x14ac:dyDescent="0.4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2" customHeight="1" x14ac:dyDescent="0.4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2" customHeight="1" x14ac:dyDescent="0.4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2" customHeight="1" x14ac:dyDescent="0.4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2" customHeight="1" x14ac:dyDescent="0.4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2" customHeight="1" x14ac:dyDescent="0.4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2" customHeight="1" x14ac:dyDescent="0.4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2" customHeight="1" x14ac:dyDescent="0.4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2" customHeight="1" x14ac:dyDescent="0.4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2" customHeight="1" x14ac:dyDescent="0.4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2" customHeight="1" x14ac:dyDescent="0.4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2" customHeight="1" x14ac:dyDescent="0.4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2" customHeight="1" x14ac:dyDescent="0.4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2" customHeight="1" x14ac:dyDescent="0.4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2" customHeight="1" x14ac:dyDescent="0.4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2" customHeight="1" x14ac:dyDescent="0.4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2" customHeight="1" x14ac:dyDescent="0.4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2" customHeight="1" x14ac:dyDescent="0.4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2" customHeight="1" x14ac:dyDescent="0.4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2" customHeight="1" x14ac:dyDescent="0.4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2" customHeight="1" x14ac:dyDescent="0.4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2" customHeight="1" x14ac:dyDescent="0.4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2" customHeight="1" x14ac:dyDescent="0.4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2" customHeight="1" x14ac:dyDescent="0.4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2" customHeight="1" x14ac:dyDescent="0.4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2" customHeight="1" x14ac:dyDescent="0.4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2" customHeight="1" x14ac:dyDescent="0.4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2" customHeight="1" x14ac:dyDescent="0.4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2" customHeight="1" x14ac:dyDescent="0.4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2" customHeight="1" x14ac:dyDescent="0.4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2" customHeight="1" x14ac:dyDescent="0.4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2" customHeight="1" x14ac:dyDescent="0.4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2" customHeight="1" x14ac:dyDescent="0.4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2" customHeight="1" x14ac:dyDescent="0.4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2" customHeight="1" x14ac:dyDescent="0.4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2" customHeight="1" x14ac:dyDescent="0.4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2" customHeight="1" x14ac:dyDescent="0.4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2" customHeight="1" x14ac:dyDescent="0.4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2" customHeight="1" x14ac:dyDescent="0.4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2" customHeight="1" x14ac:dyDescent="0.4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2" customHeight="1" x14ac:dyDescent="0.4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2" customHeight="1" x14ac:dyDescent="0.4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2" customHeight="1" x14ac:dyDescent="0.4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2" customHeight="1" x14ac:dyDescent="0.4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2" customHeight="1" x14ac:dyDescent="0.4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2" customHeight="1" x14ac:dyDescent="0.4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2" customHeight="1" x14ac:dyDescent="0.4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2" customHeight="1" x14ac:dyDescent="0.4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2" customHeight="1" x14ac:dyDescent="0.4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2" customHeight="1" x14ac:dyDescent="0.4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2" customHeight="1" x14ac:dyDescent="0.4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2" customHeight="1" x14ac:dyDescent="0.4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2" customHeight="1" x14ac:dyDescent="0.4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2" customHeight="1" x14ac:dyDescent="0.4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2" customHeight="1" x14ac:dyDescent="0.4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2" customHeight="1" x14ac:dyDescent="0.4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2" customHeight="1" x14ac:dyDescent="0.4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2" customHeight="1" x14ac:dyDescent="0.4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2" customHeight="1" x14ac:dyDescent="0.4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2" customHeight="1" x14ac:dyDescent="0.4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2" customHeight="1" x14ac:dyDescent="0.4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2" customHeight="1" x14ac:dyDescent="0.4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2" customHeight="1" x14ac:dyDescent="0.4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2" customHeight="1" x14ac:dyDescent="0.4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2" customHeight="1" x14ac:dyDescent="0.4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2" customHeight="1" x14ac:dyDescent="0.4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2" customHeight="1" x14ac:dyDescent="0.4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2" customHeight="1" x14ac:dyDescent="0.4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2" customHeight="1" x14ac:dyDescent="0.4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2" customHeight="1" x14ac:dyDescent="0.4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2" customHeight="1" x14ac:dyDescent="0.4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2" customHeight="1" x14ac:dyDescent="0.4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2" customHeight="1" x14ac:dyDescent="0.4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2" customHeight="1" x14ac:dyDescent="0.4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2" customHeight="1" x14ac:dyDescent="0.4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2" customHeight="1" x14ac:dyDescent="0.4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2" customHeight="1" x14ac:dyDescent="0.4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2" customHeight="1" x14ac:dyDescent="0.4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2" customHeight="1" x14ac:dyDescent="0.4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2" customHeight="1" x14ac:dyDescent="0.4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2" customHeight="1" x14ac:dyDescent="0.4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2" customHeight="1" x14ac:dyDescent="0.4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2" customHeight="1" x14ac:dyDescent="0.4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2" customHeight="1" x14ac:dyDescent="0.4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2" customHeight="1" x14ac:dyDescent="0.4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2" customHeight="1" x14ac:dyDescent="0.4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2" customHeight="1" x14ac:dyDescent="0.4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2" customHeight="1" x14ac:dyDescent="0.4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2" customHeight="1" x14ac:dyDescent="0.4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2" customHeight="1" x14ac:dyDescent="0.4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2" customHeight="1" x14ac:dyDescent="0.4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2" customHeight="1" x14ac:dyDescent="0.4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2" customHeight="1" x14ac:dyDescent="0.4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2" customHeight="1" x14ac:dyDescent="0.4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2" customHeight="1" x14ac:dyDescent="0.4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2" customHeight="1" x14ac:dyDescent="0.4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2" customHeight="1" x14ac:dyDescent="0.4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2" customHeight="1" x14ac:dyDescent="0.4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2" customHeight="1" x14ac:dyDescent="0.4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2" customHeight="1" x14ac:dyDescent="0.4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2" customHeight="1" x14ac:dyDescent="0.4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2" customHeight="1" x14ac:dyDescent="0.4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2" customHeight="1" x14ac:dyDescent="0.4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2" customHeight="1" x14ac:dyDescent="0.4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2" customHeight="1" x14ac:dyDescent="0.4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2" customHeight="1" x14ac:dyDescent="0.4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2" customHeight="1" x14ac:dyDescent="0.4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2" customHeight="1" x14ac:dyDescent="0.4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2" customHeight="1" x14ac:dyDescent="0.4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2" customHeight="1" x14ac:dyDescent="0.4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2" customHeight="1" x14ac:dyDescent="0.4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2" customHeight="1" x14ac:dyDescent="0.4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2" customHeight="1" x14ac:dyDescent="0.4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2" customHeight="1" x14ac:dyDescent="0.4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2" customHeight="1" x14ac:dyDescent="0.4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2" customHeight="1" x14ac:dyDescent="0.4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2" customHeight="1" x14ac:dyDescent="0.4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2" customHeight="1" x14ac:dyDescent="0.4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2" customHeight="1" x14ac:dyDescent="0.4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2" customHeight="1" x14ac:dyDescent="0.4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2" customHeight="1" x14ac:dyDescent="0.4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2" customHeight="1" x14ac:dyDescent="0.4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2" customHeight="1" x14ac:dyDescent="0.4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2" customHeight="1" x14ac:dyDescent="0.4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2" customHeight="1" x14ac:dyDescent="0.4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2" customHeight="1" x14ac:dyDescent="0.4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2" customHeight="1" x14ac:dyDescent="0.4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2" customHeight="1" x14ac:dyDescent="0.4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2" customHeight="1" x14ac:dyDescent="0.4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2" customHeight="1" x14ac:dyDescent="0.4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2" customHeight="1" x14ac:dyDescent="0.4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2" customHeight="1" x14ac:dyDescent="0.4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2" customHeight="1" x14ac:dyDescent="0.4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2" customHeight="1" x14ac:dyDescent="0.4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2" customHeight="1" x14ac:dyDescent="0.4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2" customHeight="1" x14ac:dyDescent="0.4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2" customHeight="1" x14ac:dyDescent="0.4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2" customHeight="1" x14ac:dyDescent="0.4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2" customHeight="1" x14ac:dyDescent="0.4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2" customHeight="1" x14ac:dyDescent="0.4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2" customHeight="1" x14ac:dyDescent="0.4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2" customHeight="1" x14ac:dyDescent="0.4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2" customHeight="1" x14ac:dyDescent="0.4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2" customHeight="1" x14ac:dyDescent="0.4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2" customHeight="1" x14ac:dyDescent="0.4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2" customHeight="1" x14ac:dyDescent="0.4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2" customHeight="1" x14ac:dyDescent="0.4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2" customHeight="1" x14ac:dyDescent="0.4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2" customHeight="1" x14ac:dyDescent="0.4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2" customHeight="1" x14ac:dyDescent="0.4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2" customHeight="1" x14ac:dyDescent="0.4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2" customHeight="1" x14ac:dyDescent="0.4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2" customHeight="1" x14ac:dyDescent="0.4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2" customHeight="1" x14ac:dyDescent="0.4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2" customHeight="1" x14ac:dyDescent="0.4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2" customHeight="1" x14ac:dyDescent="0.4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2" customHeight="1" x14ac:dyDescent="0.4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2" customHeight="1" x14ac:dyDescent="0.4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2" customHeight="1" x14ac:dyDescent="0.4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2" customHeight="1" x14ac:dyDescent="0.4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2" customHeight="1" x14ac:dyDescent="0.4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2" customHeight="1" x14ac:dyDescent="0.4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2" customHeight="1" x14ac:dyDescent="0.4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2" customHeight="1" x14ac:dyDescent="0.4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2" customHeight="1" x14ac:dyDescent="0.4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2" customHeight="1" x14ac:dyDescent="0.4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2" customHeight="1" x14ac:dyDescent="0.4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2" customHeight="1" x14ac:dyDescent="0.4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2" customHeight="1" x14ac:dyDescent="0.4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2" customHeight="1" x14ac:dyDescent="0.4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2" customHeight="1" x14ac:dyDescent="0.4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2" customHeight="1" x14ac:dyDescent="0.4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2" customHeight="1" x14ac:dyDescent="0.4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2" customHeight="1" x14ac:dyDescent="0.4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2" customHeight="1" x14ac:dyDescent="0.4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2" customHeight="1" x14ac:dyDescent="0.4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2" customHeight="1" x14ac:dyDescent="0.4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2" customHeight="1" x14ac:dyDescent="0.4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2" customHeight="1" x14ac:dyDescent="0.4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2" customHeight="1" x14ac:dyDescent="0.4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2" customHeight="1" x14ac:dyDescent="0.4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2" customHeight="1" x14ac:dyDescent="0.4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2" customHeight="1" x14ac:dyDescent="0.4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2" customHeight="1" x14ac:dyDescent="0.4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2" customHeight="1" x14ac:dyDescent="0.4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2" customHeight="1" x14ac:dyDescent="0.4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2" customHeight="1" x14ac:dyDescent="0.4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2" customHeight="1" x14ac:dyDescent="0.4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2" customHeight="1" x14ac:dyDescent="0.4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2" customHeight="1" x14ac:dyDescent="0.4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2" customHeight="1" x14ac:dyDescent="0.4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2" customHeight="1" x14ac:dyDescent="0.4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2" customHeight="1" x14ac:dyDescent="0.4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2" customHeight="1" x14ac:dyDescent="0.4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2" customHeight="1" x14ac:dyDescent="0.4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2" customHeight="1" x14ac:dyDescent="0.4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2" customHeight="1" x14ac:dyDescent="0.4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2" customHeight="1" x14ac:dyDescent="0.4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2" customHeight="1" x14ac:dyDescent="0.4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2" customHeight="1" x14ac:dyDescent="0.4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2" customHeight="1" x14ac:dyDescent="0.4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2" customHeight="1" x14ac:dyDescent="0.4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2" customHeight="1" x14ac:dyDescent="0.4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2" customHeight="1" x14ac:dyDescent="0.4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2" customHeight="1" x14ac:dyDescent="0.4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2" customHeight="1" x14ac:dyDescent="0.4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2" customHeight="1" x14ac:dyDescent="0.4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2" customHeight="1" x14ac:dyDescent="0.4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2" customHeight="1" x14ac:dyDescent="0.4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2" customHeight="1" x14ac:dyDescent="0.4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2" customHeight="1" x14ac:dyDescent="0.4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2" customHeight="1" x14ac:dyDescent="0.4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2" customHeight="1" x14ac:dyDescent="0.4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2" customHeight="1" x14ac:dyDescent="0.4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2" customHeight="1" x14ac:dyDescent="0.4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2" customHeight="1" x14ac:dyDescent="0.4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2" customHeight="1" x14ac:dyDescent="0.4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2" customHeight="1" x14ac:dyDescent="0.4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2" customHeight="1" x14ac:dyDescent="0.4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2" customHeight="1" x14ac:dyDescent="0.4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2" customHeight="1" x14ac:dyDescent="0.4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2" customHeight="1" x14ac:dyDescent="0.4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2" customHeight="1" x14ac:dyDescent="0.4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2" customHeight="1" x14ac:dyDescent="0.4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2" customHeight="1" x14ac:dyDescent="0.4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2" customHeight="1" x14ac:dyDescent="0.4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2" customHeight="1" x14ac:dyDescent="0.4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2" customHeight="1" x14ac:dyDescent="0.4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2" customHeight="1" x14ac:dyDescent="0.4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2" customHeight="1" x14ac:dyDescent="0.4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2" customHeight="1" x14ac:dyDescent="0.4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2" customHeight="1" x14ac:dyDescent="0.4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2" customHeight="1" x14ac:dyDescent="0.4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2" customHeight="1" x14ac:dyDescent="0.4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2" customHeight="1" x14ac:dyDescent="0.4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2" customHeight="1" x14ac:dyDescent="0.4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2" customHeight="1" x14ac:dyDescent="0.4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2" customHeight="1" x14ac:dyDescent="0.4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2" customHeight="1" x14ac:dyDescent="0.4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2" customHeight="1" x14ac:dyDescent="0.4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2" customHeight="1" x14ac:dyDescent="0.4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2" customHeight="1" x14ac:dyDescent="0.4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2" customHeight="1" x14ac:dyDescent="0.4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2" customHeight="1" x14ac:dyDescent="0.4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2" customHeight="1" x14ac:dyDescent="0.4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2" customHeight="1" x14ac:dyDescent="0.4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2" customHeight="1" x14ac:dyDescent="0.4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2" customHeight="1" x14ac:dyDescent="0.4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2" customHeight="1" x14ac:dyDescent="0.4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2" customHeight="1" x14ac:dyDescent="0.4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2" customHeight="1" x14ac:dyDescent="0.4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2" customHeight="1" x14ac:dyDescent="0.4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2" customHeight="1" x14ac:dyDescent="0.4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2" customHeight="1" x14ac:dyDescent="0.4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2" customHeight="1" x14ac:dyDescent="0.4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2" customHeight="1" x14ac:dyDescent="0.4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2" customHeight="1" x14ac:dyDescent="0.4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2" customHeight="1" x14ac:dyDescent="0.4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2" customHeight="1" x14ac:dyDescent="0.4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2" customHeight="1" x14ac:dyDescent="0.4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2" customHeight="1" x14ac:dyDescent="0.4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2" customHeight="1" x14ac:dyDescent="0.4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2" customHeight="1" x14ac:dyDescent="0.4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2" customHeight="1" x14ac:dyDescent="0.4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2" customHeight="1" x14ac:dyDescent="0.4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2" customHeight="1" x14ac:dyDescent="0.4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2" customHeight="1" x14ac:dyDescent="0.4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2" customHeight="1" x14ac:dyDescent="0.4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2" customHeight="1" x14ac:dyDescent="0.4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2" customHeight="1" x14ac:dyDescent="0.4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2" customHeight="1" x14ac:dyDescent="0.4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2" customHeight="1" x14ac:dyDescent="0.4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2" customHeight="1" x14ac:dyDescent="0.4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2" customHeight="1" x14ac:dyDescent="0.4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2" customHeight="1" x14ac:dyDescent="0.4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2" customHeight="1" x14ac:dyDescent="0.4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2" customHeight="1" x14ac:dyDescent="0.4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2" customHeight="1" x14ac:dyDescent="0.4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2" customHeight="1" x14ac:dyDescent="0.4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2" customHeight="1" x14ac:dyDescent="0.4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2" customHeight="1" x14ac:dyDescent="0.4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2" customHeight="1" x14ac:dyDescent="0.4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2" customHeight="1" x14ac:dyDescent="0.4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2" customHeight="1" x14ac:dyDescent="0.4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2" customHeight="1" x14ac:dyDescent="0.4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2" customHeight="1" x14ac:dyDescent="0.4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2" customHeight="1" x14ac:dyDescent="0.4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2" customHeight="1" x14ac:dyDescent="0.4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2" customHeight="1" x14ac:dyDescent="0.4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2" customHeight="1" x14ac:dyDescent="0.4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2" customHeight="1" x14ac:dyDescent="0.4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2" customHeight="1" x14ac:dyDescent="0.4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2" customHeight="1" x14ac:dyDescent="0.4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2" customHeight="1" x14ac:dyDescent="0.4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2" customHeight="1" x14ac:dyDescent="0.4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2" customHeight="1" x14ac:dyDescent="0.4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2" customHeight="1" x14ac:dyDescent="0.4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2" customHeight="1" x14ac:dyDescent="0.4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2" customHeight="1" x14ac:dyDescent="0.4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2" customHeight="1" x14ac:dyDescent="0.4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2" customHeight="1" x14ac:dyDescent="0.4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2" customHeight="1" x14ac:dyDescent="0.4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2" customHeight="1" x14ac:dyDescent="0.4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2" customHeight="1" x14ac:dyDescent="0.4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2" customHeight="1" x14ac:dyDescent="0.4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2" customHeight="1" x14ac:dyDescent="0.4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2" customHeight="1" x14ac:dyDescent="0.4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2" customHeight="1" x14ac:dyDescent="0.4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2" customHeight="1" x14ac:dyDescent="0.4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2" customHeight="1" x14ac:dyDescent="0.4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2" customHeight="1" x14ac:dyDescent="0.4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2" customHeight="1" x14ac:dyDescent="0.4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2" customHeight="1" x14ac:dyDescent="0.4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2" customHeight="1" x14ac:dyDescent="0.4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2" customHeight="1" x14ac:dyDescent="0.4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2" customHeight="1" x14ac:dyDescent="0.4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2" customHeight="1" x14ac:dyDescent="0.4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2" customHeight="1" x14ac:dyDescent="0.4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2" customHeight="1" x14ac:dyDescent="0.4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2" customHeight="1" x14ac:dyDescent="0.4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2" customHeight="1" x14ac:dyDescent="0.4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2" customHeight="1" x14ac:dyDescent="0.4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2" customHeight="1" x14ac:dyDescent="0.4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2" customHeight="1" x14ac:dyDescent="0.4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2" customHeight="1" x14ac:dyDescent="0.4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2" customHeight="1" x14ac:dyDescent="0.4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2" customHeight="1" x14ac:dyDescent="0.4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2" customHeight="1" x14ac:dyDescent="0.4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2" customHeight="1" x14ac:dyDescent="0.4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2" customHeight="1" x14ac:dyDescent="0.4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2" customHeight="1" x14ac:dyDescent="0.4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2" customHeight="1" x14ac:dyDescent="0.4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2" customHeight="1" x14ac:dyDescent="0.4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2" customHeight="1" x14ac:dyDescent="0.4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2" customHeight="1" x14ac:dyDescent="0.4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2" customHeight="1" x14ac:dyDescent="0.4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2" customHeight="1" x14ac:dyDescent="0.4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2" customHeight="1" x14ac:dyDescent="0.4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2" customHeight="1" x14ac:dyDescent="0.4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2" customHeight="1" x14ac:dyDescent="0.4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2" customHeight="1" x14ac:dyDescent="0.4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2" customHeight="1" x14ac:dyDescent="0.4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2" customHeight="1" x14ac:dyDescent="0.4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2" customHeight="1" x14ac:dyDescent="0.4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2" customHeight="1" x14ac:dyDescent="0.4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2" customHeight="1" x14ac:dyDescent="0.4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2" customHeight="1" x14ac:dyDescent="0.4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2" customHeight="1" x14ac:dyDescent="0.4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2" customHeight="1" x14ac:dyDescent="0.4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2" customHeight="1" x14ac:dyDescent="0.4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2" customHeight="1" x14ac:dyDescent="0.4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2" customHeight="1" x14ac:dyDescent="0.4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2" customHeight="1" x14ac:dyDescent="0.4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2" customHeight="1" x14ac:dyDescent="0.4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2" customHeight="1" x14ac:dyDescent="0.4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2" customHeight="1" x14ac:dyDescent="0.4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2" customHeight="1" x14ac:dyDescent="0.4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2" customHeight="1" x14ac:dyDescent="0.4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2" customHeight="1" x14ac:dyDescent="0.4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2" customHeight="1" x14ac:dyDescent="0.4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2" customHeight="1" x14ac:dyDescent="0.4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2" customHeight="1" x14ac:dyDescent="0.4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2" customHeight="1" x14ac:dyDescent="0.4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2" customHeight="1" x14ac:dyDescent="0.4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2" customHeight="1" x14ac:dyDescent="0.4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2" customHeight="1" x14ac:dyDescent="0.4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2" customHeight="1" x14ac:dyDescent="0.4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2" customHeight="1" x14ac:dyDescent="0.4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2" customHeight="1" x14ac:dyDescent="0.4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2" customHeight="1" x14ac:dyDescent="0.4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2" customHeight="1" x14ac:dyDescent="0.4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2" customHeight="1" x14ac:dyDescent="0.4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2" customHeight="1" x14ac:dyDescent="0.4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2" customHeight="1" x14ac:dyDescent="0.4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2" customHeight="1" x14ac:dyDescent="0.4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2" customHeight="1" x14ac:dyDescent="0.4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2" customHeight="1" x14ac:dyDescent="0.4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2" customHeight="1" x14ac:dyDescent="0.4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2" customHeight="1" x14ac:dyDescent="0.4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2" customHeight="1" x14ac:dyDescent="0.4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2" customHeight="1" x14ac:dyDescent="0.4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2" customHeight="1" x14ac:dyDescent="0.4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2" customHeight="1" x14ac:dyDescent="0.4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2" customHeight="1" x14ac:dyDescent="0.4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2" customHeight="1" x14ac:dyDescent="0.4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2" customHeight="1" x14ac:dyDescent="0.4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2" customHeight="1" x14ac:dyDescent="0.4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2" customHeight="1" x14ac:dyDescent="0.4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2" customHeight="1" x14ac:dyDescent="0.4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2" customHeight="1" x14ac:dyDescent="0.4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2" customHeight="1" x14ac:dyDescent="0.4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2" customHeight="1" x14ac:dyDescent="0.4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2" customHeight="1" x14ac:dyDescent="0.4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2" customHeight="1" x14ac:dyDescent="0.4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2" customHeight="1" x14ac:dyDescent="0.4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2" customHeight="1" x14ac:dyDescent="0.4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2" customHeight="1" x14ac:dyDescent="0.4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2" customHeight="1" x14ac:dyDescent="0.4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2" customHeight="1" x14ac:dyDescent="0.4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2" customHeight="1" x14ac:dyDescent="0.4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2" customHeight="1" x14ac:dyDescent="0.4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2" customHeight="1" x14ac:dyDescent="0.4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2" customHeight="1" x14ac:dyDescent="0.4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2" customHeight="1" x14ac:dyDescent="0.4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2" customHeight="1" x14ac:dyDescent="0.4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2" customHeight="1" x14ac:dyDescent="0.4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2" customHeight="1" x14ac:dyDescent="0.4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2" customHeight="1" x14ac:dyDescent="0.4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2" customHeight="1" x14ac:dyDescent="0.4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2" customHeight="1" x14ac:dyDescent="0.4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2" customHeight="1" x14ac:dyDescent="0.4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2" customHeight="1" x14ac:dyDescent="0.4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2" customHeight="1" x14ac:dyDescent="0.4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2" customHeight="1" x14ac:dyDescent="0.4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2" customHeight="1" x14ac:dyDescent="0.4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2" customHeight="1" x14ac:dyDescent="0.4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2" customHeight="1" x14ac:dyDescent="0.4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2" customHeight="1" x14ac:dyDescent="0.4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2" customHeight="1" x14ac:dyDescent="0.4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2" customHeight="1" x14ac:dyDescent="0.4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2" customHeight="1" x14ac:dyDescent="0.4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2" customHeight="1" x14ac:dyDescent="0.4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2" customHeight="1" x14ac:dyDescent="0.4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2" customHeight="1" x14ac:dyDescent="0.4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2" customHeight="1" x14ac:dyDescent="0.4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2" customHeight="1" x14ac:dyDescent="0.4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2" customHeight="1" x14ac:dyDescent="0.4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2" customHeight="1" x14ac:dyDescent="0.4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2" customHeight="1" x14ac:dyDescent="0.4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2" customHeight="1" x14ac:dyDescent="0.4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2" customHeight="1" x14ac:dyDescent="0.4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2" customHeight="1" x14ac:dyDescent="0.4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2" customHeight="1" x14ac:dyDescent="0.4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2" customHeight="1" x14ac:dyDescent="0.4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2" customHeight="1" x14ac:dyDescent="0.4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2" customHeight="1" x14ac:dyDescent="0.4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2" customHeight="1" x14ac:dyDescent="0.4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2" customHeight="1" x14ac:dyDescent="0.4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2" customHeight="1" x14ac:dyDescent="0.4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2" customHeight="1" x14ac:dyDescent="0.4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2" customHeight="1" x14ac:dyDescent="0.4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2" customHeight="1" x14ac:dyDescent="0.4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2" customHeight="1" x14ac:dyDescent="0.4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2" customHeight="1" x14ac:dyDescent="0.4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2" customHeight="1" x14ac:dyDescent="0.4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2" customHeight="1" x14ac:dyDescent="0.4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2" customHeight="1" x14ac:dyDescent="0.4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2" customHeight="1" x14ac:dyDescent="0.4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2" customHeight="1" x14ac:dyDescent="0.4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2" customHeight="1" x14ac:dyDescent="0.4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2" customHeight="1" x14ac:dyDescent="0.4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2" customHeight="1" x14ac:dyDescent="0.4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2" customHeight="1" x14ac:dyDescent="0.4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2" customHeight="1" x14ac:dyDescent="0.4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2" customHeight="1" x14ac:dyDescent="0.4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2" customHeight="1" x14ac:dyDescent="0.4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2" customHeight="1" x14ac:dyDescent="0.4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2" customHeight="1" x14ac:dyDescent="0.4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2" customHeight="1" x14ac:dyDescent="0.4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2" customHeight="1" x14ac:dyDescent="0.4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2" customHeight="1" x14ac:dyDescent="0.4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2" customHeight="1" x14ac:dyDescent="0.4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2" customHeight="1" x14ac:dyDescent="0.4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2" customHeight="1" x14ac:dyDescent="0.4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2" customHeight="1" x14ac:dyDescent="0.4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2" customHeight="1" x14ac:dyDescent="0.4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2" customHeight="1" x14ac:dyDescent="0.4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2" customHeight="1" x14ac:dyDescent="0.4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2" customHeight="1" x14ac:dyDescent="0.4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2" customHeight="1" x14ac:dyDescent="0.4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2" customHeight="1" x14ac:dyDescent="0.4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2" customHeight="1" x14ac:dyDescent="0.4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2" customHeight="1" x14ac:dyDescent="0.4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2" customHeight="1" x14ac:dyDescent="0.4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2" customHeight="1" x14ac:dyDescent="0.4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2" customHeight="1" x14ac:dyDescent="0.4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2" customHeight="1" x14ac:dyDescent="0.4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2" customHeight="1" x14ac:dyDescent="0.4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2" customHeight="1" x14ac:dyDescent="0.4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2" customHeight="1" x14ac:dyDescent="0.4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2" customHeight="1" x14ac:dyDescent="0.4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2" customHeight="1" x14ac:dyDescent="0.4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2" customHeight="1" x14ac:dyDescent="0.4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2" customHeight="1" x14ac:dyDescent="0.4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2" customHeight="1" x14ac:dyDescent="0.4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2" customHeight="1" x14ac:dyDescent="0.4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2" customHeight="1" x14ac:dyDescent="0.4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2" customHeight="1" x14ac:dyDescent="0.4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2" customHeight="1" x14ac:dyDescent="0.4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2" customHeight="1" x14ac:dyDescent="0.4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2" customHeight="1" x14ac:dyDescent="0.4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2" customHeight="1" x14ac:dyDescent="0.4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2" customHeight="1" x14ac:dyDescent="0.4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2" customHeight="1" x14ac:dyDescent="0.4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2" customHeight="1" x14ac:dyDescent="0.4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2" customHeight="1" x14ac:dyDescent="0.4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2" customHeight="1" x14ac:dyDescent="0.4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2" customHeight="1" x14ac:dyDescent="0.4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2" customHeight="1" x14ac:dyDescent="0.4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2" customHeight="1" x14ac:dyDescent="0.4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2" customHeight="1" x14ac:dyDescent="0.4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2" customHeight="1" x14ac:dyDescent="0.4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2" customHeight="1" x14ac:dyDescent="0.4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2" customHeight="1" x14ac:dyDescent="0.4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2" customHeight="1" x14ac:dyDescent="0.4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2" customHeight="1" x14ac:dyDescent="0.4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2" customHeight="1" x14ac:dyDescent="0.4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2" customHeight="1" x14ac:dyDescent="0.4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2" customHeight="1" x14ac:dyDescent="0.4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2" customHeight="1" x14ac:dyDescent="0.4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2" customHeight="1" x14ac:dyDescent="0.4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2" customHeight="1" x14ac:dyDescent="0.4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2" customHeight="1" x14ac:dyDescent="0.4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2" customHeight="1" x14ac:dyDescent="0.4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2" customHeight="1" x14ac:dyDescent="0.4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2" customHeight="1" x14ac:dyDescent="0.4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2" customHeight="1" x14ac:dyDescent="0.4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2" customHeight="1" x14ac:dyDescent="0.4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2" customHeight="1" x14ac:dyDescent="0.4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2" customHeight="1" x14ac:dyDescent="0.4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2" customHeight="1" x14ac:dyDescent="0.4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2" customHeight="1" x14ac:dyDescent="0.4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2" customHeight="1" x14ac:dyDescent="0.4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2" customHeight="1" x14ac:dyDescent="0.4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2" customHeight="1" x14ac:dyDescent="0.4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2" customHeight="1" x14ac:dyDescent="0.4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2" customHeight="1" x14ac:dyDescent="0.4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2" customHeight="1" x14ac:dyDescent="0.4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2" customHeight="1" x14ac:dyDescent="0.4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2" customHeight="1" x14ac:dyDescent="0.4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2" customHeight="1" x14ac:dyDescent="0.4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2" customHeight="1" x14ac:dyDescent="0.4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2" customHeight="1" x14ac:dyDescent="0.4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2" customHeight="1" x14ac:dyDescent="0.4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2" customHeight="1" x14ac:dyDescent="0.4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2" customHeight="1" x14ac:dyDescent="0.4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2" customHeight="1" x14ac:dyDescent="0.4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2" customHeight="1" x14ac:dyDescent="0.4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2" customHeight="1" x14ac:dyDescent="0.4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2" customHeight="1" x14ac:dyDescent="0.4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2" customHeight="1" x14ac:dyDescent="0.4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2" customHeight="1" x14ac:dyDescent="0.4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2" customHeight="1" x14ac:dyDescent="0.4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2" customHeight="1" x14ac:dyDescent="0.4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2" customHeight="1" x14ac:dyDescent="0.4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2" customHeight="1" x14ac:dyDescent="0.4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2" customHeight="1" x14ac:dyDescent="0.4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2" customHeight="1" x14ac:dyDescent="0.4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2" customHeight="1" x14ac:dyDescent="0.4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2" customHeight="1" x14ac:dyDescent="0.4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2" customHeight="1" x14ac:dyDescent="0.4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2" customHeight="1" x14ac:dyDescent="0.4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2" customHeight="1" x14ac:dyDescent="0.4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2" customHeight="1" x14ac:dyDescent="0.4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2" customHeight="1" x14ac:dyDescent="0.4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2" customHeight="1" x14ac:dyDescent="0.4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2" customHeight="1" x14ac:dyDescent="0.4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2" customHeight="1" x14ac:dyDescent="0.4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2" customHeight="1" x14ac:dyDescent="0.4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2" customHeight="1" x14ac:dyDescent="0.4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2" customHeight="1" x14ac:dyDescent="0.4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2" customHeight="1" x14ac:dyDescent="0.4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2" customHeight="1" x14ac:dyDescent="0.4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2" customHeight="1" x14ac:dyDescent="0.4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2" customHeight="1" x14ac:dyDescent="0.4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2" customHeight="1" x14ac:dyDescent="0.4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2" customHeight="1" x14ac:dyDescent="0.4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2" customHeight="1" x14ac:dyDescent="0.4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2" customHeight="1" x14ac:dyDescent="0.4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2" customHeight="1" x14ac:dyDescent="0.4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2" customHeight="1" x14ac:dyDescent="0.4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2" customHeight="1" x14ac:dyDescent="0.4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2" customHeight="1" x14ac:dyDescent="0.4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2" customHeight="1" x14ac:dyDescent="0.4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2" customHeight="1" x14ac:dyDescent="0.4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2" customHeight="1" x14ac:dyDescent="0.4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2" customHeight="1" x14ac:dyDescent="0.4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2" customHeight="1" x14ac:dyDescent="0.4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2" customHeight="1" x14ac:dyDescent="0.4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2" customHeight="1" x14ac:dyDescent="0.4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2" customHeight="1" x14ac:dyDescent="0.4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2" customHeight="1" x14ac:dyDescent="0.4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2" customHeight="1" x14ac:dyDescent="0.4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2" customHeight="1" x14ac:dyDescent="0.4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2" customHeight="1" x14ac:dyDescent="0.4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2" customHeight="1" x14ac:dyDescent="0.4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2" customHeight="1" x14ac:dyDescent="0.4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2" customHeight="1" x14ac:dyDescent="0.4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2" customHeight="1" x14ac:dyDescent="0.4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2" customHeight="1" x14ac:dyDescent="0.4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2" customHeight="1" x14ac:dyDescent="0.4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2" customHeight="1" x14ac:dyDescent="0.4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2" customHeight="1" x14ac:dyDescent="0.4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2" customHeight="1" x14ac:dyDescent="0.4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2" customHeight="1" x14ac:dyDescent="0.4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2" customHeight="1" x14ac:dyDescent="0.4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2" customHeight="1" x14ac:dyDescent="0.4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2" customHeight="1" x14ac:dyDescent="0.4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2" customHeight="1" x14ac:dyDescent="0.4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2" customHeight="1" x14ac:dyDescent="0.4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2" customHeight="1" x14ac:dyDescent="0.4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2" customHeight="1" x14ac:dyDescent="0.4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2" customHeight="1" x14ac:dyDescent="0.4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2" customHeight="1" x14ac:dyDescent="0.4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2" customHeight="1" x14ac:dyDescent="0.4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2" customHeight="1" x14ac:dyDescent="0.4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2" customHeight="1" x14ac:dyDescent="0.4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2" customHeight="1" x14ac:dyDescent="0.4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2" customHeight="1" x14ac:dyDescent="0.4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2" customHeight="1" x14ac:dyDescent="0.4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2" customHeight="1" x14ac:dyDescent="0.4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2" customHeight="1" x14ac:dyDescent="0.4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2" customHeight="1" x14ac:dyDescent="0.4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2" customHeight="1" x14ac:dyDescent="0.4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2" customHeight="1" x14ac:dyDescent="0.4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2" customHeight="1" x14ac:dyDescent="0.4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2" customHeight="1" x14ac:dyDescent="0.4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2" customHeight="1" x14ac:dyDescent="0.4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2" customHeight="1" x14ac:dyDescent="0.4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2" customHeight="1" x14ac:dyDescent="0.4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2" customHeight="1" x14ac:dyDescent="0.4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2" customHeight="1" x14ac:dyDescent="0.4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2" customHeight="1" x14ac:dyDescent="0.4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2" customHeight="1" x14ac:dyDescent="0.4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2" customHeight="1" x14ac:dyDescent="0.4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2" customHeight="1" x14ac:dyDescent="0.4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2" customHeight="1" x14ac:dyDescent="0.4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2" customHeight="1" x14ac:dyDescent="0.4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2" customHeight="1" x14ac:dyDescent="0.4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2" customHeight="1" x14ac:dyDescent="0.4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2" customHeight="1" x14ac:dyDescent="0.4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2" customHeight="1" x14ac:dyDescent="0.4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2" customHeight="1" x14ac:dyDescent="0.4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2" customHeight="1" x14ac:dyDescent="0.4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2" customHeight="1" x14ac:dyDescent="0.4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2" customHeight="1" x14ac:dyDescent="0.4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2" customHeight="1" x14ac:dyDescent="0.4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2" customHeight="1" x14ac:dyDescent="0.4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2" customHeight="1" x14ac:dyDescent="0.4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2" customHeight="1" x14ac:dyDescent="0.4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2" customHeight="1" x14ac:dyDescent="0.4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2" customHeight="1" x14ac:dyDescent="0.4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2" customHeight="1" x14ac:dyDescent="0.4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2" customHeight="1" x14ac:dyDescent="0.4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2" customHeight="1" x14ac:dyDescent="0.4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2" customHeight="1" x14ac:dyDescent="0.4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2" customHeight="1" x14ac:dyDescent="0.4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2" customHeight="1" x14ac:dyDescent="0.4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2" customHeight="1" x14ac:dyDescent="0.4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2" customHeight="1" x14ac:dyDescent="0.4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2" customHeight="1" x14ac:dyDescent="0.4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2" customHeight="1" x14ac:dyDescent="0.4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2" customHeight="1" x14ac:dyDescent="0.4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2" customHeight="1" x14ac:dyDescent="0.4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2" customHeight="1" x14ac:dyDescent="0.4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2" customHeight="1" x14ac:dyDescent="0.4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2" customHeight="1" x14ac:dyDescent="0.4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2" customHeight="1" x14ac:dyDescent="0.4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2" customHeight="1" x14ac:dyDescent="0.4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2" customHeight="1" x14ac:dyDescent="0.4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2" customHeight="1" x14ac:dyDescent="0.4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2" customHeight="1" x14ac:dyDescent="0.4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2" customHeight="1" x14ac:dyDescent="0.4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2" customHeight="1" x14ac:dyDescent="0.4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2" customHeight="1" x14ac:dyDescent="0.4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2" customHeight="1" x14ac:dyDescent="0.4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2" customHeight="1" x14ac:dyDescent="0.4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2" customHeight="1" x14ac:dyDescent="0.4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2" customHeight="1" x14ac:dyDescent="0.4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2" customHeight="1" x14ac:dyDescent="0.4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2" customHeight="1" x14ac:dyDescent="0.4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2" customHeight="1" x14ac:dyDescent="0.4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2" customHeight="1" x14ac:dyDescent="0.4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2" customHeight="1" x14ac:dyDescent="0.4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2" customHeight="1" x14ac:dyDescent="0.4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2" customHeight="1" x14ac:dyDescent="0.4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2" customHeight="1" x14ac:dyDescent="0.4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2" customHeight="1" x14ac:dyDescent="0.4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2" customHeight="1" x14ac:dyDescent="0.4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2" customHeight="1" x14ac:dyDescent="0.4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2" customHeight="1" x14ac:dyDescent="0.4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2" customHeight="1" x14ac:dyDescent="0.4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2" customHeight="1" x14ac:dyDescent="0.4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2" customHeight="1" x14ac:dyDescent="0.4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2" customHeight="1" x14ac:dyDescent="0.4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2" customHeight="1" x14ac:dyDescent="0.4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2" customHeight="1" x14ac:dyDescent="0.4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2" customHeight="1" x14ac:dyDescent="0.4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2" customHeight="1" x14ac:dyDescent="0.4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2" customHeight="1" x14ac:dyDescent="0.4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2" customHeight="1" x14ac:dyDescent="0.4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2" customHeight="1" x14ac:dyDescent="0.4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2" customHeight="1" x14ac:dyDescent="0.4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2" customHeight="1" x14ac:dyDescent="0.4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2" customHeight="1" x14ac:dyDescent="0.4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2" customHeight="1" x14ac:dyDescent="0.4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2" customHeight="1" x14ac:dyDescent="0.4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2" customHeight="1" x14ac:dyDescent="0.4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2" customHeight="1" x14ac:dyDescent="0.4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2" customHeight="1" x14ac:dyDescent="0.4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2" customHeight="1" x14ac:dyDescent="0.4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2" customHeight="1" x14ac:dyDescent="0.4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2" customHeight="1" x14ac:dyDescent="0.4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2" customHeight="1" x14ac:dyDescent="0.4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2" customHeight="1" x14ac:dyDescent="0.4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2" customHeight="1" x14ac:dyDescent="0.4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2" customHeight="1" x14ac:dyDescent="0.4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2" customHeight="1" x14ac:dyDescent="0.4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2" customHeight="1" x14ac:dyDescent="0.4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2" customHeight="1" x14ac:dyDescent="0.4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2" customHeight="1" x14ac:dyDescent="0.4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2" customHeight="1" x14ac:dyDescent="0.4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2" customHeight="1" x14ac:dyDescent="0.4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2" customHeight="1" x14ac:dyDescent="0.4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2" customHeight="1" x14ac:dyDescent="0.4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2" customHeight="1" x14ac:dyDescent="0.4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2" customHeight="1" x14ac:dyDescent="0.4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2" customHeight="1" x14ac:dyDescent="0.4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2" customHeight="1" x14ac:dyDescent="0.4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2" customHeight="1" x14ac:dyDescent="0.4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2" customHeight="1" x14ac:dyDescent="0.4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2" customHeight="1" x14ac:dyDescent="0.4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2" customHeight="1" x14ac:dyDescent="0.4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2" customHeight="1" x14ac:dyDescent="0.4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2" customHeight="1" x14ac:dyDescent="0.4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2" customHeight="1" x14ac:dyDescent="0.4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2" customHeight="1" x14ac:dyDescent="0.4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2" customHeight="1" x14ac:dyDescent="0.4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2" customHeight="1" x14ac:dyDescent="0.4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2" customHeight="1" x14ac:dyDescent="0.4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2" customHeight="1" x14ac:dyDescent="0.4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2" customHeight="1" x14ac:dyDescent="0.4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2" customHeight="1" x14ac:dyDescent="0.4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2" customHeight="1" x14ac:dyDescent="0.4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2" customHeight="1" x14ac:dyDescent="0.4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2" customHeight="1" x14ac:dyDescent="0.4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2" customHeight="1" x14ac:dyDescent="0.4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2" customHeight="1" x14ac:dyDescent="0.4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2" customHeight="1" x14ac:dyDescent="0.4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2" customHeight="1" x14ac:dyDescent="0.4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2" customHeight="1" x14ac:dyDescent="0.4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2" customHeight="1" x14ac:dyDescent="0.4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2" customHeight="1" x14ac:dyDescent="0.4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2" customHeight="1" x14ac:dyDescent="0.4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2" customHeight="1" x14ac:dyDescent="0.4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2" customHeight="1" x14ac:dyDescent="0.4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2" customHeight="1" x14ac:dyDescent="0.4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2" customHeight="1" x14ac:dyDescent="0.4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2" customHeight="1" x14ac:dyDescent="0.4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2" customHeight="1" x14ac:dyDescent="0.4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2" customHeight="1" x14ac:dyDescent="0.4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2" customHeight="1" x14ac:dyDescent="0.4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2" customHeight="1" x14ac:dyDescent="0.4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2" customHeight="1" x14ac:dyDescent="0.4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2" customHeight="1" x14ac:dyDescent="0.4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2" customHeight="1" x14ac:dyDescent="0.4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2" customHeight="1" x14ac:dyDescent="0.4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2" customHeight="1" x14ac:dyDescent="0.4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2" customHeight="1" x14ac:dyDescent="0.4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2" customHeight="1" x14ac:dyDescent="0.4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2" customHeight="1" x14ac:dyDescent="0.4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2" customHeight="1" x14ac:dyDescent="0.4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2" customHeight="1" x14ac:dyDescent="0.4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2" customHeight="1" x14ac:dyDescent="0.4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2" customHeight="1" x14ac:dyDescent="0.4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2" customHeight="1" x14ac:dyDescent="0.4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2" customHeight="1" x14ac:dyDescent="0.4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2" customHeight="1" x14ac:dyDescent="0.4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2" customHeight="1" x14ac:dyDescent="0.4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2" customHeight="1" x14ac:dyDescent="0.4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2" customHeight="1" x14ac:dyDescent="0.4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2" customHeight="1" x14ac:dyDescent="0.4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2" customHeight="1" x14ac:dyDescent="0.4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2" customHeight="1" x14ac:dyDescent="0.4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2" customHeight="1" x14ac:dyDescent="0.4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2" customHeight="1" x14ac:dyDescent="0.4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2" customHeight="1" x14ac:dyDescent="0.4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2" customHeight="1" x14ac:dyDescent="0.4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2" customHeight="1" x14ac:dyDescent="0.4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2" customHeight="1" x14ac:dyDescent="0.4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2" customHeight="1" x14ac:dyDescent="0.4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2" customHeight="1" x14ac:dyDescent="0.4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2" customHeight="1" x14ac:dyDescent="0.4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2" customHeight="1" x14ac:dyDescent="0.4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2" customHeight="1" x14ac:dyDescent="0.4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2" customHeight="1" x14ac:dyDescent="0.4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2" customHeight="1" x14ac:dyDescent="0.4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2" customHeight="1" x14ac:dyDescent="0.4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2" customHeight="1" x14ac:dyDescent="0.4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2" customHeight="1" x14ac:dyDescent="0.4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2" customHeight="1" x14ac:dyDescent="0.4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2" customHeight="1" x14ac:dyDescent="0.4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2" customHeight="1" x14ac:dyDescent="0.4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2" customHeight="1" x14ac:dyDescent="0.4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2" customHeight="1" x14ac:dyDescent="0.4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2" customHeight="1" x14ac:dyDescent="0.4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2" customHeight="1" x14ac:dyDescent="0.4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2" customHeight="1" x14ac:dyDescent="0.4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2" customHeight="1" x14ac:dyDescent="0.4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2" customHeight="1" x14ac:dyDescent="0.4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2" customHeight="1" x14ac:dyDescent="0.4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2" customHeight="1" x14ac:dyDescent="0.4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2" customHeight="1" x14ac:dyDescent="0.4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2" customHeight="1" x14ac:dyDescent="0.4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2" customHeight="1" x14ac:dyDescent="0.4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2" customHeight="1" x14ac:dyDescent="0.4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2" customHeight="1" x14ac:dyDescent="0.4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2" customHeight="1" x14ac:dyDescent="0.4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2" customHeight="1" x14ac:dyDescent="0.4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2" customHeight="1" x14ac:dyDescent="0.4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2" customHeight="1" x14ac:dyDescent="0.4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2" customHeight="1" x14ac:dyDescent="0.4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2" customHeight="1" x14ac:dyDescent="0.4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2" customHeight="1" x14ac:dyDescent="0.4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2" customHeight="1" x14ac:dyDescent="0.4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2" customHeight="1" x14ac:dyDescent="0.4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2" customHeight="1" x14ac:dyDescent="0.4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2" customHeight="1" x14ac:dyDescent="0.4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2" customHeight="1" x14ac:dyDescent="0.4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2" customHeight="1" x14ac:dyDescent="0.4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2" customHeight="1" x14ac:dyDescent="0.4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2" customHeight="1" x14ac:dyDescent="0.4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2" customHeight="1" x14ac:dyDescent="0.4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2" customHeight="1" x14ac:dyDescent="0.4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2" customHeight="1" x14ac:dyDescent="0.4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2" customHeight="1" x14ac:dyDescent="0.4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2" customHeight="1" x14ac:dyDescent="0.4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2" customHeight="1" x14ac:dyDescent="0.4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2" customHeight="1" x14ac:dyDescent="0.4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2" customHeight="1" x14ac:dyDescent="0.4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2" customHeight="1" x14ac:dyDescent="0.4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2" customHeight="1" x14ac:dyDescent="0.4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2" customHeight="1" x14ac:dyDescent="0.4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2" customHeight="1" x14ac:dyDescent="0.4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2" customHeight="1" x14ac:dyDescent="0.4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2" customHeight="1" x14ac:dyDescent="0.4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2" customHeight="1" x14ac:dyDescent="0.4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2" customHeight="1" x14ac:dyDescent="0.4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2" customHeight="1" x14ac:dyDescent="0.4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2" customHeight="1" x14ac:dyDescent="0.4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2" customHeight="1" x14ac:dyDescent="0.4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2" customHeight="1" x14ac:dyDescent="0.4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2" customHeight="1" x14ac:dyDescent="0.4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2" customHeight="1" x14ac:dyDescent="0.4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2" customHeight="1" x14ac:dyDescent="0.4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2" customHeight="1" x14ac:dyDescent="0.4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2" customHeight="1" x14ac:dyDescent="0.4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2" customHeight="1" x14ac:dyDescent="0.4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2" customHeight="1" x14ac:dyDescent="0.4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2" customHeight="1" x14ac:dyDescent="0.4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2" customHeight="1" x14ac:dyDescent="0.4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2" customHeight="1" x14ac:dyDescent="0.4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2" customHeight="1" x14ac:dyDescent="0.4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2" customHeight="1" x14ac:dyDescent="0.4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2" customHeight="1" x14ac:dyDescent="0.4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2" customHeight="1" x14ac:dyDescent="0.4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2" customHeight="1" x14ac:dyDescent="0.4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2" customHeight="1" x14ac:dyDescent="0.4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2" customHeight="1" x14ac:dyDescent="0.4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2" customHeight="1" x14ac:dyDescent="0.4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2" customHeight="1" x14ac:dyDescent="0.4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2" customHeight="1" x14ac:dyDescent="0.4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2" customHeight="1" x14ac:dyDescent="0.4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2" customHeight="1" x14ac:dyDescent="0.4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2" customHeight="1" x14ac:dyDescent="0.4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2" customHeight="1" x14ac:dyDescent="0.4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2" customHeight="1" x14ac:dyDescent="0.4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2" customHeight="1" x14ac:dyDescent="0.4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2" customHeight="1" x14ac:dyDescent="0.4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2" customHeight="1" x14ac:dyDescent="0.4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2" customHeight="1" x14ac:dyDescent="0.4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2" customHeight="1" x14ac:dyDescent="0.4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2" customHeight="1" x14ac:dyDescent="0.4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2" customHeight="1" x14ac:dyDescent="0.4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2" customHeight="1" x14ac:dyDescent="0.4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2" customHeight="1" x14ac:dyDescent="0.4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2" customHeight="1" x14ac:dyDescent="0.4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2" customHeight="1" x14ac:dyDescent="0.4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2" customHeight="1" x14ac:dyDescent="0.4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2" customHeight="1" x14ac:dyDescent="0.4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2" customHeight="1" x14ac:dyDescent="0.4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2" customHeight="1" x14ac:dyDescent="0.4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2" customHeight="1" x14ac:dyDescent="0.4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2" customHeight="1" x14ac:dyDescent="0.4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2" customHeight="1" x14ac:dyDescent="0.4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2" customHeight="1" x14ac:dyDescent="0.4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2" customHeight="1" x14ac:dyDescent="0.4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2" customHeight="1" x14ac:dyDescent="0.4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2" customHeight="1" x14ac:dyDescent="0.4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2" customHeight="1" x14ac:dyDescent="0.4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2" customHeight="1" x14ac:dyDescent="0.4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2" customHeight="1" x14ac:dyDescent="0.4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2" customHeight="1" x14ac:dyDescent="0.4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2" customHeight="1" x14ac:dyDescent="0.4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2" customHeight="1" x14ac:dyDescent="0.4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2" customHeight="1" x14ac:dyDescent="0.4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2" customHeight="1" x14ac:dyDescent="0.4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2" customHeight="1" x14ac:dyDescent="0.4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2" customHeight="1" x14ac:dyDescent="0.4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2" customHeight="1" x14ac:dyDescent="0.4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2" customHeight="1" x14ac:dyDescent="0.4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2" customHeight="1" x14ac:dyDescent="0.4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2" customHeight="1" x14ac:dyDescent="0.4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2" customHeight="1" x14ac:dyDescent="0.4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2" customHeight="1" x14ac:dyDescent="0.4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2" customHeight="1" x14ac:dyDescent="0.4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2" customHeight="1" x14ac:dyDescent="0.4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2" customHeight="1" x14ac:dyDescent="0.4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2" customHeight="1" x14ac:dyDescent="0.4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2" customHeight="1" x14ac:dyDescent="0.4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2" customHeight="1" x14ac:dyDescent="0.4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2" customHeight="1" x14ac:dyDescent="0.4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2" customHeight="1" x14ac:dyDescent="0.4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2" customHeight="1" x14ac:dyDescent="0.4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2" customHeight="1" x14ac:dyDescent="0.4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2" customHeight="1" x14ac:dyDescent="0.4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2" customHeight="1" x14ac:dyDescent="0.4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2" customHeight="1" x14ac:dyDescent="0.4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2" customHeight="1" x14ac:dyDescent="0.4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2" customHeight="1" x14ac:dyDescent="0.4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2" customHeight="1" x14ac:dyDescent="0.4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2" customHeight="1" x14ac:dyDescent="0.4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2" customHeight="1" x14ac:dyDescent="0.4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2" customHeight="1" x14ac:dyDescent="0.4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2" customHeight="1" x14ac:dyDescent="0.4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2" customHeight="1" x14ac:dyDescent="0.4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2" customHeight="1" x14ac:dyDescent="0.4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2" customHeight="1" x14ac:dyDescent="0.4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2" customHeight="1" x14ac:dyDescent="0.4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2" customHeight="1" x14ac:dyDescent="0.4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2" customHeight="1" x14ac:dyDescent="0.4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2" customHeight="1" x14ac:dyDescent="0.4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2" customHeight="1" x14ac:dyDescent="0.4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2" customHeight="1" x14ac:dyDescent="0.4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2" customHeight="1" x14ac:dyDescent="0.4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2" customHeight="1" x14ac:dyDescent="0.4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2" customHeight="1" x14ac:dyDescent="0.4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2" customHeight="1" x14ac:dyDescent="0.4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2" customHeight="1" x14ac:dyDescent="0.4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2" customHeight="1" x14ac:dyDescent="0.4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2" customHeight="1" x14ac:dyDescent="0.4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2" customHeight="1" x14ac:dyDescent="0.4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2" customHeight="1" x14ac:dyDescent="0.4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2" customHeight="1" x14ac:dyDescent="0.4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2" customHeight="1" x14ac:dyDescent="0.4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2" customHeight="1" x14ac:dyDescent="0.4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2" customHeight="1" x14ac:dyDescent="0.4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2" customHeight="1" x14ac:dyDescent="0.4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2" customHeight="1" x14ac:dyDescent="0.4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2" customHeight="1" x14ac:dyDescent="0.4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2" customHeight="1" x14ac:dyDescent="0.4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2" customHeight="1" x14ac:dyDescent="0.4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2" customHeight="1" x14ac:dyDescent="0.4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2" customHeight="1" x14ac:dyDescent="0.4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2" customHeight="1" x14ac:dyDescent="0.4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2" customHeight="1" x14ac:dyDescent="0.4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2" customHeight="1" x14ac:dyDescent="0.4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2" customHeight="1" x14ac:dyDescent="0.4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2" customHeight="1" x14ac:dyDescent="0.4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2" customHeight="1" x14ac:dyDescent="0.4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2" customHeight="1" x14ac:dyDescent="0.4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2" customHeight="1" x14ac:dyDescent="0.4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2" customHeight="1" x14ac:dyDescent="0.4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2" customHeight="1" x14ac:dyDescent="0.4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2" customHeight="1" x14ac:dyDescent="0.4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2" customHeight="1" x14ac:dyDescent="0.4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2" customHeight="1" x14ac:dyDescent="0.4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2" customHeight="1" x14ac:dyDescent="0.4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2" customHeight="1" x14ac:dyDescent="0.4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2" customHeight="1" x14ac:dyDescent="0.4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2" customHeight="1" x14ac:dyDescent="0.4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2" customHeight="1" x14ac:dyDescent="0.4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2" customHeight="1" x14ac:dyDescent="0.4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2" customHeight="1" x14ac:dyDescent="0.4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2" customHeight="1" x14ac:dyDescent="0.4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2" customHeight="1" x14ac:dyDescent="0.4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2" customHeight="1" x14ac:dyDescent="0.4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2" customHeight="1" x14ac:dyDescent="0.4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2" customHeight="1" x14ac:dyDescent="0.4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2" customHeight="1" x14ac:dyDescent="0.4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2" customHeight="1" x14ac:dyDescent="0.4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2" customHeight="1" x14ac:dyDescent="0.4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2" customHeight="1" x14ac:dyDescent="0.4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2" customHeight="1" x14ac:dyDescent="0.4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2" customHeight="1" x14ac:dyDescent="0.4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2" customHeight="1" x14ac:dyDescent="0.4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2" customHeight="1" x14ac:dyDescent="0.4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2" customHeight="1" x14ac:dyDescent="0.4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2" customHeight="1" x14ac:dyDescent="0.4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2" customHeight="1" x14ac:dyDescent="0.4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2" customHeight="1" x14ac:dyDescent="0.4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2" customHeight="1" x14ac:dyDescent="0.4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2" customHeight="1" x14ac:dyDescent="0.4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2" customHeight="1" x14ac:dyDescent="0.4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2" customHeight="1" x14ac:dyDescent="0.4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2" customHeight="1" x14ac:dyDescent="0.4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2" customHeight="1" x14ac:dyDescent="0.4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2" customHeight="1" x14ac:dyDescent="0.4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2" customHeight="1" x14ac:dyDescent="0.4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2" customHeight="1" x14ac:dyDescent="0.4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2" customHeight="1" x14ac:dyDescent="0.4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2" customHeight="1" x14ac:dyDescent="0.4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2" customHeight="1" x14ac:dyDescent="0.4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2" customHeight="1" x14ac:dyDescent="0.4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2" customHeight="1" x14ac:dyDescent="0.4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2" customHeight="1" x14ac:dyDescent="0.4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2" customHeight="1" x14ac:dyDescent="0.4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2" customHeight="1" x14ac:dyDescent="0.4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2" customHeight="1" x14ac:dyDescent="0.4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2" customHeight="1" x14ac:dyDescent="0.4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2" customHeight="1" x14ac:dyDescent="0.4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2" customHeight="1" x14ac:dyDescent="0.4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2" customHeight="1" x14ac:dyDescent="0.4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2" customHeight="1" x14ac:dyDescent="0.4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2" customHeight="1" x14ac:dyDescent="0.4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2" customHeight="1" x14ac:dyDescent="0.4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2" customHeight="1" x14ac:dyDescent="0.4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2" customHeight="1" x14ac:dyDescent="0.4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2" customHeight="1" x14ac:dyDescent="0.4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2" customHeight="1" x14ac:dyDescent="0.4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2" customHeight="1" x14ac:dyDescent="0.4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2" customHeight="1" x14ac:dyDescent="0.4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2" customHeight="1" x14ac:dyDescent="0.4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2" customHeight="1" x14ac:dyDescent="0.4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2" customHeight="1" x14ac:dyDescent="0.4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2" customHeight="1" x14ac:dyDescent="0.4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2" customHeight="1" x14ac:dyDescent="0.4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2" customHeight="1" x14ac:dyDescent="0.4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2" customHeight="1" x14ac:dyDescent="0.4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2" customHeight="1" x14ac:dyDescent="0.4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2" customHeight="1" x14ac:dyDescent="0.4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2" customHeight="1" x14ac:dyDescent="0.4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2" customHeight="1" x14ac:dyDescent="0.4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2" customHeight="1" x14ac:dyDescent="0.4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2" customHeight="1" x14ac:dyDescent="0.4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2" customHeight="1" x14ac:dyDescent="0.4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2" customHeight="1" x14ac:dyDescent="0.4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2" customHeight="1" x14ac:dyDescent="0.4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2" customHeight="1" x14ac:dyDescent="0.4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2" customHeight="1" x14ac:dyDescent="0.4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2" customHeight="1" x14ac:dyDescent="0.4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2" customHeight="1" x14ac:dyDescent="0.4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2" customHeight="1" x14ac:dyDescent="0.4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2" customHeight="1" x14ac:dyDescent="0.4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2" customHeight="1" x14ac:dyDescent="0.4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2" customHeight="1" x14ac:dyDescent="0.4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2" customHeight="1" x14ac:dyDescent="0.4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2" customHeight="1" x14ac:dyDescent="0.4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2" customHeight="1" x14ac:dyDescent="0.4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2" customHeight="1" x14ac:dyDescent="0.4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2" customHeight="1" x14ac:dyDescent="0.4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2" customHeight="1" x14ac:dyDescent="0.4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2" customHeight="1" x14ac:dyDescent="0.4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2" customHeight="1" x14ac:dyDescent="0.4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2" customHeight="1" x14ac:dyDescent="0.4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2" customHeight="1" x14ac:dyDescent="0.4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2" customHeight="1" x14ac:dyDescent="0.4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2" customHeight="1" x14ac:dyDescent="0.4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2" customHeight="1" x14ac:dyDescent="0.4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2" customHeight="1" x14ac:dyDescent="0.4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2" customHeight="1" x14ac:dyDescent="0.4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2" customHeight="1" x14ac:dyDescent="0.4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2" customHeight="1" x14ac:dyDescent="0.4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2" customHeight="1" x14ac:dyDescent="0.4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2" customHeight="1" x14ac:dyDescent="0.4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2" customHeight="1" x14ac:dyDescent="0.4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2" customHeight="1" x14ac:dyDescent="0.4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2" customHeight="1" x14ac:dyDescent="0.4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2" customHeight="1" x14ac:dyDescent="0.4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2" customHeight="1" x14ac:dyDescent="0.4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2" customHeight="1" x14ac:dyDescent="0.4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2" customHeight="1" x14ac:dyDescent="0.4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2" customHeight="1" x14ac:dyDescent="0.4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2" customHeight="1" x14ac:dyDescent="0.4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2" customHeight="1" x14ac:dyDescent="0.4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2" customHeight="1" x14ac:dyDescent="0.4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2" customHeight="1" x14ac:dyDescent="0.4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2" customHeight="1" x14ac:dyDescent="0.4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2" customHeight="1" x14ac:dyDescent="0.4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2" customHeight="1" x14ac:dyDescent="0.4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2" customHeight="1" x14ac:dyDescent="0.4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2" customHeight="1" x14ac:dyDescent="0.4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2" customHeight="1" x14ac:dyDescent="0.4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2" customHeight="1" x14ac:dyDescent="0.4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2" customHeight="1" x14ac:dyDescent="0.4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2" customHeight="1" x14ac:dyDescent="0.4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2" customHeight="1" x14ac:dyDescent="0.4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2" customHeight="1" x14ac:dyDescent="0.4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2" customHeight="1" x14ac:dyDescent="0.4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2" customHeight="1" x14ac:dyDescent="0.4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2" customHeight="1" x14ac:dyDescent="0.4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2" customHeight="1" x14ac:dyDescent="0.4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2" customHeight="1" x14ac:dyDescent="0.4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2" customHeight="1" x14ac:dyDescent="0.4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2" customHeight="1" x14ac:dyDescent="0.4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2" customHeight="1" x14ac:dyDescent="0.4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2" customHeight="1" x14ac:dyDescent="0.4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2" customHeight="1" x14ac:dyDescent="0.4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2" customHeight="1" x14ac:dyDescent="0.4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2" customHeight="1" x14ac:dyDescent="0.4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2" customHeight="1" x14ac:dyDescent="0.4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2" customHeight="1" x14ac:dyDescent="0.4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2" customHeight="1" x14ac:dyDescent="0.4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2" customHeight="1" x14ac:dyDescent="0.4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2" customHeight="1" x14ac:dyDescent="0.4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2" customHeight="1" x14ac:dyDescent="0.4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2" customHeight="1" x14ac:dyDescent="0.4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2" customHeight="1" x14ac:dyDescent="0.4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2" customHeight="1" x14ac:dyDescent="0.4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2" customHeight="1" x14ac:dyDescent="0.4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2" customHeight="1" x14ac:dyDescent="0.4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2" customHeight="1" x14ac:dyDescent="0.4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2" customHeight="1" x14ac:dyDescent="0.4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2" customHeight="1" x14ac:dyDescent="0.4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2" customHeight="1" x14ac:dyDescent="0.4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2" customHeight="1" x14ac:dyDescent="0.4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2" customHeight="1" x14ac:dyDescent="0.4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2" customHeight="1" x14ac:dyDescent="0.4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2" customHeight="1" x14ac:dyDescent="0.4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2" customHeight="1" x14ac:dyDescent="0.4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2" customHeight="1" x14ac:dyDescent="0.4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2" customHeight="1" x14ac:dyDescent="0.4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2" customHeight="1" x14ac:dyDescent="0.4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2" customHeight="1" x14ac:dyDescent="0.4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2" customHeight="1" x14ac:dyDescent="0.4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2" customHeight="1" x14ac:dyDescent="0.4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2" customHeight="1" x14ac:dyDescent="0.4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2" customHeight="1" x14ac:dyDescent="0.4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2" customHeight="1" x14ac:dyDescent="0.4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2" customHeight="1" x14ac:dyDescent="0.4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2" customHeight="1" x14ac:dyDescent="0.4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2" customHeight="1" x14ac:dyDescent="0.4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2" customHeight="1" x14ac:dyDescent="0.4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2" customHeight="1" x14ac:dyDescent="0.4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2" customHeight="1" x14ac:dyDescent="0.4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2" customHeight="1" x14ac:dyDescent="0.4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2" customHeight="1" x14ac:dyDescent="0.4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2" customHeight="1" x14ac:dyDescent="0.4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2" customHeight="1" x14ac:dyDescent="0.4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2" customHeight="1" x14ac:dyDescent="0.4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2" customHeight="1" x14ac:dyDescent="0.4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2" customHeight="1" x14ac:dyDescent="0.4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2" customHeight="1" x14ac:dyDescent="0.4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2" customHeight="1" x14ac:dyDescent="0.4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2" customHeight="1" x14ac:dyDescent="0.4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2" customHeight="1" x14ac:dyDescent="0.4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2" customHeight="1" x14ac:dyDescent="0.4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2" customHeight="1" x14ac:dyDescent="0.4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2" customHeight="1" x14ac:dyDescent="0.4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2" customHeight="1" x14ac:dyDescent="0.4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2" customHeight="1" x14ac:dyDescent="0.4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2" customHeight="1" x14ac:dyDescent="0.4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2" customHeight="1" x14ac:dyDescent="0.4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2" customHeight="1" x14ac:dyDescent="0.4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2" customHeight="1" x14ac:dyDescent="0.4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2" customHeight="1" x14ac:dyDescent="0.4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2" customHeight="1" x14ac:dyDescent="0.4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2" customHeight="1" x14ac:dyDescent="0.4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2" customHeight="1" x14ac:dyDescent="0.4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2" customHeight="1" x14ac:dyDescent="0.4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2" customHeight="1" x14ac:dyDescent="0.4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2" customHeight="1" x14ac:dyDescent="0.4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2" customHeight="1" x14ac:dyDescent="0.4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2" customHeight="1" x14ac:dyDescent="0.4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2" customHeight="1" x14ac:dyDescent="0.4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2" customHeight="1" x14ac:dyDescent="0.4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2" customHeight="1" x14ac:dyDescent="0.4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2" customHeight="1" x14ac:dyDescent="0.4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2" customHeight="1" x14ac:dyDescent="0.4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2" customHeight="1" x14ac:dyDescent="0.4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2" customHeight="1" x14ac:dyDescent="0.4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2" customHeight="1" x14ac:dyDescent="0.4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2" customHeight="1" x14ac:dyDescent="0.4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2" customHeight="1" x14ac:dyDescent="0.4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2" customHeight="1" x14ac:dyDescent="0.4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2" customHeight="1" x14ac:dyDescent="0.4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2" customHeight="1" x14ac:dyDescent="0.4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2" customHeight="1" x14ac:dyDescent="0.4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2" customHeight="1" x14ac:dyDescent="0.4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2" customHeight="1" x14ac:dyDescent="0.4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2" customHeight="1" x14ac:dyDescent="0.4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2" customHeight="1" x14ac:dyDescent="0.4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2" customHeight="1" x14ac:dyDescent="0.4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2" customHeight="1" x14ac:dyDescent="0.4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2" customHeight="1" x14ac:dyDescent="0.4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2" customHeight="1" x14ac:dyDescent="0.4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2" customHeight="1" x14ac:dyDescent="0.4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2" customHeight="1" x14ac:dyDescent="0.4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2" customHeight="1" x14ac:dyDescent="0.4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2" customHeight="1" x14ac:dyDescent="0.4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2" customHeight="1" x14ac:dyDescent="0.4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2" customHeight="1" x14ac:dyDescent="0.4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2" customHeight="1" x14ac:dyDescent="0.4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2" customHeight="1" x14ac:dyDescent="0.4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2" customHeight="1" x14ac:dyDescent="0.4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2" customHeight="1" x14ac:dyDescent="0.4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2" customHeight="1" x14ac:dyDescent="0.4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2" customHeight="1" x14ac:dyDescent="0.4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2" customHeight="1" x14ac:dyDescent="0.4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2" customHeight="1" x14ac:dyDescent="0.4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2" customHeight="1" x14ac:dyDescent="0.4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2" customHeight="1" x14ac:dyDescent="0.4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2" customHeight="1" x14ac:dyDescent="0.4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2" customHeight="1" x14ac:dyDescent="0.4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2" customHeight="1" x14ac:dyDescent="0.4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2" customHeight="1" x14ac:dyDescent="0.4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2" customHeight="1" x14ac:dyDescent="0.4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2" customHeight="1" x14ac:dyDescent="0.4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2" customHeight="1" x14ac:dyDescent="0.4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2" customHeight="1" x14ac:dyDescent="0.4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2" customHeight="1" x14ac:dyDescent="0.4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2" customHeight="1" x14ac:dyDescent="0.4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2" customHeight="1" x14ac:dyDescent="0.4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2" customHeight="1" x14ac:dyDescent="0.4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2" customHeight="1" x14ac:dyDescent="0.4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2" customHeight="1" x14ac:dyDescent="0.4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2" customHeight="1" x14ac:dyDescent="0.4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2" customHeight="1" x14ac:dyDescent="0.4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2" customHeight="1" x14ac:dyDescent="0.4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2" customHeight="1" x14ac:dyDescent="0.4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2" customHeight="1" x14ac:dyDescent="0.4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2" customHeight="1" x14ac:dyDescent="0.4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2" customHeight="1" x14ac:dyDescent="0.4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2" customHeight="1" x14ac:dyDescent="0.4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2" customHeight="1" x14ac:dyDescent="0.4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2" customHeight="1" x14ac:dyDescent="0.4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2" customHeight="1" x14ac:dyDescent="0.4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2" customHeight="1" x14ac:dyDescent="0.4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2" customHeight="1" x14ac:dyDescent="0.4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2" customHeight="1" x14ac:dyDescent="0.4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2" customHeight="1" x14ac:dyDescent="0.4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2" customHeight="1" x14ac:dyDescent="0.4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2" customHeight="1" x14ac:dyDescent="0.4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2" customHeight="1" x14ac:dyDescent="0.4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2" customHeight="1" x14ac:dyDescent="0.4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2" customHeight="1" x14ac:dyDescent="0.4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2" customHeight="1" x14ac:dyDescent="0.4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2" customHeight="1" x14ac:dyDescent="0.4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2" customHeight="1" x14ac:dyDescent="0.4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2" customHeight="1" x14ac:dyDescent="0.4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2" customHeight="1" x14ac:dyDescent="0.4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2" customHeight="1" x14ac:dyDescent="0.4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2" customHeight="1" x14ac:dyDescent="0.4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2" customHeight="1" x14ac:dyDescent="0.4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2" customHeight="1" x14ac:dyDescent="0.4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2" customHeight="1" x14ac:dyDescent="0.4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2" customHeight="1" x14ac:dyDescent="0.4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2" customHeight="1" x14ac:dyDescent="0.4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2" customHeight="1" x14ac:dyDescent="0.4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2" customHeight="1" x14ac:dyDescent="0.4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2" customHeight="1" x14ac:dyDescent="0.4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2" customHeight="1" x14ac:dyDescent="0.4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2" customHeight="1" x14ac:dyDescent="0.4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2" customHeight="1" x14ac:dyDescent="0.4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2" customHeight="1" x14ac:dyDescent="0.4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2" customHeight="1" x14ac:dyDescent="0.4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2" customHeight="1" x14ac:dyDescent="0.4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2" customHeight="1" x14ac:dyDescent="0.4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2" customHeight="1" x14ac:dyDescent="0.4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2" customHeight="1" x14ac:dyDescent="0.4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2" customHeight="1" x14ac:dyDescent="0.4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2" customHeight="1" x14ac:dyDescent="0.4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2" customHeight="1" x14ac:dyDescent="0.4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2" customHeight="1" x14ac:dyDescent="0.4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2" customHeight="1" x14ac:dyDescent="0.4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2" customHeight="1" x14ac:dyDescent="0.4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2" customHeight="1" x14ac:dyDescent="0.4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2" customHeight="1" x14ac:dyDescent="0.4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2" customHeight="1" x14ac:dyDescent="0.4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2" customHeight="1" x14ac:dyDescent="0.4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2" customHeight="1" x14ac:dyDescent="0.4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2" customHeight="1" x14ac:dyDescent="0.4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2" customHeight="1" x14ac:dyDescent="0.4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2" customHeight="1" x14ac:dyDescent="0.4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2" customHeight="1" x14ac:dyDescent="0.4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2" customHeight="1" x14ac:dyDescent="0.4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2" customHeight="1" x14ac:dyDescent="0.4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2" customHeight="1" x14ac:dyDescent="0.4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2" customHeight="1" x14ac:dyDescent="0.4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2" customHeight="1" x14ac:dyDescent="0.4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2" customHeight="1" x14ac:dyDescent="0.4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2" customHeight="1" x14ac:dyDescent="0.4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2" customHeight="1" x14ac:dyDescent="0.4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2" customHeight="1" x14ac:dyDescent="0.4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2" customHeight="1" x14ac:dyDescent="0.4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2" customHeight="1" x14ac:dyDescent="0.4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2" customHeight="1" x14ac:dyDescent="0.4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2" customHeight="1" x14ac:dyDescent="0.4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2" customHeight="1" x14ac:dyDescent="0.4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2" customHeight="1" x14ac:dyDescent="0.4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2" customHeight="1" x14ac:dyDescent="0.4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2" customHeight="1" x14ac:dyDescent="0.4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2" customHeight="1" x14ac:dyDescent="0.4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2" customHeight="1" x14ac:dyDescent="0.4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2" customHeight="1" x14ac:dyDescent="0.4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2" customHeight="1" x14ac:dyDescent="0.4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2" customHeight="1" x14ac:dyDescent="0.4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2" customHeight="1" x14ac:dyDescent="0.4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2" customHeight="1" x14ac:dyDescent="0.4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2" customHeight="1" x14ac:dyDescent="0.4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2" customHeight="1" x14ac:dyDescent="0.4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2" customHeight="1" x14ac:dyDescent="0.4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2" customHeight="1" x14ac:dyDescent="0.4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2" customHeight="1" x14ac:dyDescent="0.4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2" customHeight="1" x14ac:dyDescent="0.4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2" customHeight="1" x14ac:dyDescent="0.4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2" customHeight="1" x14ac:dyDescent="0.4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2" customHeight="1" x14ac:dyDescent="0.4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2" customHeight="1" x14ac:dyDescent="0.4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2" customHeight="1" x14ac:dyDescent="0.4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2" customHeight="1" x14ac:dyDescent="0.4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2" customHeight="1" x14ac:dyDescent="0.4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2" customHeight="1" x14ac:dyDescent="0.4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2" customHeight="1" x14ac:dyDescent="0.4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2" customHeight="1" x14ac:dyDescent="0.4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2" customHeight="1" x14ac:dyDescent="0.4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2" customHeight="1" x14ac:dyDescent="0.4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2" customHeight="1" x14ac:dyDescent="0.4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2" customHeight="1" x14ac:dyDescent="0.4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2" customHeight="1" x14ac:dyDescent="0.4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2" customHeight="1" x14ac:dyDescent="0.4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2" customHeight="1" x14ac:dyDescent="0.4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2" customHeight="1" x14ac:dyDescent="0.4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2" customHeight="1" x14ac:dyDescent="0.4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2" customHeight="1" x14ac:dyDescent="0.4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2" customHeight="1" x14ac:dyDescent="0.4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2" customHeight="1" x14ac:dyDescent="0.4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2" customHeight="1" x14ac:dyDescent="0.4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2" customHeight="1" x14ac:dyDescent="0.4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2" customHeight="1" x14ac:dyDescent="0.4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2" customHeight="1" x14ac:dyDescent="0.4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2" customHeight="1" x14ac:dyDescent="0.4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2" customHeight="1" x14ac:dyDescent="0.4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2" customHeight="1" x14ac:dyDescent="0.4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2" customHeight="1" x14ac:dyDescent="0.4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2" customHeight="1" x14ac:dyDescent="0.4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2" customHeight="1" x14ac:dyDescent="0.4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2" customHeight="1" x14ac:dyDescent="0.4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2" customHeight="1" x14ac:dyDescent="0.4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2" customHeight="1" x14ac:dyDescent="0.4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2" customHeight="1" x14ac:dyDescent="0.4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2" customHeight="1" x14ac:dyDescent="0.4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2" customHeight="1" x14ac:dyDescent="0.4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2" customHeight="1" x14ac:dyDescent="0.4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2" customHeight="1" x14ac:dyDescent="0.4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2" customHeight="1" x14ac:dyDescent="0.4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2" customHeight="1" x14ac:dyDescent="0.4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2" customHeight="1" x14ac:dyDescent="0.4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2" customHeight="1" x14ac:dyDescent="0.4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2" customHeight="1" x14ac:dyDescent="0.4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2" customHeight="1" x14ac:dyDescent="0.4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2" customHeight="1" x14ac:dyDescent="0.4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2" customHeight="1" x14ac:dyDescent="0.4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2" customHeight="1" x14ac:dyDescent="0.4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2" customHeight="1" x14ac:dyDescent="0.4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2" customHeight="1" x14ac:dyDescent="0.4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2" customHeight="1" x14ac:dyDescent="0.4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2" customHeight="1" x14ac:dyDescent="0.4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2" customHeight="1" x14ac:dyDescent="0.4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2" customHeight="1" x14ac:dyDescent="0.4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2" customHeight="1" x14ac:dyDescent="0.4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2" customHeight="1" x14ac:dyDescent="0.4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2" customHeight="1" x14ac:dyDescent="0.4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2" customHeight="1" x14ac:dyDescent="0.4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2" customHeight="1" x14ac:dyDescent="0.4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2" customHeight="1" x14ac:dyDescent="0.4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2" customHeight="1" x14ac:dyDescent="0.4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2" customHeight="1" x14ac:dyDescent="0.4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2" customHeight="1" x14ac:dyDescent="0.4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2" customHeight="1" x14ac:dyDescent="0.4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2" customHeight="1" x14ac:dyDescent="0.4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2" customHeight="1" x14ac:dyDescent="0.4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2" customHeight="1" x14ac:dyDescent="0.4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2" customHeight="1" x14ac:dyDescent="0.4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2" customHeight="1" x14ac:dyDescent="0.4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2" customHeight="1" x14ac:dyDescent="0.4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2" customHeight="1" x14ac:dyDescent="0.4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2" customHeight="1" x14ac:dyDescent="0.4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2" customHeight="1" x14ac:dyDescent="0.4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2" customHeight="1" x14ac:dyDescent="0.4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2" customHeight="1" x14ac:dyDescent="0.4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2" customHeight="1" x14ac:dyDescent="0.4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2" customHeight="1" x14ac:dyDescent="0.4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2" customHeight="1" x14ac:dyDescent="0.4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2" customHeight="1" x14ac:dyDescent="0.4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2" customHeight="1" x14ac:dyDescent="0.4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2" customHeight="1" x14ac:dyDescent="0.4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2" customHeight="1" x14ac:dyDescent="0.4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2" customHeight="1" x14ac:dyDescent="0.4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2" customHeight="1" x14ac:dyDescent="0.4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2" customHeight="1" x14ac:dyDescent="0.4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2" customHeight="1" x14ac:dyDescent="0.4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2" customHeight="1" x14ac:dyDescent="0.4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2" customHeight="1" x14ac:dyDescent="0.4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2" customHeight="1" x14ac:dyDescent="0.4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2" customHeight="1" x14ac:dyDescent="0.4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2" customHeight="1" x14ac:dyDescent="0.4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2" customHeight="1" x14ac:dyDescent="0.4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2" customHeight="1" x14ac:dyDescent="0.4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2" customHeight="1" x14ac:dyDescent="0.4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2" customHeight="1" x14ac:dyDescent="0.4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2" customHeight="1" x14ac:dyDescent="0.4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2" customHeight="1" x14ac:dyDescent="0.4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2" customHeight="1" x14ac:dyDescent="0.4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2" customHeight="1" x14ac:dyDescent="0.4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2" customHeight="1" x14ac:dyDescent="0.4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2" customHeight="1" x14ac:dyDescent="0.4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2" customHeight="1" x14ac:dyDescent="0.4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2" customHeight="1" x14ac:dyDescent="0.4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2" customHeight="1" x14ac:dyDescent="0.4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2" customHeight="1" x14ac:dyDescent="0.4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2" customHeight="1" x14ac:dyDescent="0.4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2" customHeight="1" x14ac:dyDescent="0.4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2" customHeight="1" x14ac:dyDescent="0.4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2" customHeight="1" x14ac:dyDescent="0.4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2" customHeight="1" x14ac:dyDescent="0.4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2" customHeight="1" x14ac:dyDescent="0.4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2" customHeight="1" x14ac:dyDescent="0.4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2" customHeight="1" x14ac:dyDescent="0.4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2" customHeight="1" x14ac:dyDescent="0.4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2" customHeight="1" x14ac:dyDescent="0.4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2" customHeight="1" x14ac:dyDescent="0.4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2" customHeight="1" x14ac:dyDescent="0.4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2" customHeight="1" x14ac:dyDescent="0.4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2" customHeight="1" x14ac:dyDescent="0.4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2" customHeight="1" x14ac:dyDescent="0.4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2" customHeight="1" x14ac:dyDescent="0.4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2" customHeight="1" x14ac:dyDescent="0.4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2" customHeight="1" x14ac:dyDescent="0.4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2" customHeight="1" x14ac:dyDescent="0.4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2" customHeight="1" x14ac:dyDescent="0.4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2" customHeight="1" x14ac:dyDescent="0.4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2" customHeight="1" x14ac:dyDescent="0.4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2" customHeight="1" x14ac:dyDescent="0.4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2" customHeight="1" x14ac:dyDescent="0.4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2" customHeight="1" x14ac:dyDescent="0.4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2" customHeight="1" x14ac:dyDescent="0.4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2" customHeight="1" x14ac:dyDescent="0.4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2" customHeight="1" x14ac:dyDescent="0.4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2" customHeight="1" x14ac:dyDescent="0.4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2" customHeight="1" x14ac:dyDescent="0.4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2" customHeight="1" x14ac:dyDescent="0.4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2" customHeight="1" x14ac:dyDescent="0.4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2" customHeight="1" x14ac:dyDescent="0.4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2" customHeight="1" x14ac:dyDescent="0.4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2" customHeight="1" x14ac:dyDescent="0.4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2" customHeight="1" x14ac:dyDescent="0.4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2" customHeight="1" x14ac:dyDescent="0.4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2" customHeight="1" x14ac:dyDescent="0.4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2" customHeight="1" x14ac:dyDescent="0.4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2" customHeight="1" x14ac:dyDescent="0.4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2" customHeight="1" x14ac:dyDescent="0.4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2" customHeight="1" x14ac:dyDescent="0.4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2" customHeight="1" x14ac:dyDescent="0.4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2" customHeight="1" x14ac:dyDescent="0.4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2" customHeight="1" x14ac:dyDescent="0.4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2" customHeight="1" x14ac:dyDescent="0.4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2" customHeight="1" x14ac:dyDescent="0.4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2" customHeight="1" x14ac:dyDescent="0.4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2" customHeight="1" x14ac:dyDescent="0.4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2" customHeight="1" x14ac:dyDescent="0.4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2" customHeight="1" x14ac:dyDescent="0.4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2" customHeight="1" x14ac:dyDescent="0.4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2" customHeight="1" x14ac:dyDescent="0.4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2" customHeight="1" x14ac:dyDescent="0.4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2" customHeight="1" x14ac:dyDescent="0.4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2" customHeight="1" x14ac:dyDescent="0.4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2" customHeight="1" x14ac:dyDescent="0.4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2" customHeight="1" x14ac:dyDescent="0.4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2" customHeight="1" x14ac:dyDescent="0.4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2" customHeight="1" x14ac:dyDescent="0.4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2" customHeight="1" x14ac:dyDescent="0.4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2" customHeight="1" x14ac:dyDescent="0.4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2" customHeight="1" x14ac:dyDescent="0.4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2" customHeight="1" x14ac:dyDescent="0.4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2" customHeight="1" x14ac:dyDescent="0.4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2" customHeight="1" x14ac:dyDescent="0.4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2" customHeight="1" x14ac:dyDescent="0.4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2" customHeight="1" x14ac:dyDescent="0.4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2" customHeight="1" x14ac:dyDescent="0.4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2" customHeight="1" x14ac:dyDescent="0.4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2" customHeight="1" x14ac:dyDescent="0.4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2" customHeight="1" x14ac:dyDescent="0.4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2" customHeight="1" x14ac:dyDescent="0.4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2" customHeight="1" x14ac:dyDescent="0.4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2" customHeight="1" x14ac:dyDescent="0.4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2" customHeight="1" x14ac:dyDescent="0.4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2" customHeight="1" x14ac:dyDescent="0.4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2" customHeight="1" x14ac:dyDescent="0.4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2" customHeight="1" x14ac:dyDescent="0.4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2" customHeight="1" x14ac:dyDescent="0.4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2" customHeight="1" x14ac:dyDescent="0.4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2" customHeight="1" x14ac:dyDescent="0.4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2" customHeight="1" x14ac:dyDescent="0.4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2" customHeight="1" x14ac:dyDescent="0.4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2" customHeight="1" x14ac:dyDescent="0.4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2" customHeight="1" x14ac:dyDescent="0.4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2" customHeight="1" x14ac:dyDescent="0.4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2" customHeight="1" x14ac:dyDescent="0.4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2" customHeight="1" x14ac:dyDescent="0.4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2" customHeight="1" x14ac:dyDescent="0.4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2" customHeight="1" x14ac:dyDescent="0.4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2" customHeight="1" x14ac:dyDescent="0.4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2" customHeight="1" x14ac:dyDescent="0.4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2" customHeight="1" x14ac:dyDescent="0.4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2" customHeight="1" x14ac:dyDescent="0.4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2" customHeight="1" x14ac:dyDescent="0.4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2" customHeight="1" x14ac:dyDescent="0.4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2" customHeight="1" x14ac:dyDescent="0.4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2" customHeight="1" x14ac:dyDescent="0.4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2" customHeight="1" x14ac:dyDescent="0.4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2" customHeight="1" x14ac:dyDescent="0.4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2" customHeight="1" x14ac:dyDescent="0.4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2" customHeight="1" x14ac:dyDescent="0.4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2" customHeight="1" x14ac:dyDescent="0.4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2" customHeight="1" x14ac:dyDescent="0.4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2" customHeight="1" x14ac:dyDescent="0.4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2" customHeight="1" x14ac:dyDescent="0.4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2" customHeight="1" x14ac:dyDescent="0.4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2" customHeight="1" x14ac:dyDescent="0.4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2" customHeight="1" x14ac:dyDescent="0.4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2" customHeight="1" x14ac:dyDescent="0.4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2" customHeight="1" x14ac:dyDescent="0.4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2" customHeight="1" x14ac:dyDescent="0.4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2" customHeight="1" x14ac:dyDescent="0.4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2" customHeight="1" x14ac:dyDescent="0.4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2" customHeight="1" x14ac:dyDescent="0.4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2" customHeight="1" x14ac:dyDescent="0.4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2" customHeight="1" x14ac:dyDescent="0.4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2" customHeight="1" x14ac:dyDescent="0.4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2" customHeight="1" x14ac:dyDescent="0.4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2" customHeight="1" x14ac:dyDescent="0.4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2" customHeight="1" x14ac:dyDescent="0.4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2" customHeight="1" x14ac:dyDescent="0.4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2" customHeight="1" x14ac:dyDescent="0.4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2" customHeight="1" x14ac:dyDescent="0.4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2" customHeight="1" x14ac:dyDescent="0.4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2" customHeight="1" x14ac:dyDescent="0.4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2" customHeight="1" x14ac:dyDescent="0.4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2" customHeight="1" x14ac:dyDescent="0.4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2" customHeight="1" x14ac:dyDescent="0.4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2" customHeight="1" x14ac:dyDescent="0.4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2" customHeight="1" x14ac:dyDescent="0.4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2" customHeight="1" x14ac:dyDescent="0.4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2" customHeight="1" x14ac:dyDescent="0.4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2" customHeight="1" x14ac:dyDescent="0.4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2" customHeight="1" x14ac:dyDescent="0.4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2" customHeight="1" x14ac:dyDescent="0.4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2" customHeight="1" x14ac:dyDescent="0.4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2" customHeight="1" x14ac:dyDescent="0.4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2" customHeight="1" x14ac:dyDescent="0.4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2" customHeight="1" x14ac:dyDescent="0.4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2" customHeight="1" x14ac:dyDescent="0.4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2" customHeight="1" x14ac:dyDescent="0.4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2" customHeight="1" x14ac:dyDescent="0.4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2" customHeight="1" x14ac:dyDescent="0.4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2" customHeight="1" x14ac:dyDescent="0.4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2" customHeight="1" x14ac:dyDescent="0.4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2" customHeight="1" x14ac:dyDescent="0.4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2" customHeight="1" x14ac:dyDescent="0.4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2" customHeight="1" x14ac:dyDescent="0.4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2" customHeight="1" x14ac:dyDescent="0.4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2" customHeight="1" x14ac:dyDescent="0.4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2" customHeight="1" x14ac:dyDescent="0.4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2" customHeight="1" x14ac:dyDescent="0.4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2" customHeight="1" x14ac:dyDescent="0.4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2" customHeight="1" x14ac:dyDescent="0.4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2" customHeight="1" x14ac:dyDescent="0.4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2" customHeight="1" x14ac:dyDescent="0.4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2" customHeight="1" x14ac:dyDescent="0.4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2" customHeight="1" x14ac:dyDescent="0.4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2" customHeight="1" x14ac:dyDescent="0.4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2" customHeight="1" x14ac:dyDescent="0.4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2" customHeight="1" x14ac:dyDescent="0.4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2" customHeight="1" x14ac:dyDescent="0.4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2" customHeight="1" x14ac:dyDescent="0.4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2" customHeight="1" x14ac:dyDescent="0.4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2" customHeight="1" x14ac:dyDescent="0.4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2" customHeight="1" x14ac:dyDescent="0.4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2" customHeight="1" x14ac:dyDescent="0.4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2" customHeight="1" x14ac:dyDescent="0.4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2" customHeight="1" x14ac:dyDescent="0.4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2" customHeight="1" x14ac:dyDescent="0.4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2" customHeight="1" x14ac:dyDescent="0.4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2" customHeight="1" x14ac:dyDescent="0.4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2" customHeight="1" x14ac:dyDescent="0.4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2" customHeight="1" x14ac:dyDescent="0.4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2" customHeight="1" x14ac:dyDescent="0.4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2" customHeight="1" x14ac:dyDescent="0.4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2" customHeight="1" x14ac:dyDescent="0.4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2" customHeight="1" x14ac:dyDescent="0.4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2" customHeight="1" x14ac:dyDescent="0.4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2" customHeight="1" x14ac:dyDescent="0.4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2" customHeight="1" x14ac:dyDescent="0.4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2" customHeight="1" x14ac:dyDescent="0.4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2" customHeight="1" x14ac:dyDescent="0.4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2" customHeight="1" x14ac:dyDescent="0.4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2" customHeight="1" x14ac:dyDescent="0.4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2" customHeight="1" x14ac:dyDescent="0.4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2" customHeight="1" x14ac:dyDescent="0.4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2" customHeight="1" x14ac:dyDescent="0.4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2" customHeight="1" x14ac:dyDescent="0.4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2" customHeight="1" x14ac:dyDescent="0.4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2" customHeight="1" x14ac:dyDescent="0.4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2" customHeight="1" x14ac:dyDescent="0.4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2" customHeight="1" x14ac:dyDescent="0.4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2" customHeight="1" x14ac:dyDescent="0.4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2" customHeight="1" x14ac:dyDescent="0.4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2" customHeight="1" x14ac:dyDescent="0.4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2" customHeight="1" x14ac:dyDescent="0.4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2" customHeight="1" x14ac:dyDescent="0.4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2" customHeight="1" x14ac:dyDescent="0.4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2" customHeight="1" x14ac:dyDescent="0.4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2" customHeight="1" x14ac:dyDescent="0.4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2" customHeight="1" x14ac:dyDescent="0.4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2" customHeight="1" x14ac:dyDescent="0.4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2" customHeight="1" x14ac:dyDescent="0.4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2" customHeight="1" x14ac:dyDescent="0.4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2" customHeight="1" x14ac:dyDescent="0.4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2" customHeight="1" x14ac:dyDescent="0.4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2" customHeight="1" x14ac:dyDescent="0.4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2" customHeight="1" x14ac:dyDescent="0.4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2" customHeight="1" x14ac:dyDescent="0.4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2" customHeight="1" x14ac:dyDescent="0.4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2" customHeight="1" x14ac:dyDescent="0.4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2" customHeight="1" x14ac:dyDescent="0.4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2" customHeight="1" x14ac:dyDescent="0.4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2" customHeight="1" x14ac:dyDescent="0.4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2" customHeight="1" x14ac:dyDescent="0.4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2" customHeight="1" x14ac:dyDescent="0.4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2" customHeight="1" x14ac:dyDescent="0.4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2" customHeight="1" x14ac:dyDescent="0.4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2" customHeight="1" x14ac:dyDescent="0.4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2" customHeight="1" x14ac:dyDescent="0.4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2" customHeight="1" x14ac:dyDescent="0.4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2" customHeight="1" x14ac:dyDescent="0.4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2" customHeight="1" x14ac:dyDescent="0.4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2" customHeight="1" x14ac:dyDescent="0.4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2" customHeight="1" x14ac:dyDescent="0.4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2" customHeight="1" x14ac:dyDescent="0.4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2" customHeight="1" x14ac:dyDescent="0.4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2" customHeight="1" x14ac:dyDescent="0.4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2" customHeight="1" x14ac:dyDescent="0.4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2" customHeight="1" x14ac:dyDescent="0.4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2" customHeight="1" x14ac:dyDescent="0.4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2" customHeight="1" x14ac:dyDescent="0.4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2" customHeight="1" x14ac:dyDescent="0.4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2" customHeight="1" x14ac:dyDescent="0.4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2" customHeight="1" x14ac:dyDescent="0.4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2" customHeight="1" x14ac:dyDescent="0.4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2" customHeight="1" x14ac:dyDescent="0.4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2" customHeight="1" x14ac:dyDescent="0.4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2" customHeight="1" x14ac:dyDescent="0.4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2" customHeight="1" x14ac:dyDescent="0.4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2" customHeight="1" x14ac:dyDescent="0.4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2" customHeight="1" x14ac:dyDescent="0.4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2" customHeight="1" x14ac:dyDescent="0.4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2" customHeight="1" x14ac:dyDescent="0.4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2" customHeight="1" x14ac:dyDescent="0.4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2" customHeight="1" x14ac:dyDescent="0.4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2" customHeight="1" x14ac:dyDescent="0.4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2" customHeight="1" x14ac:dyDescent="0.4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2" customHeight="1" x14ac:dyDescent="0.4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2" customHeight="1" x14ac:dyDescent="0.4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2" customHeight="1" x14ac:dyDescent="0.4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2" customHeight="1" x14ac:dyDescent="0.4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2" customHeight="1" x14ac:dyDescent="0.4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2" customHeight="1" x14ac:dyDescent="0.4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2" customHeight="1" x14ac:dyDescent="0.4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2" customHeight="1" x14ac:dyDescent="0.4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2" customHeight="1" x14ac:dyDescent="0.4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2" customHeight="1" x14ac:dyDescent="0.4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2" customHeight="1" x14ac:dyDescent="0.4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2" customHeight="1" x14ac:dyDescent="0.4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2" customHeight="1" x14ac:dyDescent="0.4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2" customHeight="1" x14ac:dyDescent="0.4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2" customHeight="1" x14ac:dyDescent="0.4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2" customHeight="1" x14ac:dyDescent="0.4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2" customHeight="1" x14ac:dyDescent="0.4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2" customHeight="1" x14ac:dyDescent="0.4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2" customHeight="1" x14ac:dyDescent="0.4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2" customHeight="1" x14ac:dyDescent="0.4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2" customHeight="1" x14ac:dyDescent="0.4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2" customHeight="1" x14ac:dyDescent="0.4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2" customHeight="1" x14ac:dyDescent="0.4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2" customHeight="1" x14ac:dyDescent="0.4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2" customHeight="1" x14ac:dyDescent="0.4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2" customHeight="1" x14ac:dyDescent="0.4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2" customHeight="1" x14ac:dyDescent="0.4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2" customHeight="1" x14ac:dyDescent="0.4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2" customHeight="1" x14ac:dyDescent="0.4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2" customHeight="1" x14ac:dyDescent="0.4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2" customHeight="1" x14ac:dyDescent="0.4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2" customHeight="1" x14ac:dyDescent="0.4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2" customHeight="1" x14ac:dyDescent="0.4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2" customHeight="1" x14ac:dyDescent="0.4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2" customHeight="1" x14ac:dyDescent="0.4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2" customHeight="1" x14ac:dyDescent="0.4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2" customHeight="1" x14ac:dyDescent="0.4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2" customHeight="1" x14ac:dyDescent="0.4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2" customHeight="1" x14ac:dyDescent="0.4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2" customHeight="1" x14ac:dyDescent="0.4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2" customHeight="1" x14ac:dyDescent="0.4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2" customHeight="1" x14ac:dyDescent="0.4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2" customHeight="1" x14ac:dyDescent="0.4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2" customHeight="1" x14ac:dyDescent="0.4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2" customHeight="1" x14ac:dyDescent="0.4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2" customHeight="1" x14ac:dyDescent="0.4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2" customHeight="1" x14ac:dyDescent="0.4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2" customHeight="1" x14ac:dyDescent="0.4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2" customHeight="1" x14ac:dyDescent="0.4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2" customHeight="1" x14ac:dyDescent="0.4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2" customHeight="1" x14ac:dyDescent="0.4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2" customHeight="1" x14ac:dyDescent="0.4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2" customHeight="1" x14ac:dyDescent="0.4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2" customHeight="1" x14ac:dyDescent="0.4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2" customHeight="1" x14ac:dyDescent="0.4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2" customHeight="1" x14ac:dyDescent="0.4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2" customHeight="1" x14ac:dyDescent="0.4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2" customHeight="1" x14ac:dyDescent="0.4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2" customHeight="1" x14ac:dyDescent="0.4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2" customHeight="1" x14ac:dyDescent="0.4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2" customHeight="1" x14ac:dyDescent="0.4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2" customHeight="1" x14ac:dyDescent="0.4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2" customHeight="1" x14ac:dyDescent="0.4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2" customHeight="1" x14ac:dyDescent="0.4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2" customHeight="1" x14ac:dyDescent="0.4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2" customHeight="1" x14ac:dyDescent="0.4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2" customHeight="1" x14ac:dyDescent="0.4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2" customHeight="1" x14ac:dyDescent="0.4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2" customHeight="1" x14ac:dyDescent="0.4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2" customHeight="1" x14ac:dyDescent="0.4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2" customHeight="1" x14ac:dyDescent="0.4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2" customHeight="1" x14ac:dyDescent="0.4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2" customHeight="1" x14ac:dyDescent="0.4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2" customHeight="1" x14ac:dyDescent="0.4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2" customHeight="1" x14ac:dyDescent="0.4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2" customHeight="1" x14ac:dyDescent="0.4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2" customHeight="1" x14ac:dyDescent="0.4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2" customHeight="1" x14ac:dyDescent="0.4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2" customHeight="1" x14ac:dyDescent="0.4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2" customHeight="1" x14ac:dyDescent="0.4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2" customHeight="1" x14ac:dyDescent="0.4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2" customHeight="1" x14ac:dyDescent="0.4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2" customHeight="1" x14ac:dyDescent="0.4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2" customHeight="1" x14ac:dyDescent="0.4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2" customHeight="1" x14ac:dyDescent="0.4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2" customHeight="1" x14ac:dyDescent="0.4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2" customHeight="1" x14ac:dyDescent="0.4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2" customHeight="1" x14ac:dyDescent="0.4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2" customHeight="1" x14ac:dyDescent="0.4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2" customHeight="1" x14ac:dyDescent="0.4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2" customHeight="1" x14ac:dyDescent="0.4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2" customHeight="1" x14ac:dyDescent="0.4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2" customHeight="1" x14ac:dyDescent="0.4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2" customHeight="1" x14ac:dyDescent="0.4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2" customHeight="1" x14ac:dyDescent="0.4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2" customHeight="1" x14ac:dyDescent="0.4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2" customHeight="1" x14ac:dyDescent="0.4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2" customHeight="1" x14ac:dyDescent="0.4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2" customHeight="1" x14ac:dyDescent="0.4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2" customHeight="1" x14ac:dyDescent="0.4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2" customHeight="1" x14ac:dyDescent="0.4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2" customHeight="1" x14ac:dyDescent="0.4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2" customHeight="1" x14ac:dyDescent="0.4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2" customHeight="1" x14ac:dyDescent="0.4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2" customHeight="1" x14ac:dyDescent="0.4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2" customHeight="1" x14ac:dyDescent="0.4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2" customHeight="1" x14ac:dyDescent="0.4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2" customHeight="1" x14ac:dyDescent="0.4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2" customHeight="1" x14ac:dyDescent="0.4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2" customHeight="1" x14ac:dyDescent="0.4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2" customHeight="1" x14ac:dyDescent="0.4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2" customHeight="1" x14ac:dyDescent="0.4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2" customHeight="1" x14ac:dyDescent="0.4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2" customHeight="1" x14ac:dyDescent="0.4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2" customHeight="1" x14ac:dyDescent="0.4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2" customHeight="1" x14ac:dyDescent="0.4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2" customHeight="1" x14ac:dyDescent="0.4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2" customHeight="1" x14ac:dyDescent="0.4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2" customHeight="1" x14ac:dyDescent="0.4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2" customHeight="1" x14ac:dyDescent="0.4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2" customHeight="1" x14ac:dyDescent="0.4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2" customHeight="1" x14ac:dyDescent="0.4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2" customHeight="1" x14ac:dyDescent="0.4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2" customHeight="1" x14ac:dyDescent="0.4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2" customHeight="1" x14ac:dyDescent="0.4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2" customHeight="1" x14ac:dyDescent="0.4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2" customHeight="1" x14ac:dyDescent="0.4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2" customHeight="1" x14ac:dyDescent="0.4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2" customHeight="1" x14ac:dyDescent="0.4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2" customHeight="1" x14ac:dyDescent="0.4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2" customHeight="1" x14ac:dyDescent="0.4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2" customHeight="1" x14ac:dyDescent="0.4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2" customHeight="1" x14ac:dyDescent="0.4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2" customHeight="1" x14ac:dyDescent="0.4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2" customHeight="1" x14ac:dyDescent="0.4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2" customHeight="1" x14ac:dyDescent="0.4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2" customHeight="1" x14ac:dyDescent="0.4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2" customHeight="1" x14ac:dyDescent="0.4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2" customHeight="1" x14ac:dyDescent="0.4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2" customHeight="1" x14ac:dyDescent="0.4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2" customHeight="1" x14ac:dyDescent="0.4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2" customHeight="1" x14ac:dyDescent="0.4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2" customHeight="1" x14ac:dyDescent="0.4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2" customHeight="1" x14ac:dyDescent="0.4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2" customHeight="1" x14ac:dyDescent="0.4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2" customHeight="1" x14ac:dyDescent="0.4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2" customHeight="1" x14ac:dyDescent="0.4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2" customHeight="1" x14ac:dyDescent="0.4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2" customHeight="1" x14ac:dyDescent="0.4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2" customHeight="1" x14ac:dyDescent="0.4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2" customHeight="1" x14ac:dyDescent="0.4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2" customHeight="1" x14ac:dyDescent="0.4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2" customHeight="1" x14ac:dyDescent="0.4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2" customHeight="1" x14ac:dyDescent="0.4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2" customHeight="1" x14ac:dyDescent="0.4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2" customHeight="1" x14ac:dyDescent="0.4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2" customHeight="1" x14ac:dyDescent="0.4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2" customHeight="1" x14ac:dyDescent="0.4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2" customHeight="1" x14ac:dyDescent="0.4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2" customHeight="1" x14ac:dyDescent="0.4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2" customHeight="1" x14ac:dyDescent="0.4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2" customHeight="1" x14ac:dyDescent="0.4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2" customHeight="1" x14ac:dyDescent="0.4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2" customHeight="1" x14ac:dyDescent="0.4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2" customHeight="1" x14ac:dyDescent="0.4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2" customHeight="1" x14ac:dyDescent="0.4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2" customHeight="1" x14ac:dyDescent="0.4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2" customHeight="1" x14ac:dyDescent="0.4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2" customHeight="1" x14ac:dyDescent="0.4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2" customHeight="1" x14ac:dyDescent="0.4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2" customHeight="1" x14ac:dyDescent="0.4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2" customHeight="1" x14ac:dyDescent="0.4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2" customHeight="1" x14ac:dyDescent="0.4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2" customHeight="1" x14ac:dyDescent="0.4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2" customHeight="1" x14ac:dyDescent="0.4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2" customHeight="1" x14ac:dyDescent="0.4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2" customHeight="1" x14ac:dyDescent="0.4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2" customHeight="1" x14ac:dyDescent="0.4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2" customHeight="1" x14ac:dyDescent="0.4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2" customHeight="1" x14ac:dyDescent="0.4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2" customHeight="1" x14ac:dyDescent="0.4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2" customHeight="1" x14ac:dyDescent="0.4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2" customHeight="1" x14ac:dyDescent="0.4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2" customHeight="1" x14ac:dyDescent="0.4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2" customHeight="1" x14ac:dyDescent="0.4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2" customHeight="1" x14ac:dyDescent="0.4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2" customHeight="1" x14ac:dyDescent="0.4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2" customHeight="1" x14ac:dyDescent="0.4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2" customHeight="1" x14ac:dyDescent="0.4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2" customHeight="1" x14ac:dyDescent="0.4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2" customHeight="1" x14ac:dyDescent="0.4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2" customHeight="1" x14ac:dyDescent="0.4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2" customHeight="1" x14ac:dyDescent="0.4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2" customHeight="1" x14ac:dyDescent="0.4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2" customHeight="1" x14ac:dyDescent="0.4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2" customHeight="1" x14ac:dyDescent="0.4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2" customHeight="1" x14ac:dyDescent="0.4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2" customHeight="1" x14ac:dyDescent="0.4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2" customHeight="1" x14ac:dyDescent="0.4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2" customHeight="1" x14ac:dyDescent="0.4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2" customHeight="1" x14ac:dyDescent="0.4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2" customHeight="1" x14ac:dyDescent="0.4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2" customHeight="1" x14ac:dyDescent="0.4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2" customHeight="1" x14ac:dyDescent="0.4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2" customHeight="1" x14ac:dyDescent="0.4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2" customHeight="1" x14ac:dyDescent="0.4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2" customHeight="1" x14ac:dyDescent="0.4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2" customHeight="1" x14ac:dyDescent="0.4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2" customHeight="1" x14ac:dyDescent="0.4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2" customHeight="1" x14ac:dyDescent="0.4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2" customHeight="1" x14ac:dyDescent="0.4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2" customHeight="1" x14ac:dyDescent="0.4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2" customHeight="1" x14ac:dyDescent="0.4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2" customHeight="1" x14ac:dyDescent="0.4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2" customHeight="1" x14ac:dyDescent="0.4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2" customHeight="1" x14ac:dyDescent="0.4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2" customHeight="1" x14ac:dyDescent="0.4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2" customHeight="1" x14ac:dyDescent="0.4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2" customHeight="1" x14ac:dyDescent="0.4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2" customHeight="1" x14ac:dyDescent="0.4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2" customHeight="1" x14ac:dyDescent="0.4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2" customHeight="1" x14ac:dyDescent="0.4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2" customHeight="1" x14ac:dyDescent="0.4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2" customHeight="1" x14ac:dyDescent="0.4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2" customHeight="1" x14ac:dyDescent="0.4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2" customHeight="1" x14ac:dyDescent="0.4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2" customHeight="1" x14ac:dyDescent="0.4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2" customHeight="1" x14ac:dyDescent="0.4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2" customHeight="1" x14ac:dyDescent="0.4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2" customHeight="1" x14ac:dyDescent="0.4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2" customHeight="1" x14ac:dyDescent="0.4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2" customHeight="1" x14ac:dyDescent="0.4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2" customHeight="1" x14ac:dyDescent="0.4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2" customHeight="1" x14ac:dyDescent="0.4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2" customHeight="1" x14ac:dyDescent="0.4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2" customHeight="1" x14ac:dyDescent="0.4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2" customHeight="1" x14ac:dyDescent="0.4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2" customHeight="1" x14ac:dyDescent="0.4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2" customHeight="1" x14ac:dyDescent="0.4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2" customHeight="1" x14ac:dyDescent="0.4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2" customHeight="1" x14ac:dyDescent="0.4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2" customHeight="1" x14ac:dyDescent="0.4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2" customHeight="1" x14ac:dyDescent="0.4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2" customHeight="1" x14ac:dyDescent="0.4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2" customHeight="1" x14ac:dyDescent="0.4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2" customHeight="1" x14ac:dyDescent="0.4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2" customHeight="1" x14ac:dyDescent="0.4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2" customHeight="1" x14ac:dyDescent="0.4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2" customHeight="1" x14ac:dyDescent="0.4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2" customHeight="1" x14ac:dyDescent="0.4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2" customHeight="1" x14ac:dyDescent="0.4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2" customHeight="1" x14ac:dyDescent="0.4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2" customHeight="1" x14ac:dyDescent="0.4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2" customHeight="1" x14ac:dyDescent="0.4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2" customHeight="1" x14ac:dyDescent="0.4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2" customHeight="1" x14ac:dyDescent="0.4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2" customHeight="1" x14ac:dyDescent="0.4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2" customHeight="1" x14ac:dyDescent="0.4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2" customHeight="1" x14ac:dyDescent="0.4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2" customHeight="1" x14ac:dyDescent="0.4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2" customHeight="1" x14ac:dyDescent="0.4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2" customHeight="1" x14ac:dyDescent="0.4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2" customHeight="1" x14ac:dyDescent="0.4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2" customHeight="1" x14ac:dyDescent="0.4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2" customHeight="1" x14ac:dyDescent="0.4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2" customHeight="1" x14ac:dyDescent="0.4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2" customHeight="1" x14ac:dyDescent="0.4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2" customHeight="1" x14ac:dyDescent="0.4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2" customHeight="1" x14ac:dyDescent="0.4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2" customHeight="1" x14ac:dyDescent="0.4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2" customHeight="1" x14ac:dyDescent="0.4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2" customHeight="1" x14ac:dyDescent="0.4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2" customHeight="1" x14ac:dyDescent="0.4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2" customHeight="1" x14ac:dyDescent="0.4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2" customHeight="1" x14ac:dyDescent="0.4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2" customHeight="1" x14ac:dyDescent="0.4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2" customHeight="1" x14ac:dyDescent="0.4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2" customHeight="1" x14ac:dyDescent="0.4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2" customHeight="1" x14ac:dyDescent="0.4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2" customHeight="1" x14ac:dyDescent="0.4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2" customHeight="1" x14ac:dyDescent="0.4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2" customHeight="1" x14ac:dyDescent="0.4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2" customHeight="1" x14ac:dyDescent="0.4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2" customHeight="1" x14ac:dyDescent="0.4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2" customHeight="1" x14ac:dyDescent="0.4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2" customHeight="1" x14ac:dyDescent="0.4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2" customHeight="1" x14ac:dyDescent="0.4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2" customHeight="1" x14ac:dyDescent="0.4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2" customHeight="1" x14ac:dyDescent="0.4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2" customHeight="1" x14ac:dyDescent="0.4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2" customHeight="1" x14ac:dyDescent="0.4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2" customHeight="1" x14ac:dyDescent="0.4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2" customHeight="1" x14ac:dyDescent="0.4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2" customHeight="1" x14ac:dyDescent="0.4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2" customHeight="1" x14ac:dyDescent="0.4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2" customHeight="1" x14ac:dyDescent="0.4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2" customHeight="1" x14ac:dyDescent="0.4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2" customHeight="1" x14ac:dyDescent="0.4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2" customHeight="1" x14ac:dyDescent="0.4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2" customHeight="1" x14ac:dyDescent="0.4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2" customHeight="1" x14ac:dyDescent="0.4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2" customHeight="1" x14ac:dyDescent="0.4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2" customHeight="1" x14ac:dyDescent="0.4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2" customHeight="1" x14ac:dyDescent="0.4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2" customHeight="1" x14ac:dyDescent="0.4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2" customHeight="1" x14ac:dyDescent="0.4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2" customHeight="1" x14ac:dyDescent="0.4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2" customHeight="1" x14ac:dyDescent="0.4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2" customHeight="1" x14ac:dyDescent="0.4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2" customHeight="1" x14ac:dyDescent="0.4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2" customHeight="1" x14ac:dyDescent="0.4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2" customHeight="1" x14ac:dyDescent="0.4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2" customHeight="1" x14ac:dyDescent="0.4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2" customHeight="1" x14ac:dyDescent="0.4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2" customHeight="1" x14ac:dyDescent="0.4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2" customHeight="1" x14ac:dyDescent="0.4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2" customHeight="1" x14ac:dyDescent="0.4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2" customHeight="1" x14ac:dyDescent="0.4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2" customHeight="1" x14ac:dyDescent="0.4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2" customHeight="1" x14ac:dyDescent="0.4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2" customHeight="1" x14ac:dyDescent="0.4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2" customHeight="1" x14ac:dyDescent="0.4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2" customHeight="1" x14ac:dyDescent="0.4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2" customHeight="1" x14ac:dyDescent="0.4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2" customHeight="1" x14ac:dyDescent="0.4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2" customHeight="1" x14ac:dyDescent="0.4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2" customHeight="1" x14ac:dyDescent="0.4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2" customHeight="1" x14ac:dyDescent="0.4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2" customHeight="1" x14ac:dyDescent="0.4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2" customHeight="1" x14ac:dyDescent="0.4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2" customHeight="1" x14ac:dyDescent="0.4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2" customHeight="1" x14ac:dyDescent="0.4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2" customHeight="1" x14ac:dyDescent="0.4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2" customHeight="1" x14ac:dyDescent="0.4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2" customHeight="1" x14ac:dyDescent="0.4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2" customHeight="1" x14ac:dyDescent="0.4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2" customHeight="1" x14ac:dyDescent="0.4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2" customHeight="1" x14ac:dyDescent="0.4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2" customHeight="1" x14ac:dyDescent="0.4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2" customHeight="1" x14ac:dyDescent="0.4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2" customHeight="1" x14ac:dyDescent="0.4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2" customHeight="1" x14ac:dyDescent="0.4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2" customHeight="1" x14ac:dyDescent="0.4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2" customHeight="1" x14ac:dyDescent="0.4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2" customHeight="1" x14ac:dyDescent="0.4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2" customHeight="1" x14ac:dyDescent="0.4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2" customHeight="1" x14ac:dyDescent="0.4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2" customHeight="1" x14ac:dyDescent="0.4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2" customHeight="1" x14ac:dyDescent="0.4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2" customHeight="1" x14ac:dyDescent="0.4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2" customHeight="1" x14ac:dyDescent="0.4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2" customHeight="1" x14ac:dyDescent="0.4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2" customHeight="1" x14ac:dyDescent="0.4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2" customHeight="1" x14ac:dyDescent="0.4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2" customHeight="1" x14ac:dyDescent="0.4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2" customHeight="1" x14ac:dyDescent="0.4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2" customHeight="1" x14ac:dyDescent="0.4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2" customHeight="1" x14ac:dyDescent="0.4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2" customHeight="1" x14ac:dyDescent="0.4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2" customHeight="1" x14ac:dyDescent="0.4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2" customHeight="1" x14ac:dyDescent="0.4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2" customHeight="1" x14ac:dyDescent="0.4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2" customHeight="1" x14ac:dyDescent="0.4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2" customHeight="1" x14ac:dyDescent="0.4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2" customHeight="1" x14ac:dyDescent="0.4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2" customHeight="1" x14ac:dyDescent="0.4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2" customHeight="1" x14ac:dyDescent="0.4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2" customHeight="1" x14ac:dyDescent="0.4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2" customHeight="1" x14ac:dyDescent="0.4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2" customHeight="1" x14ac:dyDescent="0.4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2" customHeight="1" x14ac:dyDescent="0.4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2" customHeight="1" x14ac:dyDescent="0.4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2" customHeight="1" x14ac:dyDescent="0.4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2" customHeight="1" x14ac:dyDescent="0.4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2" customHeight="1" x14ac:dyDescent="0.4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2" customHeight="1" x14ac:dyDescent="0.4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2" customHeight="1" x14ac:dyDescent="0.4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2" customHeight="1" x14ac:dyDescent="0.4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2" customHeight="1" x14ac:dyDescent="0.4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2" customHeight="1" x14ac:dyDescent="0.4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2" customHeight="1" x14ac:dyDescent="0.4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2" customHeight="1" x14ac:dyDescent="0.4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2" customHeight="1" x14ac:dyDescent="0.4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2" customHeight="1" x14ac:dyDescent="0.4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2" customHeight="1" x14ac:dyDescent="0.4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2" customHeight="1" x14ac:dyDescent="0.4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2" customHeight="1" x14ac:dyDescent="0.4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2" customHeight="1" x14ac:dyDescent="0.4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2" customHeight="1" x14ac:dyDescent="0.4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2" customHeight="1" x14ac:dyDescent="0.4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2" customHeight="1" x14ac:dyDescent="0.4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2" customHeight="1" x14ac:dyDescent="0.4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2" customHeight="1" x14ac:dyDescent="0.4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2" customHeight="1" x14ac:dyDescent="0.4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2" customHeight="1" x14ac:dyDescent="0.4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2" customHeight="1" x14ac:dyDescent="0.4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2" customHeight="1" x14ac:dyDescent="0.4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2" customHeight="1" x14ac:dyDescent="0.4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2" customHeight="1" x14ac:dyDescent="0.4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2" customHeight="1" x14ac:dyDescent="0.4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2" customHeight="1" x14ac:dyDescent="0.4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2" customHeight="1" x14ac:dyDescent="0.4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2" customHeight="1" x14ac:dyDescent="0.4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2" customHeight="1" x14ac:dyDescent="0.4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2" customHeight="1" x14ac:dyDescent="0.4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2" customHeight="1" x14ac:dyDescent="0.4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2" customHeight="1" x14ac:dyDescent="0.4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2" customHeight="1" x14ac:dyDescent="0.4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2" customHeight="1" x14ac:dyDescent="0.4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2" customHeight="1" x14ac:dyDescent="0.4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2" customHeight="1" x14ac:dyDescent="0.4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2" customHeight="1" x14ac:dyDescent="0.4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2" customHeight="1" x14ac:dyDescent="0.4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2" customHeight="1" x14ac:dyDescent="0.4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2" customHeight="1" x14ac:dyDescent="0.4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2" customHeight="1" x14ac:dyDescent="0.4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2" customHeight="1" x14ac:dyDescent="0.4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2" customHeight="1" x14ac:dyDescent="0.4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2" customHeight="1" x14ac:dyDescent="0.4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2" customHeight="1" x14ac:dyDescent="0.4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2" customHeight="1" x14ac:dyDescent="0.4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2" customHeight="1" x14ac:dyDescent="0.4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2" customHeight="1" x14ac:dyDescent="0.4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2" customHeight="1" x14ac:dyDescent="0.4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2" customHeight="1" x14ac:dyDescent="0.4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2" customHeight="1" x14ac:dyDescent="0.4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2" customHeight="1" x14ac:dyDescent="0.4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2" customHeight="1" x14ac:dyDescent="0.4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2" customHeight="1" x14ac:dyDescent="0.4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2" customHeight="1" x14ac:dyDescent="0.4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2" customHeight="1" x14ac:dyDescent="0.4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2" customHeight="1" x14ac:dyDescent="0.4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2" customHeight="1" x14ac:dyDescent="0.4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2" customHeight="1" x14ac:dyDescent="0.4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2" customHeight="1" x14ac:dyDescent="0.4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2" customHeight="1" x14ac:dyDescent="0.4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2" customHeight="1" x14ac:dyDescent="0.4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2" customHeight="1" x14ac:dyDescent="0.4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2" customHeight="1" x14ac:dyDescent="0.4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2" customHeight="1" x14ac:dyDescent="0.4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2" customHeight="1" x14ac:dyDescent="0.4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2" customHeight="1" x14ac:dyDescent="0.4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2" customHeight="1" x14ac:dyDescent="0.4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2" customHeight="1" x14ac:dyDescent="0.4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2" customHeight="1" x14ac:dyDescent="0.4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2" customHeight="1" x14ac:dyDescent="0.4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2" customHeight="1" x14ac:dyDescent="0.4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2" customHeight="1" x14ac:dyDescent="0.4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2" customHeight="1" x14ac:dyDescent="0.4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2" customHeight="1" x14ac:dyDescent="0.4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2" customHeight="1" x14ac:dyDescent="0.4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2" customHeight="1" x14ac:dyDescent="0.4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2" customHeight="1" x14ac:dyDescent="0.4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2" customHeight="1" x14ac:dyDescent="0.4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2" customHeight="1" x14ac:dyDescent="0.4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2" customHeight="1" x14ac:dyDescent="0.4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2" customHeight="1" x14ac:dyDescent="0.4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2" customHeight="1" x14ac:dyDescent="0.4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2" customHeight="1" x14ac:dyDescent="0.4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2" customHeight="1" x14ac:dyDescent="0.4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2" customHeight="1" x14ac:dyDescent="0.4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2" customHeight="1" x14ac:dyDescent="0.4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2" customHeight="1" x14ac:dyDescent="0.4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2" customHeight="1" x14ac:dyDescent="0.4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2" customHeight="1" x14ac:dyDescent="0.4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2" customHeight="1" x14ac:dyDescent="0.4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2" customHeight="1" x14ac:dyDescent="0.4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2" customHeight="1" x14ac:dyDescent="0.4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2" customHeight="1" x14ac:dyDescent="0.4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2" customHeight="1" x14ac:dyDescent="0.4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2" customHeight="1" x14ac:dyDescent="0.4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2" customHeight="1" x14ac:dyDescent="0.4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2" customHeight="1" x14ac:dyDescent="0.4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2" customHeight="1" x14ac:dyDescent="0.4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2" customHeight="1" x14ac:dyDescent="0.4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2" customHeight="1" x14ac:dyDescent="0.4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2" customHeight="1" x14ac:dyDescent="0.4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2" customHeight="1" x14ac:dyDescent="0.4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2" customHeight="1" x14ac:dyDescent="0.4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2" customHeight="1" x14ac:dyDescent="0.4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2" customHeight="1" x14ac:dyDescent="0.4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2" customHeight="1" x14ac:dyDescent="0.4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2" customHeight="1" x14ac:dyDescent="0.4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2" customHeight="1" x14ac:dyDescent="0.4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2" customHeight="1" x14ac:dyDescent="0.4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2" customHeight="1" x14ac:dyDescent="0.4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2" customHeight="1" x14ac:dyDescent="0.4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2" customHeight="1" x14ac:dyDescent="0.4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2" customHeight="1" x14ac:dyDescent="0.4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2" customHeight="1" x14ac:dyDescent="0.4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2" customHeight="1" x14ac:dyDescent="0.4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2" customHeight="1" x14ac:dyDescent="0.4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2" customHeight="1" x14ac:dyDescent="0.4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2" customHeight="1" x14ac:dyDescent="0.4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2" customHeight="1" x14ac:dyDescent="0.4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2" customHeight="1" x14ac:dyDescent="0.4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2" customHeight="1" x14ac:dyDescent="0.4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2" customHeight="1" x14ac:dyDescent="0.4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2" customHeight="1" x14ac:dyDescent="0.4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2" customHeight="1" x14ac:dyDescent="0.4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2" customHeight="1" x14ac:dyDescent="0.4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2" customHeight="1" x14ac:dyDescent="0.4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2" customHeight="1" x14ac:dyDescent="0.4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2" customHeight="1" x14ac:dyDescent="0.4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2" customHeight="1" x14ac:dyDescent="0.4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2" customHeight="1" x14ac:dyDescent="0.4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2" customHeight="1" x14ac:dyDescent="0.4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2" customHeight="1" x14ac:dyDescent="0.4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2" customHeight="1" x14ac:dyDescent="0.4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2" customHeight="1" x14ac:dyDescent="0.4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2" customHeight="1" x14ac:dyDescent="0.4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2" customHeight="1" x14ac:dyDescent="0.4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2" customHeight="1" x14ac:dyDescent="0.4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2" customHeight="1" x14ac:dyDescent="0.4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2" customHeight="1" x14ac:dyDescent="0.4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2" customHeight="1" x14ac:dyDescent="0.4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2" customHeight="1" x14ac:dyDescent="0.4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2" customHeight="1" x14ac:dyDescent="0.4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2" customHeight="1" x14ac:dyDescent="0.4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2" customHeight="1" x14ac:dyDescent="0.4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2" customHeight="1" x14ac:dyDescent="0.4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2" customHeight="1" x14ac:dyDescent="0.4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2" customHeight="1" x14ac:dyDescent="0.4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2" customHeight="1" x14ac:dyDescent="0.4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2" customHeight="1" x14ac:dyDescent="0.4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2" customHeight="1" x14ac:dyDescent="0.4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2" customHeight="1" x14ac:dyDescent="0.4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2" customHeight="1" x14ac:dyDescent="0.4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2" customHeight="1" x14ac:dyDescent="0.4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2" customHeight="1" x14ac:dyDescent="0.4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2" customHeight="1" x14ac:dyDescent="0.4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2" customHeight="1" x14ac:dyDescent="0.4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2" customHeight="1" x14ac:dyDescent="0.4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2" customHeight="1" x14ac:dyDescent="0.4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2" customHeight="1" x14ac:dyDescent="0.4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2" customHeight="1" x14ac:dyDescent="0.4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2" customHeight="1" x14ac:dyDescent="0.4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2" customHeight="1" x14ac:dyDescent="0.4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2" customHeight="1" x14ac:dyDescent="0.4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2" customHeight="1" x14ac:dyDescent="0.4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2" customHeight="1" x14ac:dyDescent="0.4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2" customHeight="1" x14ac:dyDescent="0.4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2" customHeight="1" x14ac:dyDescent="0.4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2" customHeight="1" x14ac:dyDescent="0.4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2" customHeight="1" x14ac:dyDescent="0.4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2" customHeight="1" x14ac:dyDescent="0.4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2" customHeight="1" x14ac:dyDescent="0.4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2" customHeight="1" x14ac:dyDescent="0.4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2" customHeight="1" x14ac:dyDescent="0.4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2" customHeight="1" x14ac:dyDescent="0.4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2" customHeight="1" x14ac:dyDescent="0.4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2" customHeight="1" x14ac:dyDescent="0.4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2" customHeight="1" x14ac:dyDescent="0.4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2" customHeight="1" x14ac:dyDescent="0.4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2" customHeight="1" x14ac:dyDescent="0.4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2" customHeight="1" x14ac:dyDescent="0.4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2" customHeight="1" x14ac:dyDescent="0.4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2" customHeight="1" x14ac:dyDescent="0.4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2" customHeight="1" x14ac:dyDescent="0.4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2" customHeight="1" x14ac:dyDescent="0.4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2" customHeight="1" x14ac:dyDescent="0.4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2" customHeight="1" x14ac:dyDescent="0.4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2" customHeight="1" x14ac:dyDescent="0.4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2" customHeight="1" x14ac:dyDescent="0.4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2" customHeight="1" x14ac:dyDescent="0.4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2" customHeight="1" x14ac:dyDescent="0.4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2" customHeight="1" x14ac:dyDescent="0.4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2" customHeight="1" x14ac:dyDescent="0.4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2" customHeight="1" x14ac:dyDescent="0.4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2" customHeight="1" x14ac:dyDescent="0.4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2" customHeight="1" x14ac:dyDescent="0.4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2" customHeight="1" x14ac:dyDescent="0.4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2" customHeight="1" x14ac:dyDescent="0.4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2" customHeight="1" x14ac:dyDescent="0.4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2" customHeight="1" x14ac:dyDescent="0.4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2" customHeight="1" x14ac:dyDescent="0.4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2" customHeight="1" x14ac:dyDescent="0.4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2" customHeight="1" x14ac:dyDescent="0.4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2" customHeight="1" x14ac:dyDescent="0.4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2" customHeight="1" x14ac:dyDescent="0.4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2" customHeight="1" x14ac:dyDescent="0.4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2" customHeight="1" x14ac:dyDescent="0.4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2" customHeight="1" x14ac:dyDescent="0.4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2" customHeight="1" x14ac:dyDescent="0.4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2" customHeight="1" x14ac:dyDescent="0.4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2" customHeight="1" x14ac:dyDescent="0.4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2" customHeight="1" x14ac:dyDescent="0.4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2" customHeight="1" x14ac:dyDescent="0.4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2" customHeight="1" x14ac:dyDescent="0.4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2" customHeight="1" x14ac:dyDescent="0.4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2" customHeight="1" x14ac:dyDescent="0.4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2" customHeight="1" x14ac:dyDescent="0.4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2" customHeight="1" x14ac:dyDescent="0.4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2" customHeight="1" x14ac:dyDescent="0.4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2" customHeight="1" x14ac:dyDescent="0.4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2" customHeight="1" x14ac:dyDescent="0.4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2" customHeight="1" x14ac:dyDescent="0.4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2" customHeight="1" x14ac:dyDescent="0.4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2" customHeight="1" x14ac:dyDescent="0.4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2" customHeight="1" x14ac:dyDescent="0.4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2" customHeight="1" x14ac:dyDescent="0.4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2" customHeight="1" x14ac:dyDescent="0.4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2" customHeight="1" x14ac:dyDescent="0.4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2" customHeight="1" x14ac:dyDescent="0.4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2" customHeight="1" x14ac:dyDescent="0.4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2" customHeight="1" x14ac:dyDescent="0.4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2" customHeight="1" x14ac:dyDescent="0.4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2" customHeight="1" x14ac:dyDescent="0.4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2" customHeight="1" x14ac:dyDescent="0.4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2" customHeight="1" x14ac:dyDescent="0.4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2" customHeight="1" x14ac:dyDescent="0.4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2" customHeight="1" x14ac:dyDescent="0.4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2" customHeight="1" x14ac:dyDescent="0.4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2" customHeight="1" x14ac:dyDescent="0.4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2" customHeight="1" x14ac:dyDescent="0.4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2" customHeight="1" x14ac:dyDescent="0.4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2" customHeight="1" x14ac:dyDescent="0.4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2" customHeight="1" x14ac:dyDescent="0.4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2" customHeight="1" x14ac:dyDescent="0.4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2" customHeight="1" x14ac:dyDescent="0.4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2" customHeight="1" x14ac:dyDescent="0.4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2" customHeight="1" x14ac:dyDescent="0.4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2" customHeight="1" x14ac:dyDescent="0.4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2" customHeight="1" x14ac:dyDescent="0.4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2" customHeight="1" x14ac:dyDescent="0.4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2" customHeight="1" x14ac:dyDescent="0.4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2" customHeight="1" x14ac:dyDescent="0.4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2" customHeight="1" x14ac:dyDescent="0.4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2" customHeight="1" x14ac:dyDescent="0.4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2" customHeight="1" x14ac:dyDescent="0.4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2" customHeight="1" x14ac:dyDescent="0.4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2" customHeight="1" x14ac:dyDescent="0.4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2" customHeight="1" x14ac:dyDescent="0.4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2" customHeight="1" x14ac:dyDescent="0.4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2" customHeight="1" x14ac:dyDescent="0.4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2" customHeight="1" x14ac:dyDescent="0.4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2" customHeight="1" x14ac:dyDescent="0.4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2" customHeight="1" x14ac:dyDescent="0.4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2" customHeight="1" x14ac:dyDescent="0.4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2" customHeight="1" x14ac:dyDescent="0.4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2" customHeight="1" x14ac:dyDescent="0.4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2" customHeight="1" x14ac:dyDescent="0.4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2" customHeight="1" x14ac:dyDescent="0.4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2" customHeight="1" x14ac:dyDescent="0.4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2" customHeight="1" x14ac:dyDescent="0.4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2" customHeight="1" x14ac:dyDescent="0.4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2" customHeight="1" x14ac:dyDescent="0.4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2" customHeight="1" x14ac:dyDescent="0.4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2" customHeight="1" x14ac:dyDescent="0.4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2" customHeight="1" x14ac:dyDescent="0.4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2" customHeight="1" x14ac:dyDescent="0.4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2" customHeight="1" x14ac:dyDescent="0.4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2" customHeight="1" x14ac:dyDescent="0.4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2" customHeight="1" x14ac:dyDescent="0.4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2" customHeight="1" x14ac:dyDescent="0.4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2" customHeight="1" x14ac:dyDescent="0.4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2" customHeight="1" x14ac:dyDescent="0.4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2" customHeight="1" x14ac:dyDescent="0.4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2" customHeight="1" x14ac:dyDescent="0.4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2" customHeight="1" x14ac:dyDescent="0.4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2" customHeight="1" x14ac:dyDescent="0.4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2" customHeight="1" x14ac:dyDescent="0.4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2" customHeight="1" x14ac:dyDescent="0.4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2" customHeight="1" x14ac:dyDescent="0.4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2" customHeight="1" x14ac:dyDescent="0.4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2" customHeight="1" x14ac:dyDescent="0.4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2" customHeight="1" x14ac:dyDescent="0.4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2" customHeight="1" x14ac:dyDescent="0.4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2" customHeight="1" x14ac:dyDescent="0.4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2" customHeight="1" x14ac:dyDescent="0.4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2" customHeight="1" x14ac:dyDescent="0.4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2" customHeight="1" x14ac:dyDescent="0.4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2" customHeight="1" x14ac:dyDescent="0.4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2" customHeight="1" x14ac:dyDescent="0.4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2" customHeight="1" x14ac:dyDescent="0.4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2" customHeight="1" x14ac:dyDescent="0.4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2" customHeight="1" x14ac:dyDescent="0.4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2" customHeight="1" x14ac:dyDescent="0.4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2" customHeight="1" x14ac:dyDescent="0.4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2" customHeight="1" x14ac:dyDescent="0.4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2" customHeight="1" x14ac:dyDescent="0.4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2" customHeight="1" x14ac:dyDescent="0.4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2" customHeight="1" x14ac:dyDescent="0.4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2" customHeight="1" x14ac:dyDescent="0.4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2" customHeight="1" x14ac:dyDescent="0.4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2" customHeight="1" x14ac:dyDescent="0.4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2" customHeight="1" x14ac:dyDescent="0.4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2" customHeight="1" x14ac:dyDescent="0.4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2" customHeight="1" x14ac:dyDescent="0.4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2" customHeight="1" x14ac:dyDescent="0.4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2" customHeight="1" x14ac:dyDescent="0.4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2" customHeight="1" x14ac:dyDescent="0.4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2" customHeight="1" x14ac:dyDescent="0.4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2" customHeight="1" x14ac:dyDescent="0.4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2" customHeight="1" x14ac:dyDescent="0.4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2" customHeight="1" x14ac:dyDescent="0.4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2" customHeight="1" x14ac:dyDescent="0.4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2" customHeight="1" x14ac:dyDescent="0.4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2" customHeight="1" x14ac:dyDescent="0.4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2" customHeight="1" x14ac:dyDescent="0.4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2" customHeight="1" x14ac:dyDescent="0.4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2" customHeight="1" x14ac:dyDescent="0.4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2" customHeight="1" x14ac:dyDescent="0.4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2" customHeight="1" x14ac:dyDescent="0.4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2" customHeight="1" x14ac:dyDescent="0.4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2" customHeight="1" x14ac:dyDescent="0.4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2" customHeight="1" x14ac:dyDescent="0.4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2" customHeight="1" x14ac:dyDescent="0.4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2" customHeight="1" x14ac:dyDescent="0.4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2" customHeight="1" x14ac:dyDescent="0.4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2" customHeight="1" x14ac:dyDescent="0.4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2" customHeight="1" x14ac:dyDescent="0.4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2" customHeight="1" x14ac:dyDescent="0.4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2" customHeight="1" x14ac:dyDescent="0.4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2" customHeight="1" x14ac:dyDescent="0.4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2" customHeight="1" x14ac:dyDescent="0.4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2" customHeight="1" x14ac:dyDescent="0.4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2" customHeight="1" x14ac:dyDescent="0.4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2" customHeight="1" x14ac:dyDescent="0.4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2" customHeight="1" x14ac:dyDescent="0.4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2" customHeight="1" x14ac:dyDescent="0.4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2" customHeight="1" x14ac:dyDescent="0.4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2" customHeight="1" x14ac:dyDescent="0.4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2" customHeight="1" x14ac:dyDescent="0.4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2" customHeight="1" x14ac:dyDescent="0.4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2" customHeight="1" x14ac:dyDescent="0.4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2" customHeight="1" x14ac:dyDescent="0.4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2" customHeight="1" x14ac:dyDescent="0.4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2" customHeight="1" x14ac:dyDescent="0.4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2" customHeight="1" x14ac:dyDescent="0.4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2" customHeight="1" x14ac:dyDescent="0.4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2" customHeight="1" x14ac:dyDescent="0.4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2" customHeight="1" x14ac:dyDescent="0.4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2" customHeight="1" x14ac:dyDescent="0.4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2" customHeight="1" x14ac:dyDescent="0.4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2" customHeight="1" x14ac:dyDescent="0.4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2" customHeight="1" x14ac:dyDescent="0.4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2" customHeight="1" x14ac:dyDescent="0.4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2" customHeight="1" x14ac:dyDescent="0.4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2" customHeight="1" x14ac:dyDescent="0.4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2" customHeight="1" x14ac:dyDescent="0.4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2" customHeight="1" x14ac:dyDescent="0.4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2" customHeight="1" x14ac:dyDescent="0.4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2" customHeight="1" x14ac:dyDescent="0.4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2" customHeight="1" x14ac:dyDescent="0.4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2" customHeight="1" x14ac:dyDescent="0.4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2" customHeight="1" x14ac:dyDescent="0.4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2" customHeight="1" x14ac:dyDescent="0.4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2" customHeight="1" x14ac:dyDescent="0.4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2" customHeight="1" x14ac:dyDescent="0.4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2" customHeight="1" x14ac:dyDescent="0.4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2" customHeight="1" x14ac:dyDescent="0.4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2" customHeight="1" x14ac:dyDescent="0.4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2" customHeight="1" x14ac:dyDescent="0.4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2" customHeight="1" x14ac:dyDescent="0.4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2" customHeight="1" x14ac:dyDescent="0.4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2" customHeight="1" x14ac:dyDescent="0.4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2" customHeight="1" x14ac:dyDescent="0.4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2" customHeight="1" x14ac:dyDescent="0.4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2" customHeight="1" x14ac:dyDescent="0.4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2" customHeight="1" x14ac:dyDescent="0.4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2" customHeight="1" x14ac:dyDescent="0.4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2" customHeight="1" x14ac:dyDescent="0.4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2" customHeight="1" x14ac:dyDescent="0.4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2" customHeight="1" x14ac:dyDescent="0.4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2" customHeight="1" x14ac:dyDescent="0.4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2" customHeight="1" x14ac:dyDescent="0.4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2" customHeight="1" x14ac:dyDescent="0.4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2" customHeight="1" x14ac:dyDescent="0.4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2" customHeight="1" x14ac:dyDescent="0.4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2" customHeight="1" x14ac:dyDescent="0.4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2" customHeight="1" x14ac:dyDescent="0.4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2" customHeight="1" x14ac:dyDescent="0.4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2" customHeight="1" x14ac:dyDescent="0.4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2" customHeight="1" x14ac:dyDescent="0.4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2" customHeight="1" x14ac:dyDescent="0.4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2" customHeight="1" x14ac:dyDescent="0.4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2" customHeight="1" x14ac:dyDescent="0.4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2" customHeight="1" x14ac:dyDescent="0.4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2" customHeight="1" x14ac:dyDescent="0.4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2" customHeight="1" x14ac:dyDescent="0.4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2" customHeight="1" x14ac:dyDescent="0.4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2" customHeight="1" x14ac:dyDescent="0.4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2" customHeight="1" x14ac:dyDescent="0.4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2" customHeight="1" x14ac:dyDescent="0.4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2" customHeight="1" x14ac:dyDescent="0.4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2" customHeight="1" x14ac:dyDescent="0.4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2" customHeight="1" x14ac:dyDescent="0.4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2" customHeight="1" x14ac:dyDescent="0.4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2" customHeight="1" x14ac:dyDescent="0.4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2" customHeight="1" x14ac:dyDescent="0.4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2" customHeight="1" x14ac:dyDescent="0.4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2" customHeight="1" x14ac:dyDescent="0.4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2" customHeight="1" x14ac:dyDescent="0.4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2" customHeight="1" x14ac:dyDescent="0.4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2" customHeight="1" x14ac:dyDescent="0.4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2" customHeight="1" x14ac:dyDescent="0.4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2" customHeight="1" x14ac:dyDescent="0.4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2" customHeight="1" x14ac:dyDescent="0.4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2" customHeight="1" x14ac:dyDescent="0.4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2" customHeight="1" x14ac:dyDescent="0.4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2" customHeight="1" x14ac:dyDescent="0.4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2" customHeight="1" x14ac:dyDescent="0.4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2" customHeight="1" x14ac:dyDescent="0.4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2" customHeight="1" x14ac:dyDescent="0.4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2" customHeight="1" x14ac:dyDescent="0.4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2" customHeight="1" x14ac:dyDescent="0.4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2" customHeight="1" x14ac:dyDescent="0.4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2" customHeight="1" x14ac:dyDescent="0.4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2" customHeight="1" x14ac:dyDescent="0.4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2" customHeight="1" x14ac:dyDescent="0.4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2" customHeight="1" x14ac:dyDescent="0.4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2" customHeight="1" x14ac:dyDescent="0.4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2" customHeight="1" x14ac:dyDescent="0.4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2" customHeight="1" x14ac:dyDescent="0.4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2" customHeight="1" x14ac:dyDescent="0.4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2" customHeight="1" x14ac:dyDescent="0.4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2" customHeight="1" x14ac:dyDescent="0.4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2" customHeight="1" x14ac:dyDescent="0.4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2" customHeight="1" x14ac:dyDescent="0.4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2" customHeight="1" x14ac:dyDescent="0.4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2" customHeight="1" x14ac:dyDescent="0.4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2" customHeight="1" x14ac:dyDescent="0.4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2" customHeight="1" x14ac:dyDescent="0.4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2" customHeight="1" x14ac:dyDescent="0.4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2" customHeight="1" x14ac:dyDescent="0.4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2" customHeight="1" x14ac:dyDescent="0.4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2" customHeight="1" x14ac:dyDescent="0.4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2" customHeight="1" x14ac:dyDescent="0.4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2" customHeight="1" x14ac:dyDescent="0.4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2" customHeight="1" x14ac:dyDescent="0.4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2" customHeight="1" x14ac:dyDescent="0.4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2" customHeight="1" x14ac:dyDescent="0.4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2" customHeight="1" x14ac:dyDescent="0.4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2" customHeight="1" x14ac:dyDescent="0.4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2" customHeight="1" x14ac:dyDescent="0.4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2" customHeight="1" x14ac:dyDescent="0.4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2" customHeight="1" x14ac:dyDescent="0.4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2" customHeight="1" x14ac:dyDescent="0.4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2" customHeight="1" x14ac:dyDescent="0.4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2" customHeight="1" x14ac:dyDescent="0.4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2" customHeight="1" x14ac:dyDescent="0.4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2" customHeight="1" x14ac:dyDescent="0.4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2" customHeight="1" x14ac:dyDescent="0.4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2" customHeight="1" x14ac:dyDescent="0.4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2" customHeight="1" x14ac:dyDescent="0.4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2" customHeight="1" x14ac:dyDescent="0.4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2" customHeight="1" x14ac:dyDescent="0.4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2" customHeight="1" x14ac:dyDescent="0.4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2" customHeight="1" x14ac:dyDescent="0.4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2" customHeight="1" x14ac:dyDescent="0.4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2" customHeight="1" x14ac:dyDescent="0.4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2" customHeight="1" x14ac:dyDescent="0.4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2" customHeight="1" x14ac:dyDescent="0.4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2" customHeight="1" x14ac:dyDescent="0.4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2" customHeight="1" x14ac:dyDescent="0.4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2" customHeight="1" x14ac:dyDescent="0.4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2" customHeight="1" x14ac:dyDescent="0.4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2" customHeight="1" x14ac:dyDescent="0.4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2" customHeight="1" x14ac:dyDescent="0.4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2" customHeight="1" x14ac:dyDescent="0.4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2" customHeight="1" x14ac:dyDescent="0.4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2" customHeight="1" x14ac:dyDescent="0.4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2" customHeight="1" x14ac:dyDescent="0.4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2" customHeight="1" x14ac:dyDescent="0.4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2" customHeight="1" x14ac:dyDescent="0.4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2" customHeight="1" x14ac:dyDescent="0.4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2" customHeight="1" x14ac:dyDescent="0.4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2" customHeight="1" x14ac:dyDescent="0.4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2" customHeight="1" x14ac:dyDescent="0.4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2" customHeight="1" x14ac:dyDescent="0.4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2" customHeight="1" x14ac:dyDescent="0.4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2" customHeight="1" x14ac:dyDescent="0.4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2" customHeight="1" x14ac:dyDescent="0.4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2" customHeight="1" x14ac:dyDescent="0.4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2" customHeight="1" x14ac:dyDescent="0.4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2" customHeight="1" x14ac:dyDescent="0.4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2" customHeight="1" x14ac:dyDescent="0.4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2" customHeight="1" x14ac:dyDescent="0.4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2" customHeight="1" x14ac:dyDescent="0.4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2" customHeight="1" x14ac:dyDescent="0.4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2" customHeight="1" x14ac:dyDescent="0.4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2" customHeight="1" x14ac:dyDescent="0.4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2" customHeight="1" x14ac:dyDescent="0.4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2" customHeight="1" x14ac:dyDescent="0.4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2" customHeight="1" x14ac:dyDescent="0.4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2" customHeight="1" x14ac:dyDescent="0.4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2" customHeight="1" x14ac:dyDescent="0.4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2" customHeight="1" x14ac:dyDescent="0.4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2" customHeight="1" x14ac:dyDescent="0.4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2" customHeight="1" x14ac:dyDescent="0.4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2" customHeight="1" x14ac:dyDescent="0.4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2" customHeight="1" x14ac:dyDescent="0.4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2" customHeight="1" x14ac:dyDescent="0.4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2" customHeight="1" x14ac:dyDescent="0.4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2" customHeight="1" x14ac:dyDescent="0.4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2" customHeight="1" x14ac:dyDescent="0.4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2" customHeight="1" x14ac:dyDescent="0.4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2" customHeight="1" x14ac:dyDescent="0.4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2" customHeight="1" x14ac:dyDescent="0.4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2" customHeight="1" x14ac:dyDescent="0.4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2" customHeight="1" x14ac:dyDescent="0.4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2" customHeight="1" x14ac:dyDescent="0.4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2" customHeight="1" x14ac:dyDescent="0.4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2" customHeight="1" x14ac:dyDescent="0.4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2" customHeight="1" x14ac:dyDescent="0.4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2" customHeight="1" x14ac:dyDescent="0.4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2" customHeight="1" x14ac:dyDescent="0.4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2" customHeight="1" x14ac:dyDescent="0.4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2" customHeight="1" x14ac:dyDescent="0.4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2" customHeight="1" x14ac:dyDescent="0.4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2" customHeight="1" x14ac:dyDescent="0.4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2" customHeight="1" x14ac:dyDescent="0.4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2" customHeight="1" x14ac:dyDescent="0.4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2" customHeight="1" x14ac:dyDescent="0.4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2" customHeight="1" x14ac:dyDescent="0.4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2" customHeight="1" x14ac:dyDescent="0.4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2" customHeight="1" x14ac:dyDescent="0.4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2" customHeight="1" x14ac:dyDescent="0.4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2" customHeight="1" x14ac:dyDescent="0.4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2" customHeight="1" x14ac:dyDescent="0.4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2" customHeight="1" x14ac:dyDescent="0.4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2" customHeight="1" x14ac:dyDescent="0.4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2" customHeight="1" x14ac:dyDescent="0.4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2" customHeight="1" x14ac:dyDescent="0.4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2" customHeight="1" x14ac:dyDescent="0.4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2" customHeight="1" x14ac:dyDescent="0.4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2" customHeight="1" x14ac:dyDescent="0.4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2" customHeight="1" x14ac:dyDescent="0.4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2" customHeight="1" x14ac:dyDescent="0.4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2" customHeight="1" x14ac:dyDescent="0.4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2" customHeight="1" x14ac:dyDescent="0.4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2" customHeight="1" x14ac:dyDescent="0.4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2" customHeight="1" x14ac:dyDescent="0.4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2" customHeight="1" x14ac:dyDescent="0.4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2" customHeight="1" x14ac:dyDescent="0.4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2" customHeight="1" x14ac:dyDescent="0.4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2" customHeight="1" x14ac:dyDescent="0.4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2" customHeight="1" x14ac:dyDescent="0.4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2" customHeight="1" x14ac:dyDescent="0.4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2" customHeight="1" x14ac:dyDescent="0.4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2" customHeight="1" x14ac:dyDescent="0.4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2" customHeight="1" x14ac:dyDescent="0.4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2" customHeight="1" x14ac:dyDescent="0.4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2" customHeight="1" x14ac:dyDescent="0.4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2" customHeight="1" x14ac:dyDescent="0.4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2" customHeight="1" x14ac:dyDescent="0.4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2" customHeight="1" x14ac:dyDescent="0.4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2" customHeight="1" x14ac:dyDescent="0.4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2" customHeight="1" x14ac:dyDescent="0.4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2" customHeight="1" x14ac:dyDescent="0.4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2" customHeight="1" x14ac:dyDescent="0.4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2" customHeight="1" x14ac:dyDescent="0.4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2" customHeight="1" x14ac:dyDescent="0.4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2" customHeight="1" x14ac:dyDescent="0.4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2" customHeight="1" x14ac:dyDescent="0.4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2" customHeight="1" x14ac:dyDescent="0.4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2" customHeight="1" x14ac:dyDescent="0.4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2" customHeight="1" x14ac:dyDescent="0.4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2" customHeight="1" x14ac:dyDescent="0.4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2" customHeight="1" x14ac:dyDescent="0.4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2" customHeight="1" x14ac:dyDescent="0.4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2" customHeight="1" x14ac:dyDescent="0.4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2" customHeight="1" x14ac:dyDescent="0.4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2" customHeight="1" x14ac:dyDescent="0.4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2" customHeight="1" x14ac:dyDescent="0.4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2" customHeight="1" x14ac:dyDescent="0.4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2" customHeight="1" x14ac:dyDescent="0.4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2" customHeight="1" x14ac:dyDescent="0.4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2" customHeight="1" x14ac:dyDescent="0.4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2" customHeight="1" x14ac:dyDescent="0.4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2" customHeight="1" x14ac:dyDescent="0.4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2" customHeight="1" x14ac:dyDescent="0.4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2" customHeight="1" x14ac:dyDescent="0.4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2" customHeight="1" x14ac:dyDescent="0.4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2" customHeight="1" x14ac:dyDescent="0.4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2" customHeight="1" x14ac:dyDescent="0.4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2" customHeight="1" x14ac:dyDescent="0.4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2" customHeight="1" x14ac:dyDescent="0.4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2" customHeight="1" x14ac:dyDescent="0.4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2" customHeight="1" x14ac:dyDescent="0.4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2" customHeight="1" x14ac:dyDescent="0.4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2" customHeight="1" x14ac:dyDescent="0.4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2" customHeight="1" x14ac:dyDescent="0.4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2" customHeight="1" x14ac:dyDescent="0.4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2" customHeight="1" x14ac:dyDescent="0.4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2" customHeight="1" x14ac:dyDescent="0.4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2" customHeight="1" x14ac:dyDescent="0.4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2" customHeight="1" x14ac:dyDescent="0.4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2" customHeight="1" x14ac:dyDescent="0.4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2" customHeight="1" x14ac:dyDescent="0.4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2" customHeight="1" x14ac:dyDescent="0.4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2" customHeight="1" x14ac:dyDescent="0.4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2" customHeight="1" x14ac:dyDescent="0.4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2" customHeight="1" x14ac:dyDescent="0.4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2" customHeight="1" x14ac:dyDescent="0.4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2" customHeight="1" x14ac:dyDescent="0.4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2" customHeight="1" x14ac:dyDescent="0.4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2" customHeight="1" x14ac:dyDescent="0.4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2" customHeight="1" x14ac:dyDescent="0.4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2" customHeight="1" x14ac:dyDescent="0.4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2" customHeight="1" x14ac:dyDescent="0.4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2" customHeight="1" x14ac:dyDescent="0.4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2" customHeight="1" x14ac:dyDescent="0.4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2" customHeight="1" x14ac:dyDescent="0.4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2" customHeight="1" x14ac:dyDescent="0.4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2" customHeight="1" x14ac:dyDescent="0.4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2" customHeight="1" x14ac:dyDescent="0.4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2" customHeight="1" x14ac:dyDescent="0.4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2" customHeight="1" x14ac:dyDescent="0.4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2" customHeight="1" x14ac:dyDescent="0.4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2" customHeight="1" x14ac:dyDescent="0.4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2" customHeight="1" x14ac:dyDescent="0.4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2" customHeight="1" x14ac:dyDescent="0.4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2" customHeight="1" x14ac:dyDescent="0.4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2" customHeight="1" x14ac:dyDescent="0.4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2" customHeight="1" x14ac:dyDescent="0.4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2" customHeight="1" x14ac:dyDescent="0.4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2" customHeight="1" x14ac:dyDescent="0.4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2" customHeight="1" x14ac:dyDescent="0.4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2" customHeight="1" x14ac:dyDescent="0.4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2" customHeight="1" x14ac:dyDescent="0.4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2" customHeight="1" x14ac:dyDescent="0.4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2" customHeight="1" x14ac:dyDescent="0.4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2" customHeight="1" x14ac:dyDescent="0.4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2" customHeight="1" x14ac:dyDescent="0.4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2" customHeight="1" x14ac:dyDescent="0.4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2" customHeight="1" x14ac:dyDescent="0.4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2" customHeight="1" x14ac:dyDescent="0.4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2" customHeight="1" x14ac:dyDescent="0.4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2" customHeight="1" x14ac:dyDescent="0.4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2" customHeight="1" x14ac:dyDescent="0.4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2" customHeight="1" x14ac:dyDescent="0.4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2" customHeight="1" x14ac:dyDescent="0.4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2" customHeight="1" x14ac:dyDescent="0.4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2" customHeight="1" x14ac:dyDescent="0.4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2" customHeight="1" x14ac:dyDescent="0.4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2" customHeight="1" x14ac:dyDescent="0.4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2" customHeight="1" x14ac:dyDescent="0.4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2" customHeight="1" x14ac:dyDescent="0.4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2" customHeight="1" x14ac:dyDescent="0.4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2" customHeight="1" x14ac:dyDescent="0.4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2" customHeight="1" x14ac:dyDescent="0.4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2" customHeight="1" x14ac:dyDescent="0.4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2" customHeight="1" x14ac:dyDescent="0.4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2" customHeight="1" x14ac:dyDescent="0.4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2" customHeight="1" x14ac:dyDescent="0.4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2" customHeight="1" x14ac:dyDescent="0.4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2" customHeight="1" x14ac:dyDescent="0.4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2" customHeight="1" x14ac:dyDescent="0.4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2" customHeight="1" x14ac:dyDescent="0.4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2" customHeight="1" x14ac:dyDescent="0.4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2" customHeight="1" x14ac:dyDescent="0.4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2" customHeight="1" x14ac:dyDescent="0.4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2" customHeight="1" x14ac:dyDescent="0.4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2" customHeight="1" x14ac:dyDescent="0.4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2" customHeight="1" x14ac:dyDescent="0.4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2" customHeight="1" x14ac:dyDescent="0.4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2" customHeight="1" x14ac:dyDescent="0.4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2" customHeight="1" x14ac:dyDescent="0.4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2" customHeight="1" x14ac:dyDescent="0.4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2" customHeight="1" x14ac:dyDescent="0.4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2" customHeight="1" x14ac:dyDescent="0.4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2" customHeight="1" x14ac:dyDescent="0.4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2" customHeight="1" x14ac:dyDescent="0.4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2" customHeight="1" x14ac:dyDescent="0.4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2" customHeight="1" x14ac:dyDescent="0.4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2" customHeight="1" x14ac:dyDescent="0.4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2" customHeight="1" x14ac:dyDescent="0.4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2" customHeight="1" x14ac:dyDescent="0.4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2" customHeight="1" x14ac:dyDescent="0.4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2" customHeight="1" x14ac:dyDescent="0.4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2" customHeight="1" x14ac:dyDescent="0.4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2" customHeight="1" x14ac:dyDescent="0.4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2" customHeight="1" x14ac:dyDescent="0.4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2" customHeight="1" x14ac:dyDescent="0.4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2" customHeight="1" x14ac:dyDescent="0.4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2" customHeight="1" x14ac:dyDescent="0.4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2" customHeight="1" x14ac:dyDescent="0.4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2" customHeight="1" x14ac:dyDescent="0.4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2" customHeight="1" x14ac:dyDescent="0.4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2" customHeight="1" x14ac:dyDescent="0.4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2" customHeight="1" x14ac:dyDescent="0.4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2" customHeight="1" x14ac:dyDescent="0.4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2" customHeight="1" x14ac:dyDescent="0.4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2" customHeight="1" x14ac:dyDescent="0.4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2" customHeight="1" x14ac:dyDescent="0.4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2" customHeight="1" x14ac:dyDescent="0.4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2" customHeight="1" x14ac:dyDescent="0.4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2" customHeight="1" x14ac:dyDescent="0.4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2" customHeight="1" x14ac:dyDescent="0.4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2" customHeight="1" x14ac:dyDescent="0.4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2" customHeight="1" x14ac:dyDescent="0.4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2" customHeight="1" x14ac:dyDescent="0.4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2" customHeight="1" x14ac:dyDescent="0.4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2" customHeight="1" x14ac:dyDescent="0.4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2" customHeight="1" x14ac:dyDescent="0.4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2" customHeight="1" x14ac:dyDescent="0.4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2" customHeight="1" x14ac:dyDescent="0.4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2" customHeight="1" x14ac:dyDescent="0.4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2" customHeight="1" x14ac:dyDescent="0.4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2" customHeight="1" x14ac:dyDescent="0.4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2" customHeight="1" x14ac:dyDescent="0.4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2" customHeight="1" x14ac:dyDescent="0.4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2" customHeight="1" x14ac:dyDescent="0.4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2" customHeight="1" x14ac:dyDescent="0.4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2" customHeight="1" x14ac:dyDescent="0.4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2" customHeight="1" x14ac:dyDescent="0.4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2" customHeight="1" x14ac:dyDescent="0.4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2" customHeight="1" x14ac:dyDescent="0.4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2" customHeight="1" x14ac:dyDescent="0.4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2" customHeight="1" x14ac:dyDescent="0.4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2" customHeight="1" x14ac:dyDescent="0.4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2" customHeight="1" x14ac:dyDescent="0.4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2" customHeight="1" x14ac:dyDescent="0.4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2" customHeight="1" x14ac:dyDescent="0.4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2" customHeight="1" x14ac:dyDescent="0.4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2" customHeight="1" x14ac:dyDescent="0.4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2" customHeight="1" x14ac:dyDescent="0.4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2" customHeight="1" x14ac:dyDescent="0.4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2" customHeight="1" x14ac:dyDescent="0.4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2" customHeight="1" x14ac:dyDescent="0.4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2" customHeight="1" x14ac:dyDescent="0.4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2" customHeight="1" x14ac:dyDescent="0.4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2" customHeight="1" x14ac:dyDescent="0.4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2" customHeight="1" x14ac:dyDescent="0.4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2" customHeight="1" x14ac:dyDescent="0.4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2" customHeight="1" x14ac:dyDescent="0.4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2" customHeight="1" x14ac:dyDescent="0.4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2" customHeight="1" x14ac:dyDescent="0.4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2" customHeight="1" x14ac:dyDescent="0.4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2" customHeight="1" x14ac:dyDescent="0.4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2" customHeight="1" x14ac:dyDescent="0.4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2" customHeight="1" x14ac:dyDescent="0.4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2" customHeight="1" x14ac:dyDescent="0.4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2" customHeight="1" x14ac:dyDescent="0.4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2" customHeight="1" x14ac:dyDescent="0.4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2" customHeight="1" x14ac:dyDescent="0.4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2" customHeight="1" x14ac:dyDescent="0.4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2" customHeight="1" x14ac:dyDescent="0.4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2" customHeight="1" x14ac:dyDescent="0.4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2" customHeight="1" x14ac:dyDescent="0.4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2" customHeight="1" x14ac:dyDescent="0.4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2" customHeight="1" x14ac:dyDescent="0.4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2" customHeight="1" x14ac:dyDescent="0.4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2" customHeight="1" x14ac:dyDescent="0.4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2" customHeight="1" x14ac:dyDescent="0.4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2" customHeight="1" x14ac:dyDescent="0.4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2" customHeight="1" x14ac:dyDescent="0.4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2" customHeight="1" x14ac:dyDescent="0.4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2" customHeight="1" x14ac:dyDescent="0.4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2" customHeight="1" x14ac:dyDescent="0.4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2" customHeight="1" x14ac:dyDescent="0.4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2" customHeight="1" x14ac:dyDescent="0.4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2" customHeight="1" x14ac:dyDescent="0.4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2" customHeight="1" x14ac:dyDescent="0.4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2" customHeight="1" x14ac:dyDescent="0.4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2" customHeight="1" x14ac:dyDescent="0.4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2" customHeight="1" x14ac:dyDescent="0.4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2" customHeight="1" x14ac:dyDescent="0.4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2" customHeight="1" x14ac:dyDescent="0.4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2" customHeight="1" x14ac:dyDescent="0.4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2" customHeight="1" x14ac:dyDescent="0.4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2" customHeight="1" x14ac:dyDescent="0.4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2" customHeight="1" x14ac:dyDescent="0.4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2" customHeight="1" x14ac:dyDescent="0.4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2" customHeight="1" x14ac:dyDescent="0.4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2" customHeight="1" x14ac:dyDescent="0.4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2" customHeight="1" x14ac:dyDescent="0.4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2" customHeight="1" x14ac:dyDescent="0.4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2" customHeight="1" x14ac:dyDescent="0.4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2" customHeight="1" x14ac:dyDescent="0.4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2" customHeight="1" x14ac:dyDescent="0.4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2" customHeight="1" x14ac:dyDescent="0.4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2" customHeight="1" x14ac:dyDescent="0.4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2" customHeight="1" x14ac:dyDescent="0.4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2" customHeight="1" x14ac:dyDescent="0.4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2" customHeight="1" x14ac:dyDescent="0.4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2" customHeight="1" x14ac:dyDescent="0.4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2" customHeight="1" x14ac:dyDescent="0.4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2" customHeight="1" x14ac:dyDescent="0.4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2" customHeight="1" x14ac:dyDescent="0.4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2" customHeight="1" x14ac:dyDescent="0.4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2" customHeight="1" x14ac:dyDescent="0.4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2" customHeight="1" x14ac:dyDescent="0.4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2" customHeight="1" x14ac:dyDescent="0.4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2" customHeight="1" x14ac:dyDescent="0.4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2" customHeight="1" x14ac:dyDescent="0.4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2" customHeight="1" x14ac:dyDescent="0.4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2" customHeight="1" x14ac:dyDescent="0.4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2" customHeight="1" x14ac:dyDescent="0.4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2" customHeight="1" x14ac:dyDescent="0.4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2" customHeight="1" x14ac:dyDescent="0.4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2" customHeight="1" x14ac:dyDescent="0.4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2" customHeight="1" x14ac:dyDescent="0.4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2" customHeight="1" x14ac:dyDescent="0.4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2" customHeight="1" x14ac:dyDescent="0.4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2" customHeight="1" x14ac:dyDescent="0.4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2" customHeight="1" x14ac:dyDescent="0.4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2" customHeight="1" x14ac:dyDescent="0.4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2" customHeight="1" x14ac:dyDescent="0.4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2" customHeight="1" x14ac:dyDescent="0.4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2" customHeight="1" x14ac:dyDescent="0.4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2" customHeight="1" x14ac:dyDescent="0.4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2" customHeight="1" x14ac:dyDescent="0.4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2" customHeight="1" x14ac:dyDescent="0.4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2" customHeight="1" x14ac:dyDescent="0.4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2" customHeight="1" x14ac:dyDescent="0.4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2" customHeight="1" x14ac:dyDescent="0.4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2" customHeight="1" x14ac:dyDescent="0.4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2" customHeight="1" x14ac:dyDescent="0.4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2" customHeight="1" x14ac:dyDescent="0.4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2" customHeight="1" x14ac:dyDescent="0.4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2" customHeight="1" x14ac:dyDescent="0.4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2" customHeight="1" x14ac:dyDescent="0.4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2" customHeight="1" x14ac:dyDescent="0.4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2" customHeight="1" x14ac:dyDescent="0.4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2" customHeight="1" x14ac:dyDescent="0.4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2" customHeight="1" x14ac:dyDescent="0.4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2" customHeight="1" x14ac:dyDescent="0.4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2" customHeight="1" x14ac:dyDescent="0.4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2" customHeight="1" x14ac:dyDescent="0.4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2" customHeight="1" x14ac:dyDescent="0.4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2" customHeight="1" x14ac:dyDescent="0.4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2" customHeight="1" x14ac:dyDescent="0.4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2" customHeight="1" x14ac:dyDescent="0.4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2" customHeight="1" x14ac:dyDescent="0.4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2" customHeight="1" x14ac:dyDescent="0.4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2" customHeight="1" x14ac:dyDescent="0.4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2" customHeight="1" x14ac:dyDescent="0.4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2" customHeight="1" x14ac:dyDescent="0.4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2" customHeight="1" x14ac:dyDescent="0.4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2" customHeight="1" x14ac:dyDescent="0.4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2" customHeight="1" x14ac:dyDescent="0.4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2" customHeight="1" x14ac:dyDescent="0.4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2" customHeight="1" x14ac:dyDescent="0.4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2" customHeight="1" x14ac:dyDescent="0.4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2" customHeight="1" x14ac:dyDescent="0.4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2" customHeight="1" x14ac:dyDescent="0.4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2" customHeight="1" x14ac:dyDescent="0.4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2" customHeight="1" x14ac:dyDescent="0.4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2" customHeight="1" x14ac:dyDescent="0.4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2" customHeight="1" x14ac:dyDescent="0.4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2" customHeight="1" x14ac:dyDescent="0.4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2" customHeight="1" x14ac:dyDescent="0.4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2" customHeight="1" x14ac:dyDescent="0.4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2" customHeight="1" x14ac:dyDescent="0.4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2" customHeight="1" x14ac:dyDescent="0.4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2" customHeight="1" x14ac:dyDescent="0.4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2" customHeight="1" x14ac:dyDescent="0.4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2" customHeight="1" x14ac:dyDescent="0.4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2" customHeight="1" x14ac:dyDescent="0.4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2" customHeight="1" x14ac:dyDescent="0.4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2" customHeight="1" x14ac:dyDescent="0.4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2" customHeight="1" x14ac:dyDescent="0.4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2" customHeight="1" x14ac:dyDescent="0.4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2" customHeight="1" x14ac:dyDescent="0.4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2" customHeight="1" x14ac:dyDescent="0.4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2" customHeight="1" x14ac:dyDescent="0.4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2" customHeight="1" x14ac:dyDescent="0.4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2" customHeight="1" x14ac:dyDescent="0.4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2" customHeight="1" x14ac:dyDescent="0.4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2" customHeight="1" x14ac:dyDescent="0.4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2" customHeight="1" x14ac:dyDescent="0.4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2" customHeight="1" x14ac:dyDescent="0.4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2" customHeight="1" x14ac:dyDescent="0.4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2" customHeight="1" x14ac:dyDescent="0.4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2" customHeight="1" x14ac:dyDescent="0.4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2" customHeight="1" x14ac:dyDescent="0.4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2" customHeight="1" x14ac:dyDescent="0.4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2" customHeight="1" x14ac:dyDescent="0.4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2" customHeight="1" x14ac:dyDescent="0.4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2" customHeight="1" x14ac:dyDescent="0.4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2" customHeight="1" x14ac:dyDescent="0.4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2" customHeight="1" x14ac:dyDescent="0.4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2" customHeight="1" x14ac:dyDescent="0.4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2" customHeight="1" x14ac:dyDescent="0.4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2" customHeight="1" x14ac:dyDescent="0.4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2" customHeight="1" x14ac:dyDescent="0.4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2" customHeight="1" x14ac:dyDescent="0.4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2" customHeight="1" x14ac:dyDescent="0.4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2" customHeight="1" x14ac:dyDescent="0.4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2" customHeight="1" x14ac:dyDescent="0.4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2" customHeight="1" x14ac:dyDescent="0.4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2" customHeight="1" x14ac:dyDescent="0.4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2" customHeight="1" x14ac:dyDescent="0.4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2" customHeight="1" x14ac:dyDescent="0.4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2" customHeight="1" x14ac:dyDescent="0.4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2" customHeight="1" x14ac:dyDescent="0.4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2" customHeight="1" x14ac:dyDescent="0.4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2" customHeight="1" x14ac:dyDescent="0.4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2" customHeight="1" x14ac:dyDescent="0.4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2" customHeight="1" x14ac:dyDescent="0.4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2" customHeight="1" x14ac:dyDescent="0.4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2" customHeight="1" x14ac:dyDescent="0.4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2" customHeight="1" x14ac:dyDescent="0.4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2" customHeight="1" x14ac:dyDescent="0.4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2" customHeight="1" x14ac:dyDescent="0.4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2" customHeight="1" x14ac:dyDescent="0.4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2" customHeight="1" x14ac:dyDescent="0.4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2" customHeight="1" x14ac:dyDescent="0.4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2" customHeight="1" x14ac:dyDescent="0.4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2" customHeight="1" x14ac:dyDescent="0.4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2" customHeight="1" x14ac:dyDescent="0.4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2" customHeight="1" x14ac:dyDescent="0.4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2" customHeight="1" x14ac:dyDescent="0.4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2" customHeight="1" x14ac:dyDescent="0.4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2" customHeight="1" x14ac:dyDescent="0.4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2" customHeight="1" x14ac:dyDescent="0.4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2" customHeight="1" x14ac:dyDescent="0.4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2" customHeight="1" x14ac:dyDescent="0.4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2" customHeight="1" x14ac:dyDescent="0.4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2" customHeight="1" x14ac:dyDescent="0.4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2" customHeight="1" x14ac:dyDescent="0.4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2" customHeight="1" x14ac:dyDescent="0.4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2" customHeight="1" x14ac:dyDescent="0.4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2" customHeight="1" x14ac:dyDescent="0.4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2" customHeight="1" x14ac:dyDescent="0.4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2" customHeight="1" x14ac:dyDescent="0.4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2" customHeight="1" x14ac:dyDescent="0.4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2" customHeight="1" x14ac:dyDescent="0.4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2" customHeight="1" x14ac:dyDescent="0.4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2" customHeight="1" x14ac:dyDescent="0.4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2" customHeight="1" x14ac:dyDescent="0.4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2" customHeight="1" x14ac:dyDescent="0.4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2" customHeight="1" x14ac:dyDescent="0.4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2" customHeight="1" x14ac:dyDescent="0.4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2" customHeight="1" x14ac:dyDescent="0.4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2" customHeight="1" x14ac:dyDescent="0.4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2" customHeight="1" x14ac:dyDescent="0.4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2" customHeight="1" x14ac:dyDescent="0.4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2" customHeight="1" x14ac:dyDescent="0.4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2" customHeight="1" x14ac:dyDescent="0.4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2" customHeight="1" x14ac:dyDescent="0.4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2" customHeight="1" x14ac:dyDescent="0.4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2" customHeight="1" x14ac:dyDescent="0.4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2" customHeight="1" x14ac:dyDescent="0.4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2" customHeight="1" x14ac:dyDescent="0.4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2" customHeight="1" x14ac:dyDescent="0.4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2" customHeight="1" x14ac:dyDescent="0.4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2" customHeight="1" x14ac:dyDescent="0.4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2" customHeight="1" x14ac:dyDescent="0.4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2" customHeight="1" x14ac:dyDescent="0.4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2" customHeight="1" x14ac:dyDescent="0.4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2" customHeight="1" x14ac:dyDescent="0.4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2" customHeight="1" x14ac:dyDescent="0.4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2" customHeight="1" x14ac:dyDescent="0.4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2" customHeight="1" x14ac:dyDescent="0.4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2" customHeight="1" x14ac:dyDescent="0.4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2" customHeight="1" x14ac:dyDescent="0.4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2" customHeight="1" x14ac:dyDescent="0.4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2" customHeight="1" x14ac:dyDescent="0.4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2" customHeight="1" x14ac:dyDescent="0.4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2" customHeight="1" x14ac:dyDescent="0.4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2" customHeight="1" x14ac:dyDescent="0.4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2" customHeight="1" x14ac:dyDescent="0.4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2" customHeight="1" x14ac:dyDescent="0.4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2" customHeight="1" x14ac:dyDescent="0.4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2" customHeight="1" x14ac:dyDescent="0.4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2" customHeight="1" x14ac:dyDescent="0.4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2" customHeight="1" x14ac:dyDescent="0.4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2" customHeight="1" x14ac:dyDescent="0.4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2" customHeight="1" x14ac:dyDescent="0.4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2" customHeight="1" x14ac:dyDescent="0.4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2" customHeight="1" x14ac:dyDescent="0.4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2" customHeight="1" x14ac:dyDescent="0.4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2" customHeight="1" x14ac:dyDescent="0.4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2" customHeight="1" x14ac:dyDescent="0.4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2" customHeight="1" x14ac:dyDescent="0.4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2" customHeight="1" x14ac:dyDescent="0.4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2" customHeight="1" x14ac:dyDescent="0.4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2" customHeight="1" x14ac:dyDescent="0.4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2" customHeight="1" x14ac:dyDescent="0.4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2" customHeight="1" x14ac:dyDescent="0.4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2" customHeight="1" x14ac:dyDescent="0.4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2" customHeight="1" x14ac:dyDescent="0.4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2" customHeight="1" x14ac:dyDescent="0.4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2" customHeight="1" x14ac:dyDescent="0.4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2" customHeight="1" x14ac:dyDescent="0.4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2" customHeight="1" x14ac:dyDescent="0.4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2" customHeight="1" x14ac:dyDescent="0.4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2" customHeight="1" x14ac:dyDescent="0.4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2" customHeight="1" x14ac:dyDescent="0.4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2" customHeight="1" x14ac:dyDescent="0.4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2" customHeight="1" x14ac:dyDescent="0.4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2" customHeight="1" x14ac:dyDescent="0.4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2" customHeight="1" x14ac:dyDescent="0.4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2" customHeight="1" x14ac:dyDescent="0.4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2" customHeight="1" x14ac:dyDescent="0.4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2" customHeight="1" x14ac:dyDescent="0.4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2" customHeight="1" x14ac:dyDescent="0.4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2" customHeight="1" x14ac:dyDescent="0.4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2" customHeight="1" x14ac:dyDescent="0.4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2" customHeight="1" x14ac:dyDescent="0.4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2" customHeight="1" x14ac:dyDescent="0.4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2" customHeight="1" x14ac:dyDescent="0.4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2" customHeight="1" x14ac:dyDescent="0.4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2" customHeight="1" x14ac:dyDescent="0.4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2" customHeight="1" x14ac:dyDescent="0.4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2" customHeight="1" x14ac:dyDescent="0.4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2" customHeight="1" x14ac:dyDescent="0.4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2" customHeight="1" x14ac:dyDescent="0.4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2" customHeight="1" x14ac:dyDescent="0.4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2" customHeight="1" x14ac:dyDescent="0.4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2" customHeight="1" x14ac:dyDescent="0.4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2" customHeight="1" x14ac:dyDescent="0.4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2" customHeight="1" x14ac:dyDescent="0.4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2" customHeight="1" x14ac:dyDescent="0.4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2" customHeight="1" x14ac:dyDescent="0.4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2" customHeight="1" x14ac:dyDescent="0.4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2" customHeight="1" x14ac:dyDescent="0.4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2" customHeight="1" x14ac:dyDescent="0.4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2" customHeight="1" x14ac:dyDescent="0.4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2" customHeight="1" x14ac:dyDescent="0.4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2" customHeight="1" x14ac:dyDescent="0.4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2" customHeight="1" x14ac:dyDescent="0.4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2" customHeight="1" x14ac:dyDescent="0.4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2" customHeight="1" x14ac:dyDescent="0.4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2" customHeight="1" x14ac:dyDescent="0.4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2" customHeight="1" x14ac:dyDescent="0.4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2" customHeight="1" x14ac:dyDescent="0.4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2" customHeight="1" x14ac:dyDescent="0.4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2" customHeight="1" x14ac:dyDescent="0.4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2" customHeight="1" x14ac:dyDescent="0.4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2" customHeight="1" x14ac:dyDescent="0.4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2" customHeight="1" x14ac:dyDescent="0.4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2" customHeight="1" x14ac:dyDescent="0.4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2" customHeight="1" x14ac:dyDescent="0.4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2" customHeight="1" x14ac:dyDescent="0.4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2" customHeight="1" x14ac:dyDescent="0.4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2" customHeight="1" x14ac:dyDescent="0.4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2" customHeight="1" x14ac:dyDescent="0.4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2" customHeight="1" x14ac:dyDescent="0.4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2" customHeight="1" x14ac:dyDescent="0.4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2" customHeight="1" x14ac:dyDescent="0.4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2" customHeight="1" x14ac:dyDescent="0.4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2" customHeight="1" x14ac:dyDescent="0.4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2" customHeight="1" x14ac:dyDescent="0.4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2" customHeight="1" x14ac:dyDescent="0.4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2" customHeight="1" x14ac:dyDescent="0.4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2" customHeight="1" x14ac:dyDescent="0.4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2" customHeight="1" x14ac:dyDescent="0.4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2" customHeight="1" x14ac:dyDescent="0.4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2" customHeight="1" x14ac:dyDescent="0.4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2" customHeight="1" x14ac:dyDescent="0.4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2" customHeight="1" x14ac:dyDescent="0.4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2" customHeight="1" x14ac:dyDescent="0.4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2" customHeight="1" x14ac:dyDescent="0.4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2" customHeight="1" x14ac:dyDescent="0.4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2" customHeight="1" x14ac:dyDescent="0.4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2" customHeight="1" x14ac:dyDescent="0.4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2" customHeight="1" x14ac:dyDescent="0.4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2" customHeight="1" x14ac:dyDescent="0.4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2" customHeight="1" x14ac:dyDescent="0.4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2" customHeight="1" x14ac:dyDescent="0.4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2" customHeight="1" x14ac:dyDescent="0.4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2" customHeight="1" x14ac:dyDescent="0.4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2" customHeight="1" x14ac:dyDescent="0.4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2" customHeight="1" x14ac:dyDescent="0.4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2" customHeight="1" x14ac:dyDescent="0.4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2" customHeight="1" x14ac:dyDescent="0.4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2" customHeight="1" x14ac:dyDescent="0.4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2" customHeight="1" x14ac:dyDescent="0.4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2" customHeight="1" x14ac:dyDescent="0.4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2" customHeight="1" x14ac:dyDescent="0.4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2" customHeight="1" x14ac:dyDescent="0.4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2" customHeight="1" x14ac:dyDescent="0.4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2" customHeight="1" x14ac:dyDescent="0.4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2" customHeight="1" x14ac:dyDescent="0.4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2" customHeight="1" x14ac:dyDescent="0.4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2" customHeight="1" x14ac:dyDescent="0.4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2" customHeight="1" x14ac:dyDescent="0.4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2" customHeight="1" x14ac:dyDescent="0.4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2" customHeight="1" x14ac:dyDescent="0.4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2" customHeight="1" x14ac:dyDescent="0.4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2" customHeight="1" x14ac:dyDescent="0.4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2" customHeight="1" x14ac:dyDescent="0.4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2" customHeight="1" x14ac:dyDescent="0.4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2" customHeight="1" x14ac:dyDescent="0.4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2" customHeight="1" x14ac:dyDescent="0.4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2" customHeight="1" x14ac:dyDescent="0.4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2" customHeight="1" x14ac:dyDescent="0.4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2" customHeight="1" x14ac:dyDescent="0.4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2" customHeight="1" x14ac:dyDescent="0.4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2" customHeight="1" x14ac:dyDescent="0.4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2" customHeight="1" x14ac:dyDescent="0.4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2" customHeight="1" x14ac:dyDescent="0.4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2" customHeight="1" x14ac:dyDescent="0.4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2" customHeight="1" x14ac:dyDescent="0.4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2" customHeight="1" x14ac:dyDescent="0.4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2" customHeight="1" x14ac:dyDescent="0.4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2" customHeight="1" x14ac:dyDescent="0.4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2" customHeight="1" x14ac:dyDescent="0.4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2" customHeight="1" x14ac:dyDescent="0.4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2" customHeight="1" x14ac:dyDescent="0.4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2" customHeight="1" x14ac:dyDescent="0.4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2" customHeight="1" x14ac:dyDescent="0.4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2" customHeight="1" x14ac:dyDescent="0.4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2" customHeight="1" x14ac:dyDescent="0.4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2" customHeight="1" x14ac:dyDescent="0.4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2" customHeight="1" x14ac:dyDescent="0.4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2" customHeight="1" x14ac:dyDescent="0.4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2" customHeight="1" x14ac:dyDescent="0.4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2" customHeight="1" x14ac:dyDescent="0.4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2" customHeight="1" x14ac:dyDescent="0.4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2" customHeight="1" x14ac:dyDescent="0.4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2" customHeight="1" x14ac:dyDescent="0.4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2" customHeight="1" x14ac:dyDescent="0.4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2" customHeight="1" x14ac:dyDescent="0.4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2" customHeight="1" x14ac:dyDescent="0.4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2" customHeight="1" x14ac:dyDescent="0.4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2" customHeight="1" x14ac:dyDescent="0.4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2" customHeight="1" x14ac:dyDescent="0.4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2" customHeight="1" x14ac:dyDescent="0.4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2" customHeight="1" x14ac:dyDescent="0.4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2" customHeight="1" x14ac:dyDescent="0.4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2" customHeight="1" x14ac:dyDescent="0.4">
      <c r="W3439" s="50"/>
      <c r="X3439" s="50"/>
      <c r="Y3439" s="50"/>
      <c r="AY3439" s="50"/>
      <c r="AZ3439" s="50"/>
      <c r="BA3439" s="50"/>
    </row>
    <row r="3440" spans="23:53" ht="16.2" customHeight="1" x14ac:dyDescent="0.4">
      <c r="W3440" s="50"/>
      <c r="X3440" s="50"/>
      <c r="Y3440" s="50"/>
      <c r="AY3440" s="50"/>
      <c r="AZ3440" s="50"/>
      <c r="BA3440" s="50"/>
    </row>
    <row r="3441" spans="23:53" ht="16.2" customHeight="1" x14ac:dyDescent="0.4">
      <c r="W3441" s="50"/>
      <c r="X3441" s="50"/>
      <c r="Y3441" s="50"/>
      <c r="AY3441" s="50"/>
      <c r="AZ3441" s="50"/>
      <c r="BA3441" s="50"/>
    </row>
  </sheetData>
  <mergeCells count="284"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A4" workbookViewId="0">
      <selection activeCell="Q5" sqref="Q5:Q217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5" bestFit="1" customWidth="1"/>
    <col min="17" max="17" width="9.8984375" style="56"/>
    <col min="18" max="18" width="9.8984375" style="55"/>
    <col min="19" max="19" width="9.8984375" style="56"/>
    <col min="20" max="20" width="9.8984375" style="55"/>
    <col min="21" max="21" width="9.8984375" style="56"/>
    <col min="22" max="22" width="9.8984375" style="55"/>
    <col min="23" max="23" width="9.8984375" style="56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73" t="s">
        <v>59</v>
      </c>
      <c r="B3" s="173"/>
      <c r="C3" s="173"/>
      <c r="D3" s="173"/>
      <c r="E3" s="173"/>
      <c r="G3" s="173" t="s">
        <v>82</v>
      </c>
      <c r="H3" s="173"/>
      <c r="I3" s="173"/>
      <c r="J3" s="173"/>
      <c r="K3" s="173"/>
      <c r="L3" s="21"/>
      <c r="M3" s="21"/>
      <c r="N3" s="21"/>
      <c r="P3" s="173" t="s">
        <v>83</v>
      </c>
      <c r="Q3" s="173"/>
      <c r="R3" s="173"/>
      <c r="S3" s="173"/>
      <c r="T3" s="173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4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44843</v>
      </c>
      <c r="H5" s="37">
        <f>커브정보!N11</f>
        <v>3.0499999999999999E-2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f>S5+0.0001</f>
        <v>3.9240000000000004E-2</v>
      </c>
      <c r="V5" s="34"/>
      <c r="W5" s="37"/>
    </row>
    <row r="6" spans="1:23" ht="18" customHeight="1" x14ac:dyDescent="0.4">
      <c r="A6" s="23" t="s">
        <v>61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3.0499999999999999E-2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f t="shared" ref="U6:U13" si="8">S6+0.0001</f>
        <v>3.9240000000000004E-2</v>
      </c>
      <c r="V6" s="34"/>
      <c r="W6" s="37"/>
    </row>
    <row r="7" spans="1:23" ht="18" customHeight="1" x14ac:dyDescent="0.4">
      <c r="A7" s="23" t="s">
        <v>62</v>
      </c>
      <c r="B7" s="26"/>
      <c r="C7" s="26"/>
      <c r="D7" s="24">
        <v>1</v>
      </c>
      <c r="E7" s="25">
        <v>0</v>
      </c>
      <c r="G7" s="32">
        <f t="shared" ref="G7:G70" si="9">G6+1</f>
        <v>44845</v>
      </c>
      <c r="H7" s="37">
        <f t="shared" ref="H7:H70" si="10">H6</f>
        <v>3.0499999999999999E-2</v>
      </c>
      <c r="I7" s="32">
        <f t="shared" ref="I7:I70" si="11">I6+1</f>
        <v>44845</v>
      </c>
      <c r="J7" s="37">
        <f t="shared" ref="J7:J70" si="12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f t="shared" si="8"/>
        <v>3.9240000000000004E-2</v>
      </c>
      <c r="V7" s="34"/>
      <c r="W7" s="37"/>
    </row>
    <row r="8" spans="1:23" ht="18" customHeight="1" x14ac:dyDescent="0.4">
      <c r="A8" s="23" t="s">
        <v>63</v>
      </c>
      <c r="B8" s="27"/>
      <c r="C8" s="27"/>
      <c r="D8" s="27"/>
      <c r="E8" s="25">
        <v>1</v>
      </c>
      <c r="G8" s="32">
        <f t="shared" si="9"/>
        <v>44846</v>
      </c>
      <c r="H8" s="37">
        <f t="shared" si="10"/>
        <v>3.0499999999999999E-2</v>
      </c>
      <c r="I8" s="32">
        <f t="shared" si="11"/>
        <v>44846</v>
      </c>
      <c r="J8" s="37">
        <f t="shared" si="12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f t="shared" si="8"/>
        <v>3.9240000000000004E-2</v>
      </c>
      <c r="V8" s="34"/>
      <c r="W8" s="37"/>
    </row>
    <row r="9" spans="1:23" ht="18" customHeight="1" x14ac:dyDescent="0.4">
      <c r="G9" s="32">
        <f t="shared" si="9"/>
        <v>44847</v>
      </c>
      <c r="H9" s="37">
        <f t="shared" si="10"/>
        <v>3.0499999999999999E-2</v>
      </c>
      <c r="I9" s="32">
        <f t="shared" si="11"/>
        <v>44847</v>
      </c>
      <c r="J9" s="37">
        <f t="shared" si="12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f t="shared" si="8"/>
        <v>3.9240000000000004E-2</v>
      </c>
      <c r="V9" s="36"/>
      <c r="W9" s="37"/>
    </row>
    <row r="10" spans="1:23" ht="18" customHeight="1" x14ac:dyDescent="0.4">
      <c r="G10" s="32">
        <f t="shared" si="9"/>
        <v>44848</v>
      </c>
      <c r="H10" s="37">
        <f t="shared" si="10"/>
        <v>3.0499999999999999E-2</v>
      </c>
      <c r="I10" s="32">
        <f t="shared" si="11"/>
        <v>44848</v>
      </c>
      <c r="J10" s="37">
        <f t="shared" si="12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f t="shared" si="8"/>
        <v>3.9240000000000004E-2</v>
      </c>
      <c r="V10" s="36"/>
      <c r="W10" s="37"/>
    </row>
    <row r="11" spans="1:23" ht="18" customHeight="1" x14ac:dyDescent="0.4">
      <c r="G11" s="32">
        <f t="shared" si="9"/>
        <v>44849</v>
      </c>
      <c r="H11" s="37">
        <f t="shared" si="10"/>
        <v>3.0499999999999999E-2</v>
      </c>
      <c r="I11" s="32">
        <f t="shared" si="11"/>
        <v>44849</v>
      </c>
      <c r="J11" s="37">
        <f t="shared" si="12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f t="shared" si="8"/>
        <v>3.9240000000000004E-2</v>
      </c>
      <c r="V11" s="36"/>
      <c r="W11" s="37"/>
    </row>
    <row r="12" spans="1:23" ht="18" customHeight="1" x14ac:dyDescent="0.4">
      <c r="G12" s="32">
        <f t="shared" si="9"/>
        <v>44850</v>
      </c>
      <c r="H12" s="37">
        <f t="shared" si="10"/>
        <v>3.0499999999999999E-2</v>
      </c>
      <c r="I12" s="32">
        <f t="shared" si="11"/>
        <v>44850</v>
      </c>
      <c r="J12" s="37">
        <f t="shared" si="12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f t="shared" si="8"/>
        <v>3.9240000000000004E-2</v>
      </c>
      <c r="V12" s="36"/>
      <c r="W12" s="37"/>
    </row>
    <row r="13" spans="1:23" ht="18" customHeight="1" x14ac:dyDescent="0.4">
      <c r="G13" s="32">
        <f t="shared" si="9"/>
        <v>44851</v>
      </c>
      <c r="H13" s="37">
        <f t="shared" si="10"/>
        <v>3.0499999999999999E-2</v>
      </c>
      <c r="I13" s="32">
        <f t="shared" si="11"/>
        <v>44851</v>
      </c>
      <c r="J13" s="37">
        <f t="shared" si="12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f t="shared" si="8"/>
        <v>3.9240000000000004E-2</v>
      </c>
      <c r="V13" s="36"/>
      <c r="W13" s="37"/>
    </row>
    <row r="14" spans="1:23" ht="18" customHeight="1" x14ac:dyDescent="0.4">
      <c r="G14" s="32">
        <f t="shared" si="9"/>
        <v>44852</v>
      </c>
      <c r="H14" s="37">
        <f t="shared" si="10"/>
        <v>3.0499999999999999E-2</v>
      </c>
      <c r="I14" s="32">
        <f t="shared" si="11"/>
        <v>44852</v>
      </c>
      <c r="J14" s="37">
        <f t="shared" si="12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1.43E-2</v>
      </c>
      <c r="V14" s="36"/>
      <c r="W14" s="38"/>
    </row>
    <row r="15" spans="1:23" ht="18" customHeight="1" x14ac:dyDescent="0.4">
      <c r="G15" s="32">
        <f t="shared" si="9"/>
        <v>44853</v>
      </c>
      <c r="H15" s="37">
        <f t="shared" si="10"/>
        <v>3.0499999999999999E-2</v>
      </c>
      <c r="I15" s="32">
        <f t="shared" si="11"/>
        <v>44853</v>
      </c>
      <c r="J15" s="37">
        <f t="shared" si="12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1.43E-2</v>
      </c>
      <c r="V15" s="36"/>
      <c r="W15" s="38"/>
    </row>
    <row r="16" spans="1:23" ht="18" customHeight="1" x14ac:dyDescent="0.4">
      <c r="G16" s="32">
        <f t="shared" si="9"/>
        <v>44854</v>
      </c>
      <c r="H16" s="37">
        <f t="shared" si="10"/>
        <v>3.0499999999999999E-2</v>
      </c>
      <c r="I16" s="32">
        <f t="shared" si="11"/>
        <v>44854</v>
      </c>
      <c r="J16" s="37">
        <f t="shared" si="12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1.43E-2</v>
      </c>
      <c r="V16" s="36"/>
      <c r="W16" s="38"/>
    </row>
    <row r="17" spans="7:23" ht="18" customHeight="1" x14ac:dyDescent="0.4">
      <c r="G17" s="32">
        <f t="shared" si="9"/>
        <v>44855</v>
      </c>
      <c r="H17" s="37">
        <f t="shared" si="10"/>
        <v>3.0499999999999999E-2</v>
      </c>
      <c r="I17" s="32">
        <f t="shared" si="11"/>
        <v>44855</v>
      </c>
      <c r="J17" s="37">
        <f t="shared" si="12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1.43E-2</v>
      </c>
      <c r="V17" s="36"/>
      <c r="W17" s="38"/>
    </row>
    <row r="18" spans="7:23" ht="18" customHeight="1" x14ac:dyDescent="0.4">
      <c r="G18" s="32">
        <f t="shared" si="9"/>
        <v>44856</v>
      </c>
      <c r="H18" s="37">
        <f t="shared" si="10"/>
        <v>3.0499999999999999E-2</v>
      </c>
      <c r="I18" s="32">
        <f t="shared" si="11"/>
        <v>44856</v>
      </c>
      <c r="J18" s="37">
        <f t="shared" si="12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1.43E-2</v>
      </c>
      <c r="V18" s="36"/>
      <c r="W18" s="38"/>
    </row>
    <row r="19" spans="7:23" ht="18" customHeight="1" x14ac:dyDescent="0.4">
      <c r="G19" s="32">
        <f t="shared" si="9"/>
        <v>44857</v>
      </c>
      <c r="H19" s="37">
        <f t="shared" si="10"/>
        <v>3.0499999999999999E-2</v>
      </c>
      <c r="I19" s="32">
        <f t="shared" si="11"/>
        <v>44857</v>
      </c>
      <c r="J19" s="37">
        <f t="shared" si="12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1.43E-2</v>
      </c>
      <c r="V19" s="34"/>
      <c r="W19" s="37"/>
    </row>
    <row r="20" spans="7:23" ht="18" customHeight="1" x14ac:dyDescent="0.4">
      <c r="G20" s="32">
        <f t="shared" si="9"/>
        <v>44858</v>
      </c>
      <c r="H20" s="37">
        <f t="shared" si="10"/>
        <v>3.0499999999999999E-2</v>
      </c>
      <c r="I20" s="32">
        <f t="shared" si="11"/>
        <v>44858</v>
      </c>
      <c r="J20" s="37">
        <f t="shared" si="12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1.43E-2</v>
      </c>
      <c r="V20" s="34"/>
      <c r="W20" s="37"/>
    </row>
    <row r="21" spans="7:23" ht="18" customHeight="1" x14ac:dyDescent="0.4">
      <c r="G21" s="32">
        <f t="shared" si="9"/>
        <v>44859</v>
      </c>
      <c r="H21" s="37">
        <f t="shared" si="10"/>
        <v>3.0499999999999999E-2</v>
      </c>
      <c r="I21" s="32">
        <f t="shared" si="11"/>
        <v>44859</v>
      </c>
      <c r="J21" s="37">
        <f t="shared" si="12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1.43E-2</v>
      </c>
      <c r="V21" s="34"/>
      <c r="W21" s="37"/>
    </row>
    <row r="22" spans="7:23" ht="18" customHeight="1" x14ac:dyDescent="0.4">
      <c r="G22" s="32">
        <f t="shared" si="9"/>
        <v>44860</v>
      </c>
      <c r="H22" s="37">
        <f t="shared" si="10"/>
        <v>3.0499999999999999E-2</v>
      </c>
      <c r="I22" s="32">
        <f t="shared" si="11"/>
        <v>44860</v>
      </c>
      <c r="J22" s="37">
        <f t="shared" si="12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1.43E-2</v>
      </c>
      <c r="V22" s="34"/>
      <c r="W22" s="37"/>
    </row>
    <row r="23" spans="7:23" ht="18" customHeight="1" x14ac:dyDescent="0.4">
      <c r="G23" s="32">
        <f t="shared" si="9"/>
        <v>44861</v>
      </c>
      <c r="H23" s="37">
        <f t="shared" si="10"/>
        <v>3.0499999999999999E-2</v>
      </c>
      <c r="I23" s="32">
        <f t="shared" si="11"/>
        <v>44861</v>
      </c>
      <c r="J23" s="37">
        <f t="shared" si="12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1.43E-2</v>
      </c>
      <c r="V23" s="36"/>
      <c r="W23" s="37"/>
    </row>
    <row r="24" spans="7:23" ht="18" customHeight="1" x14ac:dyDescent="0.4">
      <c r="G24" s="32">
        <f t="shared" si="9"/>
        <v>44862</v>
      </c>
      <c r="H24" s="37">
        <f t="shared" si="10"/>
        <v>3.0499999999999999E-2</v>
      </c>
      <c r="I24" s="32">
        <f t="shared" si="11"/>
        <v>44862</v>
      </c>
      <c r="J24" s="37">
        <f t="shared" si="12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1.43E-2</v>
      </c>
      <c r="V24" s="36"/>
      <c r="W24" s="37"/>
    </row>
    <row r="25" spans="7:23" ht="18" customHeight="1" x14ac:dyDescent="0.4">
      <c r="G25" s="32">
        <f t="shared" si="9"/>
        <v>44863</v>
      </c>
      <c r="H25" s="37">
        <f t="shared" si="10"/>
        <v>3.0499999999999999E-2</v>
      </c>
      <c r="I25" s="32">
        <f t="shared" si="11"/>
        <v>44863</v>
      </c>
      <c r="J25" s="37">
        <f t="shared" si="12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1.43E-2</v>
      </c>
      <c r="V25" s="36"/>
      <c r="W25" s="37"/>
    </row>
    <row r="26" spans="7:23" ht="18" customHeight="1" x14ac:dyDescent="0.4">
      <c r="G26" s="32">
        <f t="shared" si="9"/>
        <v>44864</v>
      </c>
      <c r="H26" s="37">
        <f t="shared" si="10"/>
        <v>3.0499999999999999E-2</v>
      </c>
      <c r="I26" s="32">
        <f t="shared" si="11"/>
        <v>44864</v>
      </c>
      <c r="J26" s="37">
        <f t="shared" si="12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V26" s="36"/>
      <c r="W26" s="37"/>
    </row>
    <row r="27" spans="7:23" ht="18" customHeight="1" x14ac:dyDescent="0.4">
      <c r="G27" s="32">
        <f t="shared" si="9"/>
        <v>44865</v>
      </c>
      <c r="H27" s="37">
        <f t="shared" si="10"/>
        <v>3.0499999999999999E-2</v>
      </c>
      <c r="I27" s="32">
        <f t="shared" si="11"/>
        <v>44865</v>
      </c>
      <c r="J27" s="37">
        <f t="shared" si="12"/>
        <v>3.9140000000000001E-2</v>
      </c>
      <c r="K27" s="32">
        <f t="shared" ref="K27:K90" si="13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V27" s="36"/>
      <c r="W27" s="37"/>
    </row>
    <row r="28" spans="7:23" ht="18" customHeight="1" x14ac:dyDescent="0.4">
      <c r="G28" s="32">
        <f t="shared" si="9"/>
        <v>44866</v>
      </c>
      <c r="H28" s="37">
        <f t="shared" si="10"/>
        <v>3.0499999999999999E-2</v>
      </c>
      <c r="I28" s="32">
        <f t="shared" si="11"/>
        <v>44866</v>
      </c>
      <c r="J28" s="37">
        <f t="shared" si="12"/>
        <v>3.9140000000000001E-2</v>
      </c>
      <c r="K28" s="32">
        <f t="shared" si="13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V28" s="36"/>
      <c r="W28" s="38"/>
    </row>
    <row r="29" spans="7:23" ht="18" customHeight="1" x14ac:dyDescent="0.4">
      <c r="G29" s="32">
        <f t="shared" si="9"/>
        <v>44867</v>
      </c>
      <c r="H29" s="37">
        <f t="shared" si="10"/>
        <v>3.0499999999999999E-2</v>
      </c>
      <c r="I29" s="32">
        <f t="shared" si="11"/>
        <v>44867</v>
      </c>
      <c r="J29" s="37">
        <f t="shared" si="12"/>
        <v>3.9140000000000001E-2</v>
      </c>
      <c r="K29" s="32">
        <f t="shared" si="13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V29" s="36"/>
      <c r="W29" s="38"/>
    </row>
    <row r="30" spans="7:23" ht="18" customHeight="1" x14ac:dyDescent="0.4">
      <c r="G30" s="32">
        <f t="shared" si="9"/>
        <v>44868</v>
      </c>
      <c r="H30" s="37">
        <f t="shared" si="10"/>
        <v>3.0499999999999999E-2</v>
      </c>
      <c r="I30" s="32">
        <f t="shared" si="11"/>
        <v>44868</v>
      </c>
      <c r="J30" s="37">
        <f t="shared" si="12"/>
        <v>3.9140000000000001E-2</v>
      </c>
      <c r="K30" s="32">
        <f t="shared" si="13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V30" s="36"/>
      <c r="W30" s="38"/>
    </row>
    <row r="31" spans="7:23" ht="18" customHeight="1" x14ac:dyDescent="0.4">
      <c r="G31" s="32">
        <f t="shared" si="9"/>
        <v>44869</v>
      </c>
      <c r="H31" s="37">
        <f t="shared" si="10"/>
        <v>3.0499999999999999E-2</v>
      </c>
      <c r="I31" s="32">
        <f t="shared" si="11"/>
        <v>44869</v>
      </c>
      <c r="J31" s="37">
        <f t="shared" si="12"/>
        <v>3.9140000000000001E-2</v>
      </c>
      <c r="K31" s="32">
        <f t="shared" si="13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V31" s="36"/>
      <c r="W31" s="38"/>
    </row>
    <row r="32" spans="7:23" ht="18" customHeight="1" x14ac:dyDescent="0.4">
      <c r="G32" s="32">
        <f t="shared" si="9"/>
        <v>44870</v>
      </c>
      <c r="H32" s="37">
        <f t="shared" si="10"/>
        <v>3.0499999999999999E-2</v>
      </c>
      <c r="I32" s="32">
        <f t="shared" si="11"/>
        <v>44870</v>
      </c>
      <c r="J32" s="37">
        <f t="shared" si="12"/>
        <v>3.9140000000000001E-2</v>
      </c>
      <c r="K32" s="32">
        <f t="shared" si="13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V32" s="36"/>
      <c r="W32" s="38"/>
    </row>
    <row r="33" spans="7:19" ht="18" customHeight="1" x14ac:dyDescent="0.4">
      <c r="G33" s="32">
        <f t="shared" si="9"/>
        <v>44871</v>
      </c>
      <c r="H33" s="37">
        <f t="shared" si="10"/>
        <v>3.0499999999999999E-2</v>
      </c>
      <c r="I33" s="32">
        <f t="shared" si="11"/>
        <v>44871</v>
      </c>
      <c r="J33" s="37">
        <f t="shared" si="12"/>
        <v>3.9140000000000001E-2</v>
      </c>
      <c r="K33" s="32">
        <f t="shared" si="13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</row>
    <row r="34" spans="7:19" ht="18" customHeight="1" x14ac:dyDescent="0.4">
      <c r="G34" s="32">
        <f t="shared" si="9"/>
        <v>44872</v>
      </c>
      <c r="H34" s="37">
        <f t="shared" si="10"/>
        <v>3.0499999999999999E-2</v>
      </c>
      <c r="I34" s="32">
        <f t="shared" si="11"/>
        <v>44872</v>
      </c>
      <c r="J34" s="37">
        <f t="shared" si="12"/>
        <v>3.9140000000000001E-2</v>
      </c>
      <c r="K34" s="32">
        <f t="shared" si="13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</row>
    <row r="35" spans="7:19" ht="18" customHeight="1" x14ac:dyDescent="0.4">
      <c r="G35" s="32">
        <f t="shared" si="9"/>
        <v>44873</v>
      </c>
      <c r="H35" s="37">
        <f t="shared" si="10"/>
        <v>3.0499999999999999E-2</v>
      </c>
      <c r="I35" s="32">
        <f t="shared" si="11"/>
        <v>44873</v>
      </c>
      <c r="J35" s="37">
        <f t="shared" si="12"/>
        <v>3.9140000000000001E-2</v>
      </c>
      <c r="K35" s="32">
        <f t="shared" si="13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</row>
    <row r="36" spans="7:19" ht="18" customHeight="1" x14ac:dyDescent="0.4">
      <c r="G36" s="32">
        <f t="shared" si="9"/>
        <v>44874</v>
      </c>
      <c r="H36" s="37">
        <f t="shared" si="10"/>
        <v>3.0499999999999999E-2</v>
      </c>
      <c r="I36" s="32">
        <f t="shared" si="11"/>
        <v>44874</v>
      </c>
      <c r="J36" s="37">
        <f t="shared" si="12"/>
        <v>3.9140000000000001E-2</v>
      </c>
      <c r="K36" s="32">
        <f t="shared" si="13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</row>
    <row r="37" spans="7:19" ht="18" customHeight="1" x14ac:dyDescent="0.4">
      <c r="G37" s="32">
        <f t="shared" si="9"/>
        <v>44875</v>
      </c>
      <c r="H37" s="37">
        <f t="shared" si="10"/>
        <v>3.0499999999999999E-2</v>
      </c>
      <c r="I37" s="32">
        <f t="shared" si="11"/>
        <v>44875</v>
      </c>
      <c r="J37" s="37">
        <f t="shared" si="12"/>
        <v>3.9140000000000001E-2</v>
      </c>
      <c r="K37" s="32">
        <f t="shared" si="13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</row>
    <row r="38" spans="7:19" ht="18" customHeight="1" x14ac:dyDescent="0.4">
      <c r="G38" s="32">
        <f t="shared" si="9"/>
        <v>44876</v>
      </c>
      <c r="H38" s="37">
        <f t="shared" si="10"/>
        <v>3.0499999999999999E-2</v>
      </c>
      <c r="I38" s="32">
        <f t="shared" si="11"/>
        <v>44876</v>
      </c>
      <c r="J38" s="37">
        <f t="shared" si="12"/>
        <v>3.9140000000000001E-2</v>
      </c>
      <c r="K38" s="32">
        <f t="shared" si="13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</row>
    <row r="39" spans="7:19" ht="18" customHeight="1" x14ac:dyDescent="0.4">
      <c r="G39" s="32">
        <f t="shared" si="9"/>
        <v>44877</v>
      </c>
      <c r="H39" s="37">
        <f t="shared" si="10"/>
        <v>3.0499999999999999E-2</v>
      </c>
      <c r="I39" s="32">
        <f t="shared" si="11"/>
        <v>44877</v>
      </c>
      <c r="J39" s="37">
        <f t="shared" si="12"/>
        <v>3.9140000000000001E-2</v>
      </c>
      <c r="K39" s="32">
        <f t="shared" si="13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</row>
    <row r="40" spans="7:19" ht="18" customHeight="1" x14ac:dyDescent="0.4">
      <c r="G40" s="32">
        <f t="shared" si="9"/>
        <v>44878</v>
      </c>
      <c r="H40" s="37">
        <f t="shared" si="10"/>
        <v>3.0499999999999999E-2</v>
      </c>
      <c r="I40" s="32">
        <f t="shared" si="11"/>
        <v>44878</v>
      </c>
      <c r="J40" s="37">
        <f t="shared" si="12"/>
        <v>3.9140000000000001E-2</v>
      </c>
      <c r="K40" s="32">
        <f t="shared" si="13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</row>
    <row r="41" spans="7:19" ht="18" customHeight="1" x14ac:dyDescent="0.4">
      <c r="G41" s="32">
        <f t="shared" si="9"/>
        <v>44879</v>
      </c>
      <c r="H41" s="37">
        <f t="shared" si="10"/>
        <v>3.0499999999999999E-2</v>
      </c>
      <c r="I41" s="32">
        <f t="shared" si="11"/>
        <v>44879</v>
      </c>
      <c r="J41" s="37">
        <f t="shared" si="12"/>
        <v>3.9140000000000001E-2</v>
      </c>
      <c r="K41" s="32">
        <f t="shared" si="13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</row>
    <row r="42" spans="7:19" ht="18" customHeight="1" x14ac:dyDescent="0.4">
      <c r="G42" s="32">
        <f t="shared" si="9"/>
        <v>44880</v>
      </c>
      <c r="H42" s="37">
        <f t="shared" si="10"/>
        <v>3.0499999999999999E-2</v>
      </c>
      <c r="I42" s="32">
        <f t="shared" si="11"/>
        <v>44880</v>
      </c>
      <c r="J42" s="37">
        <f t="shared" si="12"/>
        <v>3.9140000000000001E-2</v>
      </c>
      <c r="K42" s="32">
        <f t="shared" si="13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</row>
    <row r="43" spans="7:19" ht="18" customHeight="1" x14ac:dyDescent="0.4">
      <c r="G43" s="32">
        <f t="shared" si="9"/>
        <v>44881</v>
      </c>
      <c r="H43" s="37">
        <f t="shared" si="10"/>
        <v>3.0499999999999999E-2</v>
      </c>
      <c r="I43" s="32">
        <f t="shared" si="11"/>
        <v>44881</v>
      </c>
      <c r="J43" s="37">
        <f t="shared" si="12"/>
        <v>3.9140000000000001E-2</v>
      </c>
      <c r="K43" s="32">
        <f t="shared" si="13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</row>
    <row r="44" spans="7:19" ht="18" customHeight="1" x14ac:dyDescent="0.4">
      <c r="G44" s="32">
        <f t="shared" si="9"/>
        <v>44882</v>
      </c>
      <c r="H44" s="37">
        <f t="shared" si="10"/>
        <v>3.0499999999999999E-2</v>
      </c>
      <c r="I44" s="32">
        <f t="shared" si="11"/>
        <v>44882</v>
      </c>
      <c r="J44" s="37">
        <f t="shared" si="12"/>
        <v>3.9140000000000001E-2</v>
      </c>
      <c r="K44" s="32">
        <f t="shared" si="13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</row>
    <row r="45" spans="7:19" ht="18" customHeight="1" x14ac:dyDescent="0.4">
      <c r="G45" s="32">
        <f t="shared" si="9"/>
        <v>44883</v>
      </c>
      <c r="H45" s="37">
        <f t="shared" si="10"/>
        <v>3.0499999999999999E-2</v>
      </c>
      <c r="I45" s="32">
        <f t="shared" si="11"/>
        <v>44883</v>
      </c>
      <c r="J45" s="37">
        <f t="shared" si="12"/>
        <v>3.9140000000000001E-2</v>
      </c>
      <c r="K45" s="32">
        <f t="shared" si="13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</row>
    <row r="46" spans="7:19" ht="18" customHeight="1" x14ac:dyDescent="0.4">
      <c r="G46" s="32">
        <f t="shared" si="9"/>
        <v>44884</v>
      </c>
      <c r="H46" s="37">
        <f t="shared" si="10"/>
        <v>3.0499999999999999E-2</v>
      </c>
      <c r="I46" s="32">
        <f t="shared" si="11"/>
        <v>44884</v>
      </c>
      <c r="J46" s="37">
        <f t="shared" si="12"/>
        <v>3.9140000000000001E-2</v>
      </c>
      <c r="K46" s="32">
        <f t="shared" si="13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</row>
    <row r="47" spans="7:19" ht="18" customHeight="1" x14ac:dyDescent="0.4">
      <c r="G47" s="32">
        <f t="shared" si="9"/>
        <v>44885</v>
      </c>
      <c r="H47" s="37">
        <f t="shared" si="10"/>
        <v>3.0499999999999999E-2</v>
      </c>
      <c r="I47" s="32">
        <f t="shared" si="11"/>
        <v>44885</v>
      </c>
      <c r="J47" s="37">
        <f t="shared" si="12"/>
        <v>3.9140000000000001E-2</v>
      </c>
      <c r="K47" s="32">
        <f t="shared" si="13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</row>
    <row r="48" spans="7:19" ht="18" customHeight="1" x14ac:dyDescent="0.4">
      <c r="G48" s="32">
        <f t="shared" si="9"/>
        <v>44886</v>
      </c>
      <c r="H48" s="37">
        <f t="shared" si="10"/>
        <v>3.0499999999999999E-2</v>
      </c>
      <c r="I48" s="32">
        <f t="shared" si="11"/>
        <v>44886</v>
      </c>
      <c r="J48" s="37">
        <f t="shared" si="12"/>
        <v>3.9140000000000001E-2</v>
      </c>
      <c r="K48" s="32">
        <f t="shared" si="13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</row>
    <row r="49" spans="7:19" ht="18" customHeight="1" x14ac:dyDescent="0.4">
      <c r="G49" s="32">
        <f t="shared" si="9"/>
        <v>44887</v>
      </c>
      <c r="H49" s="37">
        <f t="shared" si="10"/>
        <v>3.0499999999999999E-2</v>
      </c>
      <c r="I49" s="32">
        <f t="shared" si="11"/>
        <v>44887</v>
      </c>
      <c r="J49" s="37">
        <f t="shared" si="12"/>
        <v>3.9140000000000001E-2</v>
      </c>
      <c r="K49" s="32">
        <f t="shared" si="13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</row>
    <row r="50" spans="7:19" ht="18" customHeight="1" x14ac:dyDescent="0.4">
      <c r="G50" s="32">
        <f t="shared" si="9"/>
        <v>44888</v>
      </c>
      <c r="H50" s="37">
        <f t="shared" si="10"/>
        <v>3.0499999999999999E-2</v>
      </c>
      <c r="I50" s="32">
        <f t="shared" si="11"/>
        <v>44888</v>
      </c>
      <c r="J50" s="37">
        <f t="shared" si="12"/>
        <v>3.9140000000000001E-2</v>
      </c>
      <c r="K50" s="32">
        <f t="shared" si="13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</row>
    <row r="51" spans="7:19" ht="18" customHeight="1" x14ac:dyDescent="0.4">
      <c r="G51" s="32">
        <f t="shared" si="9"/>
        <v>44889</v>
      </c>
      <c r="H51" s="37">
        <f t="shared" si="10"/>
        <v>3.0499999999999999E-2</v>
      </c>
      <c r="I51" s="32">
        <f t="shared" si="11"/>
        <v>44889</v>
      </c>
      <c r="J51" s="37">
        <f t="shared" si="12"/>
        <v>3.9140000000000001E-2</v>
      </c>
      <c r="K51" s="32">
        <f t="shared" si="13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</row>
    <row r="52" spans="7:19" ht="18" customHeight="1" x14ac:dyDescent="0.4">
      <c r="G52" s="32">
        <f t="shared" si="9"/>
        <v>44890</v>
      </c>
      <c r="H52" s="37">
        <f t="shared" si="10"/>
        <v>3.0499999999999999E-2</v>
      </c>
      <c r="I52" s="32">
        <f t="shared" si="11"/>
        <v>44890</v>
      </c>
      <c r="J52" s="37">
        <f t="shared" si="12"/>
        <v>3.9140000000000001E-2</v>
      </c>
      <c r="K52" s="32">
        <f t="shared" si="13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</row>
    <row r="53" spans="7:19" ht="18" customHeight="1" x14ac:dyDescent="0.4">
      <c r="G53" s="32">
        <f t="shared" si="9"/>
        <v>44891</v>
      </c>
      <c r="H53" s="37">
        <f t="shared" si="10"/>
        <v>3.0499999999999999E-2</v>
      </c>
      <c r="I53" s="32">
        <f t="shared" si="11"/>
        <v>44891</v>
      </c>
      <c r="J53" s="37">
        <f t="shared" si="12"/>
        <v>3.9140000000000001E-2</v>
      </c>
      <c r="K53" s="32">
        <f t="shared" si="13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</row>
    <row r="54" spans="7:19" ht="18" customHeight="1" x14ac:dyDescent="0.4">
      <c r="G54" s="32">
        <f t="shared" si="9"/>
        <v>44892</v>
      </c>
      <c r="H54" s="37">
        <f t="shared" si="10"/>
        <v>3.0499999999999999E-2</v>
      </c>
      <c r="I54" s="32">
        <f t="shared" si="11"/>
        <v>44892</v>
      </c>
      <c r="J54" s="37">
        <f t="shared" si="12"/>
        <v>3.9140000000000001E-2</v>
      </c>
      <c r="K54" s="32">
        <f t="shared" si="13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</row>
    <row r="55" spans="7:19" ht="18" customHeight="1" x14ac:dyDescent="0.4">
      <c r="G55" s="32">
        <f t="shared" si="9"/>
        <v>44893</v>
      </c>
      <c r="H55" s="37">
        <f t="shared" si="10"/>
        <v>3.0499999999999999E-2</v>
      </c>
      <c r="I55" s="32">
        <f t="shared" si="11"/>
        <v>44893</v>
      </c>
      <c r="J55" s="37">
        <f t="shared" si="12"/>
        <v>3.9140000000000001E-2</v>
      </c>
      <c r="K55" s="32">
        <f t="shared" si="13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</row>
    <row r="56" spans="7:19" ht="18" customHeight="1" x14ac:dyDescent="0.4">
      <c r="G56" s="32">
        <f t="shared" si="9"/>
        <v>44894</v>
      </c>
      <c r="H56" s="37">
        <f t="shared" si="10"/>
        <v>3.0499999999999999E-2</v>
      </c>
      <c r="I56" s="32">
        <f t="shared" si="11"/>
        <v>44894</v>
      </c>
      <c r="J56" s="37">
        <f t="shared" si="12"/>
        <v>3.9140000000000001E-2</v>
      </c>
      <c r="K56" s="32">
        <f t="shared" si="13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</row>
    <row r="57" spans="7:19" ht="18" customHeight="1" x14ac:dyDescent="0.4">
      <c r="G57" s="32">
        <f t="shared" si="9"/>
        <v>44895</v>
      </c>
      <c r="H57" s="37">
        <f t="shared" si="10"/>
        <v>3.0499999999999999E-2</v>
      </c>
      <c r="I57" s="32">
        <f t="shared" si="11"/>
        <v>44895</v>
      </c>
      <c r="J57" s="37">
        <f t="shared" si="12"/>
        <v>3.9140000000000001E-2</v>
      </c>
      <c r="K57" s="32">
        <f t="shared" si="13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</row>
    <row r="58" spans="7:19" ht="18" customHeight="1" x14ac:dyDescent="0.4">
      <c r="G58" s="32">
        <f t="shared" si="9"/>
        <v>44896</v>
      </c>
      <c r="H58" s="37">
        <f t="shared" si="10"/>
        <v>3.0499999999999999E-2</v>
      </c>
      <c r="I58" s="32">
        <f t="shared" si="11"/>
        <v>44896</v>
      </c>
      <c r="J58" s="37">
        <f t="shared" si="12"/>
        <v>3.9140000000000001E-2</v>
      </c>
      <c r="K58" s="32">
        <f t="shared" si="13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</row>
    <row r="59" spans="7:19" ht="18" customHeight="1" x14ac:dyDescent="0.4">
      <c r="G59" s="32">
        <f t="shared" si="9"/>
        <v>44897</v>
      </c>
      <c r="H59" s="37">
        <f t="shared" si="10"/>
        <v>3.0499999999999999E-2</v>
      </c>
      <c r="I59" s="32">
        <f t="shared" si="11"/>
        <v>44897</v>
      </c>
      <c r="J59" s="37">
        <f t="shared" si="12"/>
        <v>3.9140000000000001E-2</v>
      </c>
      <c r="K59" s="32">
        <f t="shared" si="13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</row>
    <row r="60" spans="7:19" ht="18" customHeight="1" x14ac:dyDescent="0.4">
      <c r="G60" s="32">
        <f t="shared" si="9"/>
        <v>44898</v>
      </c>
      <c r="H60" s="37">
        <f t="shared" si="10"/>
        <v>3.0499999999999999E-2</v>
      </c>
      <c r="I60" s="32">
        <f t="shared" si="11"/>
        <v>44898</v>
      </c>
      <c r="J60" s="37">
        <f t="shared" si="12"/>
        <v>3.9140000000000001E-2</v>
      </c>
      <c r="K60" s="32">
        <f t="shared" si="13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</row>
    <row r="61" spans="7:19" ht="18" customHeight="1" x14ac:dyDescent="0.4">
      <c r="G61" s="32">
        <f t="shared" si="9"/>
        <v>44899</v>
      </c>
      <c r="H61" s="37">
        <f t="shared" si="10"/>
        <v>3.0499999999999999E-2</v>
      </c>
      <c r="I61" s="32">
        <f t="shared" si="11"/>
        <v>44899</v>
      </c>
      <c r="J61" s="37">
        <f t="shared" si="12"/>
        <v>3.9140000000000001E-2</v>
      </c>
      <c r="K61" s="32">
        <f t="shared" si="13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</row>
    <row r="62" spans="7:19" ht="18" customHeight="1" x14ac:dyDescent="0.4">
      <c r="G62" s="32">
        <f t="shared" si="9"/>
        <v>44900</v>
      </c>
      <c r="H62" s="37">
        <f t="shared" si="10"/>
        <v>3.0499999999999999E-2</v>
      </c>
      <c r="I62" s="32">
        <f t="shared" si="11"/>
        <v>44900</v>
      </c>
      <c r="J62" s="37">
        <f t="shared" si="12"/>
        <v>3.9140000000000001E-2</v>
      </c>
      <c r="K62" s="32">
        <f t="shared" si="13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</row>
    <row r="63" spans="7:19" ht="18" customHeight="1" x14ac:dyDescent="0.4">
      <c r="G63" s="32">
        <f t="shared" si="9"/>
        <v>44901</v>
      </c>
      <c r="H63" s="37">
        <f t="shared" si="10"/>
        <v>3.0499999999999999E-2</v>
      </c>
      <c r="I63" s="32">
        <f t="shared" si="11"/>
        <v>44901</v>
      </c>
      <c r="J63" s="37">
        <f t="shared" si="12"/>
        <v>3.9140000000000001E-2</v>
      </c>
      <c r="K63" s="32">
        <f t="shared" si="13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</row>
    <row r="64" spans="7:19" ht="18" customHeight="1" x14ac:dyDescent="0.4">
      <c r="G64" s="32">
        <f t="shared" si="9"/>
        <v>44902</v>
      </c>
      <c r="H64" s="37">
        <f t="shared" si="10"/>
        <v>3.0499999999999999E-2</v>
      </c>
      <c r="I64" s="32">
        <f t="shared" si="11"/>
        <v>44902</v>
      </c>
      <c r="J64" s="37">
        <f t="shared" si="12"/>
        <v>3.9140000000000001E-2</v>
      </c>
      <c r="K64" s="32">
        <f t="shared" si="13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</row>
    <row r="65" spans="7:19" ht="18" customHeight="1" x14ac:dyDescent="0.4">
      <c r="G65" s="32">
        <f t="shared" si="9"/>
        <v>44903</v>
      </c>
      <c r="H65" s="37">
        <f t="shared" si="10"/>
        <v>3.0499999999999999E-2</v>
      </c>
      <c r="I65" s="32">
        <f t="shared" si="11"/>
        <v>44903</v>
      </c>
      <c r="J65" s="37">
        <f t="shared" si="12"/>
        <v>3.9140000000000001E-2</v>
      </c>
      <c r="K65" s="32">
        <f t="shared" si="13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</row>
    <row r="66" spans="7:19" ht="18" customHeight="1" x14ac:dyDescent="0.4">
      <c r="G66" s="32">
        <f t="shared" si="9"/>
        <v>44904</v>
      </c>
      <c r="H66" s="37">
        <f t="shared" si="10"/>
        <v>3.0499999999999999E-2</v>
      </c>
      <c r="I66" s="32">
        <f t="shared" si="11"/>
        <v>44904</v>
      </c>
      <c r="J66" s="37">
        <f t="shared" si="12"/>
        <v>3.9140000000000001E-2</v>
      </c>
      <c r="K66" s="32">
        <f t="shared" si="13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</row>
    <row r="67" spans="7:19" ht="18" customHeight="1" x14ac:dyDescent="0.4">
      <c r="G67" s="32">
        <f t="shared" si="9"/>
        <v>44905</v>
      </c>
      <c r="H67" s="37">
        <f t="shared" si="10"/>
        <v>3.0499999999999999E-2</v>
      </c>
      <c r="I67" s="32">
        <f t="shared" si="11"/>
        <v>44905</v>
      </c>
      <c r="J67" s="37">
        <f t="shared" si="12"/>
        <v>3.9140000000000001E-2</v>
      </c>
      <c r="K67" s="32">
        <f t="shared" si="13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</row>
    <row r="68" spans="7:19" ht="18" customHeight="1" x14ac:dyDescent="0.4">
      <c r="G68" s="32">
        <f t="shared" si="9"/>
        <v>44906</v>
      </c>
      <c r="H68" s="37">
        <f t="shared" si="10"/>
        <v>3.0499999999999999E-2</v>
      </c>
      <c r="I68" s="32">
        <f t="shared" si="11"/>
        <v>44906</v>
      </c>
      <c r="J68" s="37">
        <f t="shared" si="12"/>
        <v>3.9140000000000001E-2</v>
      </c>
      <c r="K68" s="32">
        <f t="shared" si="13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</row>
    <row r="69" spans="7:19" ht="18" customHeight="1" x14ac:dyDescent="0.4">
      <c r="G69" s="32">
        <f t="shared" si="9"/>
        <v>44907</v>
      </c>
      <c r="H69" s="37">
        <f t="shared" si="10"/>
        <v>3.0499999999999999E-2</v>
      </c>
      <c r="I69" s="32">
        <f t="shared" si="11"/>
        <v>44907</v>
      </c>
      <c r="J69" s="37">
        <f t="shared" si="12"/>
        <v>3.9140000000000001E-2</v>
      </c>
      <c r="K69" s="32">
        <f t="shared" si="13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</row>
    <row r="70" spans="7:19" ht="18" customHeight="1" x14ac:dyDescent="0.4">
      <c r="G70" s="32">
        <f t="shared" si="9"/>
        <v>44908</v>
      </c>
      <c r="H70" s="37">
        <f t="shared" si="10"/>
        <v>3.0499999999999999E-2</v>
      </c>
      <c r="I70" s="32">
        <f t="shared" si="11"/>
        <v>44908</v>
      </c>
      <c r="J70" s="37">
        <f t="shared" si="12"/>
        <v>3.9140000000000001E-2</v>
      </c>
      <c r="K70" s="32">
        <f t="shared" si="13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</row>
    <row r="71" spans="7:19" ht="18" customHeight="1" x14ac:dyDescent="0.4">
      <c r="G71" s="32">
        <f t="shared" ref="G71:G134" si="14">G70+1</f>
        <v>44909</v>
      </c>
      <c r="H71" s="37">
        <f t="shared" ref="H71:H134" si="15">H70</f>
        <v>3.0499999999999999E-2</v>
      </c>
      <c r="I71" s="32">
        <f t="shared" ref="I71:I134" si="16">I70+1</f>
        <v>44909</v>
      </c>
      <c r="J71" s="37">
        <f t="shared" ref="J71:J134" si="17">J70</f>
        <v>3.9140000000000001E-2</v>
      </c>
      <c r="K71" s="32">
        <f t="shared" si="13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</row>
    <row r="72" spans="7:19" ht="18" customHeight="1" x14ac:dyDescent="0.4">
      <c r="G72" s="32">
        <f t="shared" si="14"/>
        <v>44910</v>
      </c>
      <c r="H72" s="37">
        <f t="shared" si="15"/>
        <v>3.0499999999999999E-2</v>
      </c>
      <c r="I72" s="32">
        <f t="shared" si="16"/>
        <v>44910</v>
      </c>
      <c r="J72" s="37">
        <f t="shared" si="17"/>
        <v>3.9140000000000001E-2</v>
      </c>
      <c r="K72" s="32">
        <f t="shared" si="13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</row>
    <row r="73" spans="7:19" ht="18" customHeight="1" x14ac:dyDescent="0.4">
      <c r="G73" s="32">
        <f t="shared" si="14"/>
        <v>44911</v>
      </c>
      <c r="H73" s="37">
        <f t="shared" si="15"/>
        <v>3.0499999999999999E-2</v>
      </c>
      <c r="I73" s="32">
        <f t="shared" si="16"/>
        <v>44911</v>
      </c>
      <c r="J73" s="37">
        <f t="shared" si="17"/>
        <v>3.9140000000000001E-2</v>
      </c>
      <c r="K73" s="32">
        <f t="shared" si="13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</row>
    <row r="74" spans="7:19" ht="18" customHeight="1" x14ac:dyDescent="0.4">
      <c r="G74" s="32">
        <f t="shared" si="14"/>
        <v>44912</v>
      </c>
      <c r="H74" s="37">
        <f t="shared" si="15"/>
        <v>3.0499999999999999E-2</v>
      </c>
      <c r="I74" s="32">
        <f t="shared" si="16"/>
        <v>44912</v>
      </c>
      <c r="J74" s="37">
        <f t="shared" si="17"/>
        <v>3.9140000000000001E-2</v>
      </c>
      <c r="K74" s="32">
        <f t="shared" si="13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</row>
    <row r="75" spans="7:19" ht="18" customHeight="1" x14ac:dyDescent="0.4">
      <c r="G75" s="32">
        <f t="shared" si="14"/>
        <v>44913</v>
      </c>
      <c r="H75" s="37">
        <f t="shared" si="15"/>
        <v>3.0499999999999999E-2</v>
      </c>
      <c r="I75" s="32">
        <f t="shared" si="16"/>
        <v>44913</v>
      </c>
      <c r="J75" s="37">
        <f t="shared" si="17"/>
        <v>3.9140000000000001E-2</v>
      </c>
      <c r="K75" s="32">
        <f t="shared" si="13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</row>
    <row r="76" spans="7:19" ht="18" customHeight="1" x14ac:dyDescent="0.4">
      <c r="G76" s="32">
        <f t="shared" si="14"/>
        <v>44914</v>
      </c>
      <c r="H76" s="37">
        <f t="shared" si="15"/>
        <v>3.0499999999999999E-2</v>
      </c>
      <c r="I76" s="32">
        <f t="shared" si="16"/>
        <v>44914</v>
      </c>
      <c r="J76" s="37">
        <f t="shared" si="17"/>
        <v>3.9140000000000001E-2</v>
      </c>
      <c r="K76" s="32">
        <f t="shared" si="13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</row>
    <row r="77" spans="7:19" ht="18" customHeight="1" x14ac:dyDescent="0.4">
      <c r="G77" s="32">
        <f t="shared" si="14"/>
        <v>44915</v>
      </c>
      <c r="H77" s="37">
        <f t="shared" si="15"/>
        <v>3.0499999999999999E-2</v>
      </c>
      <c r="I77" s="32">
        <f t="shared" si="16"/>
        <v>44915</v>
      </c>
      <c r="J77" s="37">
        <f t="shared" si="17"/>
        <v>3.9140000000000001E-2</v>
      </c>
      <c r="K77" s="32">
        <f t="shared" si="13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</row>
    <row r="78" spans="7:19" ht="18" customHeight="1" x14ac:dyDescent="0.4">
      <c r="G78" s="32">
        <f t="shared" si="14"/>
        <v>44916</v>
      </c>
      <c r="H78" s="37">
        <f t="shared" si="15"/>
        <v>3.0499999999999999E-2</v>
      </c>
      <c r="I78" s="32">
        <f t="shared" si="16"/>
        <v>44916</v>
      </c>
      <c r="J78" s="37">
        <f t="shared" si="17"/>
        <v>3.9140000000000001E-2</v>
      </c>
      <c r="K78" s="32">
        <f t="shared" si="13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</row>
    <row r="79" spans="7:19" ht="18" customHeight="1" x14ac:dyDescent="0.4">
      <c r="G79" s="32">
        <f t="shared" si="14"/>
        <v>44917</v>
      </c>
      <c r="H79" s="37">
        <f t="shared" si="15"/>
        <v>3.0499999999999999E-2</v>
      </c>
      <c r="I79" s="32">
        <f t="shared" si="16"/>
        <v>44917</v>
      </c>
      <c r="J79" s="37">
        <f t="shared" si="17"/>
        <v>3.9140000000000001E-2</v>
      </c>
      <c r="K79" s="32">
        <f t="shared" si="13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</row>
    <row r="80" spans="7:19" ht="18" customHeight="1" x14ac:dyDescent="0.4">
      <c r="G80" s="32">
        <f t="shared" si="14"/>
        <v>44918</v>
      </c>
      <c r="H80" s="37">
        <f t="shared" si="15"/>
        <v>3.0499999999999999E-2</v>
      </c>
      <c r="I80" s="32">
        <f t="shared" si="16"/>
        <v>44918</v>
      </c>
      <c r="J80" s="37">
        <f t="shared" si="17"/>
        <v>3.9140000000000001E-2</v>
      </c>
      <c r="K80" s="32">
        <f t="shared" si="13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</row>
    <row r="81" spans="7:19" ht="18" customHeight="1" x14ac:dyDescent="0.4">
      <c r="G81" s="32">
        <f t="shared" si="14"/>
        <v>44919</v>
      </c>
      <c r="H81" s="37">
        <f t="shared" si="15"/>
        <v>3.0499999999999999E-2</v>
      </c>
      <c r="I81" s="32">
        <f t="shared" si="16"/>
        <v>44919</v>
      </c>
      <c r="J81" s="37">
        <f t="shared" si="17"/>
        <v>3.9140000000000001E-2</v>
      </c>
      <c r="K81" s="32">
        <f t="shared" si="13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</row>
    <row r="82" spans="7:19" ht="18" customHeight="1" x14ac:dyDescent="0.4">
      <c r="G82" s="32">
        <f t="shared" si="14"/>
        <v>44920</v>
      </c>
      <c r="H82" s="37">
        <f t="shared" si="15"/>
        <v>3.0499999999999999E-2</v>
      </c>
      <c r="I82" s="32">
        <f t="shared" si="16"/>
        <v>44920</v>
      </c>
      <c r="J82" s="37">
        <f t="shared" si="17"/>
        <v>3.9140000000000001E-2</v>
      </c>
      <c r="K82" s="32">
        <f t="shared" si="13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</row>
    <row r="83" spans="7:19" ht="18" customHeight="1" x14ac:dyDescent="0.4">
      <c r="G83" s="32">
        <f t="shared" si="14"/>
        <v>44921</v>
      </c>
      <c r="H83" s="37">
        <f t="shared" si="15"/>
        <v>3.0499999999999999E-2</v>
      </c>
      <c r="I83" s="32">
        <f t="shared" si="16"/>
        <v>44921</v>
      </c>
      <c r="J83" s="37">
        <f t="shared" si="17"/>
        <v>3.9140000000000001E-2</v>
      </c>
      <c r="K83" s="32">
        <f t="shared" si="13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</row>
    <row r="84" spans="7:19" ht="18" customHeight="1" x14ac:dyDescent="0.4">
      <c r="G84" s="32">
        <f t="shared" si="14"/>
        <v>44922</v>
      </c>
      <c r="H84" s="37">
        <f t="shared" si="15"/>
        <v>3.0499999999999999E-2</v>
      </c>
      <c r="I84" s="32">
        <f t="shared" si="16"/>
        <v>44922</v>
      </c>
      <c r="J84" s="37">
        <f t="shared" si="17"/>
        <v>3.9140000000000001E-2</v>
      </c>
      <c r="K84" s="32">
        <f t="shared" si="13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</row>
    <row r="85" spans="7:19" ht="18" customHeight="1" x14ac:dyDescent="0.4">
      <c r="G85" s="32">
        <f t="shared" si="14"/>
        <v>44923</v>
      </c>
      <c r="H85" s="37">
        <f t="shared" si="15"/>
        <v>3.0499999999999999E-2</v>
      </c>
      <c r="I85" s="32">
        <f t="shared" si="16"/>
        <v>44923</v>
      </c>
      <c r="J85" s="37">
        <f t="shared" si="17"/>
        <v>3.9140000000000001E-2</v>
      </c>
      <c r="K85" s="32">
        <f t="shared" si="13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</row>
    <row r="86" spans="7:19" ht="18" customHeight="1" x14ac:dyDescent="0.4">
      <c r="G86" s="32">
        <f t="shared" si="14"/>
        <v>44924</v>
      </c>
      <c r="H86" s="37">
        <f t="shared" si="15"/>
        <v>3.0499999999999999E-2</v>
      </c>
      <c r="I86" s="32">
        <f t="shared" si="16"/>
        <v>44924</v>
      </c>
      <c r="J86" s="37">
        <f t="shared" si="17"/>
        <v>3.9140000000000001E-2</v>
      </c>
      <c r="K86" s="32">
        <f t="shared" si="13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</row>
    <row r="87" spans="7:19" ht="18" customHeight="1" x14ac:dyDescent="0.4">
      <c r="G87" s="32">
        <f t="shared" si="14"/>
        <v>44925</v>
      </c>
      <c r="H87" s="37">
        <f t="shared" si="15"/>
        <v>3.0499999999999999E-2</v>
      </c>
      <c r="I87" s="32">
        <f t="shared" si="16"/>
        <v>44925</v>
      </c>
      <c r="J87" s="37">
        <f t="shared" si="17"/>
        <v>3.9140000000000001E-2</v>
      </c>
      <c r="K87" s="32">
        <f t="shared" si="13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</row>
    <row r="88" spans="7:19" ht="18" customHeight="1" x14ac:dyDescent="0.4">
      <c r="G88" s="32">
        <f t="shared" si="14"/>
        <v>44926</v>
      </c>
      <c r="H88" s="37">
        <f t="shared" si="15"/>
        <v>3.0499999999999999E-2</v>
      </c>
      <c r="I88" s="32">
        <f t="shared" si="16"/>
        <v>44926</v>
      </c>
      <c r="J88" s="37">
        <f t="shared" si="17"/>
        <v>3.9140000000000001E-2</v>
      </c>
      <c r="K88" s="32">
        <f t="shared" si="13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</row>
    <row r="89" spans="7:19" ht="18" customHeight="1" x14ac:dyDescent="0.4">
      <c r="G89" s="32">
        <f t="shared" si="14"/>
        <v>44927</v>
      </c>
      <c r="H89" s="37">
        <f t="shared" si="15"/>
        <v>3.0499999999999999E-2</v>
      </c>
      <c r="I89" s="32">
        <f t="shared" si="16"/>
        <v>44927</v>
      </c>
      <c r="J89" s="37">
        <f t="shared" si="17"/>
        <v>3.9140000000000001E-2</v>
      </c>
      <c r="K89" s="32">
        <f t="shared" si="13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</row>
    <row r="90" spans="7:19" ht="18" customHeight="1" x14ac:dyDescent="0.4">
      <c r="G90" s="32">
        <f t="shared" si="14"/>
        <v>44928</v>
      </c>
      <c r="H90" s="37">
        <f t="shared" si="15"/>
        <v>3.0499999999999999E-2</v>
      </c>
      <c r="I90" s="32">
        <f t="shared" si="16"/>
        <v>44928</v>
      </c>
      <c r="J90" s="37">
        <f t="shared" si="17"/>
        <v>3.9140000000000001E-2</v>
      </c>
      <c r="K90" s="32">
        <f t="shared" si="13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</row>
    <row r="91" spans="7:19" ht="18" customHeight="1" x14ac:dyDescent="0.4">
      <c r="G91" s="32">
        <f t="shared" si="14"/>
        <v>44929</v>
      </c>
      <c r="H91" s="37">
        <f t="shared" si="15"/>
        <v>3.0499999999999999E-2</v>
      </c>
      <c r="I91" s="32">
        <f t="shared" si="16"/>
        <v>44929</v>
      </c>
      <c r="J91" s="37">
        <f t="shared" si="17"/>
        <v>3.9140000000000001E-2</v>
      </c>
      <c r="K91" s="32">
        <f t="shared" ref="K91:K136" si="18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</row>
    <row r="92" spans="7:19" ht="18" customHeight="1" x14ac:dyDescent="0.4">
      <c r="G92" s="32">
        <f t="shared" si="14"/>
        <v>44930</v>
      </c>
      <c r="H92" s="37">
        <f t="shared" si="15"/>
        <v>3.0499999999999999E-2</v>
      </c>
      <c r="I92" s="32">
        <f t="shared" si="16"/>
        <v>44930</v>
      </c>
      <c r="J92" s="37">
        <f t="shared" si="17"/>
        <v>3.9140000000000001E-2</v>
      </c>
      <c r="K92" s="32">
        <f t="shared" si="18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</row>
    <row r="93" spans="7:19" ht="18" customHeight="1" x14ac:dyDescent="0.4">
      <c r="G93" s="32">
        <f t="shared" si="14"/>
        <v>44931</v>
      </c>
      <c r="H93" s="37">
        <f t="shared" si="15"/>
        <v>3.0499999999999999E-2</v>
      </c>
      <c r="I93" s="32">
        <f t="shared" si="16"/>
        <v>44931</v>
      </c>
      <c r="J93" s="37">
        <f t="shared" si="17"/>
        <v>3.9140000000000001E-2</v>
      </c>
      <c r="K93" s="32">
        <f t="shared" si="18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</row>
    <row r="94" spans="7:19" ht="18" customHeight="1" x14ac:dyDescent="0.4">
      <c r="G94" s="32">
        <f t="shared" si="14"/>
        <v>44932</v>
      </c>
      <c r="H94" s="37">
        <f t="shared" si="15"/>
        <v>3.0499999999999999E-2</v>
      </c>
      <c r="I94" s="32">
        <f t="shared" si="16"/>
        <v>44932</v>
      </c>
      <c r="J94" s="37">
        <f t="shared" si="17"/>
        <v>3.9140000000000001E-2</v>
      </c>
      <c r="K94" s="32">
        <f t="shared" si="18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</row>
    <row r="95" spans="7:19" ht="18" customHeight="1" x14ac:dyDescent="0.4">
      <c r="G95" s="32">
        <f t="shared" si="14"/>
        <v>44933</v>
      </c>
      <c r="H95" s="37">
        <f t="shared" si="15"/>
        <v>3.0499999999999999E-2</v>
      </c>
      <c r="I95" s="32">
        <f t="shared" si="16"/>
        <v>44933</v>
      </c>
      <c r="J95" s="37">
        <f t="shared" si="17"/>
        <v>3.9140000000000001E-2</v>
      </c>
      <c r="K95" s="32">
        <f t="shared" si="18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</row>
    <row r="96" spans="7:19" ht="18" customHeight="1" x14ac:dyDescent="0.4">
      <c r="G96" s="32">
        <f t="shared" si="14"/>
        <v>44934</v>
      </c>
      <c r="H96" s="37">
        <f t="shared" si="15"/>
        <v>3.0499999999999999E-2</v>
      </c>
      <c r="I96" s="32">
        <f t="shared" si="16"/>
        <v>44934</v>
      </c>
      <c r="J96" s="37">
        <f t="shared" si="17"/>
        <v>3.9140000000000001E-2</v>
      </c>
      <c r="K96" s="32">
        <f t="shared" si="18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</row>
    <row r="97" spans="7:19" ht="18" customHeight="1" x14ac:dyDescent="0.4">
      <c r="G97" s="32">
        <f t="shared" si="14"/>
        <v>44935</v>
      </c>
      <c r="H97" s="37">
        <f t="shared" si="15"/>
        <v>3.0499999999999999E-2</v>
      </c>
      <c r="I97" s="32">
        <f t="shared" si="16"/>
        <v>44935</v>
      </c>
      <c r="J97" s="37">
        <f t="shared" si="17"/>
        <v>3.9140000000000001E-2</v>
      </c>
      <c r="K97" s="32">
        <f t="shared" si="18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</row>
    <row r="98" spans="7:19" ht="18" customHeight="1" x14ac:dyDescent="0.4">
      <c r="G98" s="32">
        <f t="shared" si="14"/>
        <v>44936</v>
      </c>
      <c r="H98" s="37">
        <f t="shared" si="15"/>
        <v>3.0499999999999999E-2</v>
      </c>
      <c r="I98" s="32">
        <f t="shared" si="16"/>
        <v>44936</v>
      </c>
      <c r="J98" s="37">
        <f t="shared" si="17"/>
        <v>3.9140000000000001E-2</v>
      </c>
      <c r="K98" s="32">
        <f t="shared" si="18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</row>
    <row r="99" spans="7:19" ht="18" customHeight="1" x14ac:dyDescent="0.4">
      <c r="G99" s="32">
        <f t="shared" si="14"/>
        <v>44937</v>
      </c>
      <c r="H99" s="37">
        <f t="shared" si="15"/>
        <v>3.0499999999999999E-2</v>
      </c>
      <c r="I99" s="32">
        <f t="shared" si="16"/>
        <v>44937</v>
      </c>
      <c r="J99" s="37">
        <f t="shared" si="17"/>
        <v>3.9140000000000001E-2</v>
      </c>
      <c r="K99" s="32">
        <f t="shared" si="18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</row>
    <row r="100" spans="7:19" ht="18" customHeight="1" x14ac:dyDescent="0.4">
      <c r="G100" s="32">
        <f t="shared" si="14"/>
        <v>44938</v>
      </c>
      <c r="H100" s="37">
        <f t="shared" si="15"/>
        <v>3.0499999999999999E-2</v>
      </c>
      <c r="I100" s="32">
        <f t="shared" si="16"/>
        <v>44938</v>
      </c>
      <c r="J100" s="37">
        <f t="shared" si="17"/>
        <v>3.9140000000000001E-2</v>
      </c>
      <c r="K100" s="32">
        <f t="shared" si="18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</row>
    <row r="101" spans="7:19" ht="18" customHeight="1" x14ac:dyDescent="0.4">
      <c r="G101" s="32">
        <f t="shared" si="14"/>
        <v>44939</v>
      </c>
      <c r="H101" s="37">
        <f t="shared" si="15"/>
        <v>3.0499999999999999E-2</v>
      </c>
      <c r="I101" s="32">
        <f t="shared" si="16"/>
        <v>44939</v>
      </c>
      <c r="J101" s="37">
        <f t="shared" si="17"/>
        <v>3.9140000000000001E-2</v>
      </c>
      <c r="K101" s="32">
        <f t="shared" si="18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</row>
    <row r="102" spans="7:19" ht="18" customHeight="1" x14ac:dyDescent="0.4">
      <c r="G102" s="32">
        <f t="shared" si="14"/>
        <v>44940</v>
      </c>
      <c r="H102" s="37">
        <f t="shared" si="15"/>
        <v>3.0499999999999999E-2</v>
      </c>
      <c r="I102" s="32">
        <f t="shared" si="16"/>
        <v>44940</v>
      </c>
      <c r="J102" s="37">
        <f t="shared" si="17"/>
        <v>3.9140000000000001E-2</v>
      </c>
      <c r="K102" s="32">
        <f t="shared" si="18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</row>
    <row r="103" spans="7:19" ht="18" customHeight="1" x14ac:dyDescent="0.4">
      <c r="G103" s="32">
        <f t="shared" si="14"/>
        <v>44941</v>
      </c>
      <c r="H103" s="37">
        <f t="shared" si="15"/>
        <v>3.0499999999999999E-2</v>
      </c>
      <c r="I103" s="32">
        <f t="shared" si="16"/>
        <v>44941</v>
      </c>
      <c r="J103" s="37">
        <f t="shared" si="17"/>
        <v>3.9140000000000001E-2</v>
      </c>
      <c r="K103" s="32">
        <f t="shared" si="18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</row>
    <row r="104" spans="7:19" ht="18" customHeight="1" x14ac:dyDescent="0.4">
      <c r="G104" s="32">
        <f t="shared" si="14"/>
        <v>44942</v>
      </c>
      <c r="H104" s="37">
        <f t="shared" si="15"/>
        <v>3.0499999999999999E-2</v>
      </c>
      <c r="I104" s="32">
        <f t="shared" si="16"/>
        <v>44942</v>
      </c>
      <c r="J104" s="37">
        <f t="shared" si="17"/>
        <v>3.9140000000000001E-2</v>
      </c>
      <c r="K104" s="32">
        <f t="shared" si="18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</row>
    <row r="105" spans="7:19" ht="18" customHeight="1" x14ac:dyDescent="0.4">
      <c r="G105" s="32">
        <f t="shared" si="14"/>
        <v>44943</v>
      </c>
      <c r="H105" s="37">
        <f t="shared" si="15"/>
        <v>3.0499999999999999E-2</v>
      </c>
      <c r="I105" s="32">
        <f t="shared" si="16"/>
        <v>44943</v>
      </c>
      <c r="J105" s="37">
        <f t="shared" si="17"/>
        <v>3.9140000000000001E-2</v>
      </c>
      <c r="K105" s="32">
        <f t="shared" si="18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</row>
    <row r="106" spans="7:19" ht="18" customHeight="1" x14ac:dyDescent="0.4">
      <c r="G106" s="32">
        <f t="shared" si="14"/>
        <v>44944</v>
      </c>
      <c r="H106" s="37">
        <f t="shared" si="15"/>
        <v>3.0499999999999999E-2</v>
      </c>
      <c r="I106" s="32">
        <f t="shared" si="16"/>
        <v>44944</v>
      </c>
      <c r="J106" s="37">
        <f t="shared" si="17"/>
        <v>3.9140000000000001E-2</v>
      </c>
      <c r="K106" s="32">
        <f t="shared" si="18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</row>
    <row r="107" spans="7:19" ht="18" customHeight="1" x14ac:dyDescent="0.4">
      <c r="G107" s="32">
        <f t="shared" si="14"/>
        <v>44945</v>
      </c>
      <c r="H107" s="37">
        <f t="shared" si="15"/>
        <v>3.0499999999999999E-2</v>
      </c>
      <c r="I107" s="32">
        <f t="shared" si="16"/>
        <v>44945</v>
      </c>
      <c r="J107" s="37">
        <f t="shared" si="17"/>
        <v>3.9140000000000001E-2</v>
      </c>
      <c r="K107" s="32">
        <f t="shared" si="18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</row>
    <row r="108" spans="7:19" ht="18" customHeight="1" x14ac:dyDescent="0.4">
      <c r="G108" s="32">
        <f t="shared" si="14"/>
        <v>44946</v>
      </c>
      <c r="H108" s="37">
        <f t="shared" si="15"/>
        <v>3.0499999999999999E-2</v>
      </c>
      <c r="I108" s="32">
        <f t="shared" si="16"/>
        <v>44946</v>
      </c>
      <c r="J108" s="37">
        <f t="shared" si="17"/>
        <v>3.9140000000000001E-2</v>
      </c>
      <c r="K108" s="32">
        <f t="shared" si="18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</row>
    <row r="109" spans="7:19" ht="18" customHeight="1" x14ac:dyDescent="0.4">
      <c r="G109" s="32">
        <f t="shared" si="14"/>
        <v>44947</v>
      </c>
      <c r="H109" s="37">
        <f t="shared" si="15"/>
        <v>3.0499999999999999E-2</v>
      </c>
      <c r="I109" s="32">
        <f t="shared" si="16"/>
        <v>44947</v>
      </c>
      <c r="J109" s="37">
        <f t="shared" si="17"/>
        <v>3.9140000000000001E-2</v>
      </c>
      <c r="K109" s="32">
        <f t="shared" si="18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</row>
    <row r="110" spans="7:19" ht="18" customHeight="1" x14ac:dyDescent="0.4">
      <c r="G110" s="32">
        <f t="shared" si="14"/>
        <v>44948</v>
      </c>
      <c r="H110" s="37">
        <f t="shared" si="15"/>
        <v>3.0499999999999999E-2</v>
      </c>
      <c r="I110" s="32">
        <f t="shared" si="16"/>
        <v>44948</v>
      </c>
      <c r="J110" s="37">
        <f t="shared" si="17"/>
        <v>3.9140000000000001E-2</v>
      </c>
      <c r="K110" s="32">
        <f t="shared" si="18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</row>
    <row r="111" spans="7:19" ht="18" customHeight="1" x14ac:dyDescent="0.4">
      <c r="G111" s="32">
        <f t="shared" si="14"/>
        <v>44949</v>
      </c>
      <c r="H111" s="37">
        <f t="shared" si="15"/>
        <v>3.0499999999999999E-2</v>
      </c>
      <c r="I111" s="32">
        <f t="shared" si="16"/>
        <v>44949</v>
      </c>
      <c r="J111" s="37">
        <f t="shared" si="17"/>
        <v>3.9140000000000001E-2</v>
      </c>
      <c r="K111" s="32">
        <f t="shared" si="18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</row>
    <row r="112" spans="7:19" ht="18" customHeight="1" x14ac:dyDescent="0.4">
      <c r="G112" s="32">
        <f t="shared" si="14"/>
        <v>44950</v>
      </c>
      <c r="H112" s="37">
        <f t="shared" si="15"/>
        <v>3.0499999999999999E-2</v>
      </c>
      <c r="I112" s="32">
        <f t="shared" si="16"/>
        <v>44950</v>
      </c>
      <c r="J112" s="37">
        <f t="shared" si="17"/>
        <v>3.9140000000000001E-2</v>
      </c>
      <c r="K112" s="32">
        <f t="shared" si="18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</row>
    <row r="113" spans="7:19" ht="18" customHeight="1" x14ac:dyDescent="0.4">
      <c r="G113" s="32">
        <f t="shared" si="14"/>
        <v>44951</v>
      </c>
      <c r="H113" s="37">
        <f t="shared" si="15"/>
        <v>3.0499999999999999E-2</v>
      </c>
      <c r="I113" s="32">
        <f t="shared" si="16"/>
        <v>44951</v>
      </c>
      <c r="J113" s="37">
        <f t="shared" si="17"/>
        <v>3.9140000000000001E-2</v>
      </c>
      <c r="K113" s="32">
        <f t="shared" si="18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</row>
    <row r="114" spans="7:19" ht="18" customHeight="1" x14ac:dyDescent="0.4">
      <c r="G114" s="32">
        <f t="shared" si="14"/>
        <v>44952</v>
      </c>
      <c r="H114" s="37">
        <f t="shared" si="15"/>
        <v>3.0499999999999999E-2</v>
      </c>
      <c r="I114" s="32">
        <f t="shared" si="16"/>
        <v>44952</v>
      </c>
      <c r="J114" s="37">
        <f t="shared" si="17"/>
        <v>3.9140000000000001E-2</v>
      </c>
      <c r="K114" s="32">
        <f t="shared" si="18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</row>
    <row r="115" spans="7:19" ht="18" customHeight="1" x14ac:dyDescent="0.4">
      <c r="G115" s="32">
        <f t="shared" si="14"/>
        <v>44953</v>
      </c>
      <c r="H115" s="37">
        <f t="shared" si="15"/>
        <v>3.0499999999999999E-2</v>
      </c>
      <c r="I115" s="32">
        <f t="shared" si="16"/>
        <v>44953</v>
      </c>
      <c r="J115" s="37">
        <f t="shared" si="17"/>
        <v>3.9140000000000001E-2</v>
      </c>
      <c r="K115" s="32">
        <f t="shared" si="18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</row>
    <row r="116" spans="7:19" ht="18" customHeight="1" x14ac:dyDescent="0.4">
      <c r="G116" s="32">
        <f t="shared" si="14"/>
        <v>44954</v>
      </c>
      <c r="H116" s="37">
        <f t="shared" si="15"/>
        <v>3.0499999999999999E-2</v>
      </c>
      <c r="I116" s="32">
        <f t="shared" si="16"/>
        <v>44954</v>
      </c>
      <c r="J116" s="37">
        <f t="shared" si="17"/>
        <v>3.9140000000000001E-2</v>
      </c>
      <c r="K116" s="32">
        <f t="shared" si="18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</row>
    <row r="117" spans="7:19" ht="18" customHeight="1" x14ac:dyDescent="0.4">
      <c r="G117" s="32">
        <f t="shared" si="14"/>
        <v>44955</v>
      </c>
      <c r="H117" s="37">
        <f t="shared" si="15"/>
        <v>3.0499999999999999E-2</v>
      </c>
      <c r="I117" s="32">
        <f t="shared" si="16"/>
        <v>44955</v>
      </c>
      <c r="J117" s="37">
        <f t="shared" si="17"/>
        <v>3.9140000000000001E-2</v>
      </c>
      <c r="K117" s="32">
        <f t="shared" si="18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</row>
    <row r="118" spans="7:19" ht="18" customHeight="1" x14ac:dyDescent="0.4">
      <c r="G118" s="32">
        <f t="shared" si="14"/>
        <v>44956</v>
      </c>
      <c r="H118" s="37">
        <f t="shared" si="15"/>
        <v>3.0499999999999999E-2</v>
      </c>
      <c r="I118" s="32">
        <f t="shared" si="16"/>
        <v>44956</v>
      </c>
      <c r="J118" s="37">
        <f t="shared" si="17"/>
        <v>3.9140000000000001E-2</v>
      </c>
      <c r="K118" s="32">
        <f t="shared" si="18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</row>
    <row r="119" spans="7:19" ht="18" customHeight="1" x14ac:dyDescent="0.4">
      <c r="G119" s="32">
        <f t="shared" si="14"/>
        <v>44957</v>
      </c>
      <c r="H119" s="37">
        <f t="shared" si="15"/>
        <v>3.0499999999999999E-2</v>
      </c>
      <c r="I119" s="32">
        <f t="shared" si="16"/>
        <v>44957</v>
      </c>
      <c r="J119" s="37">
        <f t="shared" si="17"/>
        <v>3.9140000000000001E-2</v>
      </c>
      <c r="K119" s="32">
        <f t="shared" si="18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</row>
    <row r="120" spans="7:19" ht="18" customHeight="1" x14ac:dyDescent="0.4">
      <c r="G120" s="32">
        <f t="shared" si="14"/>
        <v>44958</v>
      </c>
      <c r="H120" s="37">
        <f t="shared" si="15"/>
        <v>3.0499999999999999E-2</v>
      </c>
      <c r="I120" s="32">
        <f t="shared" si="16"/>
        <v>44958</v>
      </c>
      <c r="J120" s="37">
        <f t="shared" si="17"/>
        <v>3.9140000000000001E-2</v>
      </c>
      <c r="K120" s="32">
        <f t="shared" si="18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</row>
    <row r="121" spans="7:19" ht="18" customHeight="1" x14ac:dyDescent="0.4">
      <c r="G121" s="32">
        <f t="shared" si="14"/>
        <v>44959</v>
      </c>
      <c r="H121" s="37">
        <f t="shared" si="15"/>
        <v>3.0499999999999999E-2</v>
      </c>
      <c r="I121" s="32">
        <f t="shared" si="16"/>
        <v>44959</v>
      </c>
      <c r="J121" s="37">
        <f t="shared" si="17"/>
        <v>3.9140000000000001E-2</v>
      </c>
      <c r="K121" s="32">
        <f t="shared" si="18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</row>
    <row r="122" spans="7:19" ht="18" customHeight="1" x14ac:dyDescent="0.4">
      <c r="G122" s="32">
        <f t="shared" si="14"/>
        <v>44960</v>
      </c>
      <c r="H122" s="37">
        <f t="shared" si="15"/>
        <v>3.0499999999999999E-2</v>
      </c>
      <c r="I122" s="32">
        <f t="shared" si="16"/>
        <v>44960</v>
      </c>
      <c r="J122" s="37">
        <f t="shared" si="17"/>
        <v>3.9140000000000001E-2</v>
      </c>
      <c r="K122" s="32">
        <f t="shared" si="18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</row>
    <row r="123" spans="7:19" ht="18" customHeight="1" x14ac:dyDescent="0.4">
      <c r="G123" s="32">
        <f t="shared" si="14"/>
        <v>44961</v>
      </c>
      <c r="H123" s="37">
        <f t="shared" si="15"/>
        <v>3.0499999999999999E-2</v>
      </c>
      <c r="I123" s="32">
        <f t="shared" si="16"/>
        <v>44961</v>
      </c>
      <c r="J123" s="37">
        <f t="shared" si="17"/>
        <v>3.9140000000000001E-2</v>
      </c>
      <c r="K123" s="32">
        <f t="shared" si="18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</row>
    <row r="124" spans="7:19" ht="18" customHeight="1" x14ac:dyDescent="0.4">
      <c r="G124" s="32">
        <f t="shared" si="14"/>
        <v>44962</v>
      </c>
      <c r="H124" s="37">
        <f t="shared" si="15"/>
        <v>3.0499999999999999E-2</v>
      </c>
      <c r="I124" s="32">
        <f t="shared" si="16"/>
        <v>44962</v>
      </c>
      <c r="J124" s="37">
        <f t="shared" si="17"/>
        <v>3.9140000000000001E-2</v>
      </c>
      <c r="K124" s="32">
        <f t="shared" si="18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</row>
    <row r="125" spans="7:19" ht="18" customHeight="1" x14ac:dyDescent="0.4">
      <c r="G125" s="32">
        <f t="shared" si="14"/>
        <v>44963</v>
      </c>
      <c r="H125" s="37">
        <f t="shared" si="15"/>
        <v>3.0499999999999999E-2</v>
      </c>
      <c r="I125" s="32">
        <f t="shared" si="16"/>
        <v>44963</v>
      </c>
      <c r="J125" s="37">
        <f t="shared" si="17"/>
        <v>3.9140000000000001E-2</v>
      </c>
      <c r="K125" s="32">
        <f t="shared" si="18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</row>
    <row r="126" spans="7:19" ht="18" customHeight="1" x14ac:dyDescent="0.4">
      <c r="G126" s="32">
        <f t="shared" si="14"/>
        <v>44964</v>
      </c>
      <c r="H126" s="37">
        <f t="shared" si="15"/>
        <v>3.0499999999999999E-2</v>
      </c>
      <c r="I126" s="32">
        <f t="shared" si="16"/>
        <v>44964</v>
      </c>
      <c r="J126" s="37">
        <f t="shared" si="17"/>
        <v>3.9140000000000001E-2</v>
      </c>
      <c r="K126" s="32">
        <f t="shared" si="18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</row>
    <row r="127" spans="7:19" ht="18" customHeight="1" x14ac:dyDescent="0.4">
      <c r="G127" s="32">
        <f t="shared" si="14"/>
        <v>44965</v>
      </c>
      <c r="H127" s="37">
        <f t="shared" si="15"/>
        <v>3.0499999999999999E-2</v>
      </c>
      <c r="I127" s="32">
        <f t="shared" si="16"/>
        <v>44965</v>
      </c>
      <c r="J127" s="37">
        <f t="shared" si="17"/>
        <v>3.9140000000000001E-2</v>
      </c>
      <c r="K127" s="32">
        <f t="shared" si="18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</row>
    <row r="128" spans="7:19" ht="18" customHeight="1" x14ac:dyDescent="0.4">
      <c r="G128" s="32">
        <f t="shared" si="14"/>
        <v>44966</v>
      </c>
      <c r="H128" s="37">
        <f t="shared" si="15"/>
        <v>3.0499999999999999E-2</v>
      </c>
      <c r="I128" s="32">
        <f t="shared" si="16"/>
        <v>44966</v>
      </c>
      <c r="J128" s="37">
        <f t="shared" si="17"/>
        <v>3.9140000000000001E-2</v>
      </c>
      <c r="K128" s="32">
        <f t="shared" si="18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</row>
    <row r="129" spans="7:19" ht="18" customHeight="1" x14ac:dyDescent="0.4">
      <c r="G129" s="32">
        <f t="shared" si="14"/>
        <v>44967</v>
      </c>
      <c r="H129" s="37">
        <f t="shared" si="15"/>
        <v>3.0499999999999999E-2</v>
      </c>
      <c r="I129" s="32">
        <f t="shared" si="16"/>
        <v>44967</v>
      </c>
      <c r="J129" s="37">
        <f t="shared" si="17"/>
        <v>3.9140000000000001E-2</v>
      </c>
      <c r="K129" s="32">
        <f t="shared" si="18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</row>
    <row r="130" spans="7:19" ht="18" customHeight="1" x14ac:dyDescent="0.4">
      <c r="G130" s="32">
        <f t="shared" si="14"/>
        <v>44968</v>
      </c>
      <c r="H130" s="37">
        <f t="shared" si="15"/>
        <v>3.0499999999999999E-2</v>
      </c>
      <c r="I130" s="32">
        <f t="shared" si="16"/>
        <v>44968</v>
      </c>
      <c r="J130" s="37">
        <f t="shared" si="17"/>
        <v>3.9140000000000001E-2</v>
      </c>
      <c r="K130" s="32">
        <f t="shared" si="18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</row>
    <row r="131" spans="7:19" ht="18" customHeight="1" x14ac:dyDescent="0.4">
      <c r="G131" s="32">
        <f t="shared" si="14"/>
        <v>44969</v>
      </c>
      <c r="H131" s="37">
        <f t="shared" si="15"/>
        <v>3.0499999999999999E-2</v>
      </c>
      <c r="I131" s="32">
        <f t="shared" si="16"/>
        <v>44969</v>
      </c>
      <c r="J131" s="37">
        <f t="shared" si="17"/>
        <v>3.9140000000000001E-2</v>
      </c>
      <c r="K131" s="32">
        <f t="shared" si="18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</row>
    <row r="132" spans="7:19" ht="18" customHeight="1" x14ac:dyDescent="0.4">
      <c r="G132" s="32">
        <f t="shared" si="14"/>
        <v>44970</v>
      </c>
      <c r="H132" s="37">
        <f t="shared" si="15"/>
        <v>3.0499999999999999E-2</v>
      </c>
      <c r="I132" s="32">
        <f t="shared" si="16"/>
        <v>44970</v>
      </c>
      <c r="J132" s="37">
        <f t="shared" si="17"/>
        <v>3.9140000000000001E-2</v>
      </c>
      <c r="K132" s="32">
        <f t="shared" si="18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</row>
    <row r="133" spans="7:19" ht="18" customHeight="1" x14ac:dyDescent="0.4">
      <c r="G133" s="32">
        <f t="shared" si="14"/>
        <v>44971</v>
      </c>
      <c r="H133" s="37">
        <f t="shared" si="15"/>
        <v>3.0499999999999999E-2</v>
      </c>
      <c r="I133" s="32">
        <f t="shared" si="16"/>
        <v>44971</v>
      </c>
      <c r="J133" s="37">
        <f t="shared" si="17"/>
        <v>3.9140000000000001E-2</v>
      </c>
      <c r="K133" s="32">
        <f t="shared" si="18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</row>
    <row r="134" spans="7:19" ht="18" customHeight="1" x14ac:dyDescent="0.4">
      <c r="G134" s="32">
        <f t="shared" si="14"/>
        <v>44972</v>
      </c>
      <c r="H134" s="37">
        <f t="shared" si="15"/>
        <v>3.0499999999999999E-2</v>
      </c>
      <c r="I134" s="32">
        <f t="shared" si="16"/>
        <v>44972</v>
      </c>
      <c r="J134" s="37">
        <f t="shared" si="17"/>
        <v>3.9140000000000001E-2</v>
      </c>
      <c r="K134" s="32">
        <f t="shared" si="18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</row>
    <row r="135" spans="7:19" ht="18" customHeight="1" x14ac:dyDescent="0.4">
      <c r="G135" s="32">
        <f t="shared" ref="G135:G198" si="19">G134+1</f>
        <v>44973</v>
      </c>
      <c r="H135" s="37">
        <f t="shared" ref="H135:H198" si="20">H134</f>
        <v>3.0499999999999999E-2</v>
      </c>
      <c r="I135" s="32">
        <f t="shared" ref="I135:I198" si="21">I134+1</f>
        <v>44973</v>
      </c>
      <c r="J135" s="37">
        <f t="shared" ref="J135:J198" si="22">J134</f>
        <v>3.9140000000000001E-2</v>
      </c>
      <c r="K135" s="32">
        <f t="shared" si="18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</row>
    <row r="136" spans="7:19" ht="18" customHeight="1" x14ac:dyDescent="0.4">
      <c r="G136" s="32">
        <f t="shared" si="19"/>
        <v>44974</v>
      </c>
      <c r="H136" s="37">
        <f t="shared" si="20"/>
        <v>3.0499999999999999E-2</v>
      </c>
      <c r="I136" s="32">
        <f t="shared" si="21"/>
        <v>44974</v>
      </c>
      <c r="J136" s="37">
        <f t="shared" si="22"/>
        <v>3.9140000000000001E-2</v>
      </c>
      <c r="K136" s="32">
        <f t="shared" si="18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</row>
    <row r="137" spans="7:19" ht="18" customHeight="1" x14ac:dyDescent="0.4">
      <c r="G137" s="32">
        <f t="shared" si="19"/>
        <v>44975</v>
      </c>
      <c r="H137" s="37">
        <f t="shared" si="20"/>
        <v>3.0499999999999999E-2</v>
      </c>
      <c r="I137" s="32">
        <f t="shared" si="21"/>
        <v>44975</v>
      </c>
      <c r="J137" s="37">
        <f t="shared" si="22"/>
        <v>3.9140000000000001E-2</v>
      </c>
      <c r="K137" s="32">
        <f t="shared" ref="K137:K200" si="23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</row>
    <row r="138" spans="7:19" ht="18" customHeight="1" x14ac:dyDescent="0.4">
      <c r="G138" s="32">
        <f t="shared" si="19"/>
        <v>44976</v>
      </c>
      <c r="H138" s="37">
        <f t="shared" si="20"/>
        <v>3.0499999999999999E-2</v>
      </c>
      <c r="I138" s="32">
        <f t="shared" si="21"/>
        <v>44976</v>
      </c>
      <c r="J138" s="37">
        <f t="shared" si="22"/>
        <v>3.9140000000000001E-2</v>
      </c>
      <c r="K138" s="32">
        <f t="shared" si="23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</row>
    <row r="139" spans="7:19" ht="18" customHeight="1" x14ac:dyDescent="0.4">
      <c r="G139" s="32">
        <f t="shared" si="19"/>
        <v>44977</v>
      </c>
      <c r="H139" s="37">
        <f t="shared" si="20"/>
        <v>3.0499999999999999E-2</v>
      </c>
      <c r="I139" s="32">
        <f t="shared" si="21"/>
        <v>44977</v>
      </c>
      <c r="J139" s="37">
        <f t="shared" si="22"/>
        <v>3.9140000000000001E-2</v>
      </c>
      <c r="K139" s="32">
        <f t="shared" si="23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</row>
    <row r="140" spans="7:19" ht="18" customHeight="1" x14ac:dyDescent="0.4">
      <c r="G140" s="32">
        <f t="shared" si="19"/>
        <v>44978</v>
      </c>
      <c r="H140" s="37">
        <f t="shared" si="20"/>
        <v>3.0499999999999999E-2</v>
      </c>
      <c r="I140" s="32">
        <f t="shared" si="21"/>
        <v>44978</v>
      </c>
      <c r="J140" s="37">
        <f t="shared" si="22"/>
        <v>3.9140000000000001E-2</v>
      </c>
      <c r="K140" s="32">
        <f t="shared" si="23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</row>
    <row r="141" spans="7:19" ht="18" customHeight="1" x14ac:dyDescent="0.4">
      <c r="G141" s="32">
        <f t="shared" si="19"/>
        <v>44979</v>
      </c>
      <c r="H141" s="37">
        <f t="shared" si="20"/>
        <v>3.0499999999999999E-2</v>
      </c>
      <c r="I141" s="32">
        <f t="shared" si="21"/>
        <v>44979</v>
      </c>
      <c r="J141" s="37">
        <f t="shared" si="22"/>
        <v>3.9140000000000001E-2</v>
      </c>
      <c r="K141" s="32">
        <f t="shared" si="23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</row>
    <row r="142" spans="7:19" ht="18" customHeight="1" x14ac:dyDescent="0.4">
      <c r="G142" s="32">
        <f t="shared" si="19"/>
        <v>44980</v>
      </c>
      <c r="H142" s="37">
        <f t="shared" si="20"/>
        <v>3.0499999999999999E-2</v>
      </c>
      <c r="I142" s="32">
        <f t="shared" si="21"/>
        <v>44980</v>
      </c>
      <c r="J142" s="37">
        <f t="shared" si="22"/>
        <v>3.9140000000000001E-2</v>
      </c>
      <c r="K142" s="32">
        <f t="shared" si="23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</row>
    <row r="143" spans="7:19" ht="18" customHeight="1" x14ac:dyDescent="0.4">
      <c r="G143" s="32">
        <f t="shared" si="19"/>
        <v>44981</v>
      </c>
      <c r="H143" s="37">
        <f t="shared" si="20"/>
        <v>3.0499999999999999E-2</v>
      </c>
      <c r="I143" s="32">
        <f t="shared" si="21"/>
        <v>44981</v>
      </c>
      <c r="J143" s="37">
        <f t="shared" si="22"/>
        <v>3.9140000000000001E-2</v>
      </c>
      <c r="K143" s="32">
        <f t="shared" si="23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</row>
    <row r="144" spans="7:19" ht="18" customHeight="1" x14ac:dyDescent="0.4">
      <c r="G144" s="32">
        <f t="shared" si="19"/>
        <v>44982</v>
      </c>
      <c r="H144" s="37">
        <f t="shared" si="20"/>
        <v>3.0499999999999999E-2</v>
      </c>
      <c r="I144" s="32">
        <f t="shared" si="21"/>
        <v>44982</v>
      </c>
      <c r="J144" s="37">
        <f t="shared" si="22"/>
        <v>3.9140000000000001E-2</v>
      </c>
      <c r="K144" s="32">
        <f t="shared" si="23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</row>
    <row r="145" spans="7:19" ht="18" customHeight="1" x14ac:dyDescent="0.4">
      <c r="G145" s="32">
        <f t="shared" si="19"/>
        <v>44983</v>
      </c>
      <c r="H145" s="37">
        <f t="shared" si="20"/>
        <v>3.0499999999999999E-2</v>
      </c>
      <c r="I145" s="32">
        <f t="shared" si="21"/>
        <v>44983</v>
      </c>
      <c r="J145" s="37">
        <f t="shared" si="22"/>
        <v>3.9140000000000001E-2</v>
      </c>
      <c r="K145" s="32">
        <f t="shared" si="23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</row>
    <row r="146" spans="7:19" ht="18" customHeight="1" x14ac:dyDescent="0.4">
      <c r="G146" s="32">
        <f t="shared" si="19"/>
        <v>44984</v>
      </c>
      <c r="H146" s="37">
        <f t="shared" si="20"/>
        <v>3.0499999999999999E-2</v>
      </c>
      <c r="I146" s="32">
        <f t="shared" si="21"/>
        <v>44984</v>
      </c>
      <c r="J146" s="37">
        <f t="shared" si="22"/>
        <v>3.9140000000000001E-2</v>
      </c>
      <c r="K146" s="32">
        <f t="shared" si="23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</row>
    <row r="147" spans="7:19" ht="18" customHeight="1" x14ac:dyDescent="0.4">
      <c r="G147" s="32">
        <f t="shared" si="19"/>
        <v>44985</v>
      </c>
      <c r="H147" s="37">
        <f t="shared" si="20"/>
        <v>3.0499999999999999E-2</v>
      </c>
      <c r="I147" s="32">
        <f t="shared" si="21"/>
        <v>44985</v>
      </c>
      <c r="J147" s="37">
        <f t="shared" si="22"/>
        <v>3.9140000000000001E-2</v>
      </c>
      <c r="K147" s="32">
        <f t="shared" si="23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</row>
    <row r="148" spans="7:19" ht="18" customHeight="1" x14ac:dyDescent="0.4">
      <c r="G148" s="32">
        <f t="shared" si="19"/>
        <v>44986</v>
      </c>
      <c r="H148" s="37">
        <f t="shared" si="20"/>
        <v>3.0499999999999999E-2</v>
      </c>
      <c r="I148" s="32">
        <f t="shared" si="21"/>
        <v>44986</v>
      </c>
      <c r="J148" s="37">
        <f t="shared" si="22"/>
        <v>3.9140000000000001E-2</v>
      </c>
      <c r="K148" s="32">
        <f t="shared" si="23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</row>
    <row r="149" spans="7:19" ht="18" customHeight="1" x14ac:dyDescent="0.4">
      <c r="G149" s="32">
        <f t="shared" si="19"/>
        <v>44987</v>
      </c>
      <c r="H149" s="37">
        <f t="shared" si="20"/>
        <v>3.0499999999999999E-2</v>
      </c>
      <c r="I149" s="32">
        <f t="shared" si="21"/>
        <v>44987</v>
      </c>
      <c r="J149" s="37">
        <f t="shared" si="22"/>
        <v>3.9140000000000001E-2</v>
      </c>
      <c r="K149" s="32">
        <f t="shared" si="23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</row>
    <row r="150" spans="7:19" ht="18" customHeight="1" x14ac:dyDescent="0.4">
      <c r="G150" s="32">
        <f t="shared" si="19"/>
        <v>44988</v>
      </c>
      <c r="H150" s="37">
        <f t="shared" si="20"/>
        <v>3.0499999999999999E-2</v>
      </c>
      <c r="I150" s="32">
        <f t="shared" si="21"/>
        <v>44988</v>
      </c>
      <c r="J150" s="37">
        <f t="shared" si="22"/>
        <v>3.9140000000000001E-2</v>
      </c>
      <c r="K150" s="32">
        <f t="shared" si="23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</row>
    <row r="151" spans="7:19" ht="18" customHeight="1" x14ac:dyDescent="0.4">
      <c r="G151" s="32">
        <f t="shared" si="19"/>
        <v>44989</v>
      </c>
      <c r="H151" s="37">
        <f t="shared" si="20"/>
        <v>3.0499999999999999E-2</v>
      </c>
      <c r="I151" s="32">
        <f t="shared" si="21"/>
        <v>44989</v>
      </c>
      <c r="J151" s="37">
        <f t="shared" si="22"/>
        <v>3.9140000000000001E-2</v>
      </c>
      <c r="K151" s="32">
        <f t="shared" si="23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</row>
    <row r="152" spans="7:19" ht="18" customHeight="1" x14ac:dyDescent="0.4">
      <c r="G152" s="32">
        <f t="shared" si="19"/>
        <v>44990</v>
      </c>
      <c r="H152" s="37">
        <f t="shared" si="20"/>
        <v>3.0499999999999999E-2</v>
      </c>
      <c r="I152" s="32">
        <f t="shared" si="21"/>
        <v>44990</v>
      </c>
      <c r="J152" s="37">
        <f t="shared" si="22"/>
        <v>3.9140000000000001E-2</v>
      </c>
      <c r="K152" s="32">
        <f t="shared" si="23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</row>
    <row r="153" spans="7:19" ht="18" customHeight="1" x14ac:dyDescent="0.4">
      <c r="G153" s="32">
        <f t="shared" si="19"/>
        <v>44991</v>
      </c>
      <c r="H153" s="37">
        <f t="shared" si="20"/>
        <v>3.0499999999999999E-2</v>
      </c>
      <c r="I153" s="32">
        <f t="shared" si="21"/>
        <v>44991</v>
      </c>
      <c r="J153" s="37">
        <f t="shared" si="22"/>
        <v>3.9140000000000001E-2</v>
      </c>
      <c r="K153" s="32">
        <f t="shared" si="23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</row>
    <row r="154" spans="7:19" ht="18" customHeight="1" x14ac:dyDescent="0.4">
      <c r="G154" s="32">
        <f t="shared" si="19"/>
        <v>44992</v>
      </c>
      <c r="H154" s="37">
        <f t="shared" si="20"/>
        <v>3.0499999999999999E-2</v>
      </c>
      <c r="I154" s="32">
        <f t="shared" si="21"/>
        <v>44992</v>
      </c>
      <c r="J154" s="37">
        <f t="shared" si="22"/>
        <v>3.9140000000000001E-2</v>
      </c>
      <c r="K154" s="32">
        <f t="shared" si="23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</row>
    <row r="155" spans="7:19" ht="18" customHeight="1" x14ac:dyDescent="0.4">
      <c r="G155" s="32">
        <f t="shared" si="19"/>
        <v>44993</v>
      </c>
      <c r="H155" s="37">
        <f t="shared" si="20"/>
        <v>3.0499999999999999E-2</v>
      </c>
      <c r="I155" s="32">
        <f t="shared" si="21"/>
        <v>44993</v>
      </c>
      <c r="J155" s="37">
        <f t="shared" si="22"/>
        <v>3.9140000000000001E-2</v>
      </c>
      <c r="K155" s="32">
        <f t="shared" si="23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</row>
    <row r="156" spans="7:19" ht="18" customHeight="1" x14ac:dyDescent="0.4">
      <c r="G156" s="32">
        <f t="shared" si="19"/>
        <v>44994</v>
      </c>
      <c r="H156" s="37">
        <f t="shared" si="20"/>
        <v>3.0499999999999999E-2</v>
      </c>
      <c r="I156" s="32">
        <f t="shared" si="21"/>
        <v>44994</v>
      </c>
      <c r="J156" s="37">
        <f t="shared" si="22"/>
        <v>3.9140000000000001E-2</v>
      </c>
      <c r="K156" s="32">
        <f t="shared" si="23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</row>
    <row r="157" spans="7:19" ht="18" customHeight="1" x14ac:dyDescent="0.4">
      <c r="G157" s="32">
        <f t="shared" si="19"/>
        <v>44995</v>
      </c>
      <c r="H157" s="37">
        <f t="shared" si="20"/>
        <v>3.0499999999999999E-2</v>
      </c>
      <c r="I157" s="32">
        <f t="shared" si="21"/>
        <v>44995</v>
      </c>
      <c r="J157" s="37">
        <f t="shared" si="22"/>
        <v>3.9140000000000001E-2</v>
      </c>
      <c r="K157" s="32">
        <f t="shared" si="23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</row>
    <row r="158" spans="7:19" ht="18" customHeight="1" x14ac:dyDescent="0.4">
      <c r="G158" s="32">
        <f t="shared" si="19"/>
        <v>44996</v>
      </c>
      <c r="H158" s="37">
        <f t="shared" si="20"/>
        <v>3.0499999999999999E-2</v>
      </c>
      <c r="I158" s="32">
        <f t="shared" si="21"/>
        <v>44996</v>
      </c>
      <c r="J158" s="37">
        <f t="shared" si="22"/>
        <v>3.9140000000000001E-2</v>
      </c>
      <c r="K158" s="32">
        <f t="shared" si="23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</row>
    <row r="159" spans="7:19" ht="18" customHeight="1" x14ac:dyDescent="0.4">
      <c r="G159" s="32">
        <f t="shared" si="19"/>
        <v>44997</v>
      </c>
      <c r="H159" s="37">
        <f t="shared" si="20"/>
        <v>3.0499999999999999E-2</v>
      </c>
      <c r="I159" s="32">
        <f t="shared" si="21"/>
        <v>44997</v>
      </c>
      <c r="J159" s="37">
        <f t="shared" si="22"/>
        <v>3.9140000000000001E-2</v>
      </c>
      <c r="K159" s="32">
        <f t="shared" si="23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</row>
    <row r="160" spans="7:19" ht="18" customHeight="1" x14ac:dyDescent="0.4">
      <c r="G160" s="32">
        <f t="shared" si="19"/>
        <v>44998</v>
      </c>
      <c r="H160" s="37">
        <f t="shared" si="20"/>
        <v>3.0499999999999999E-2</v>
      </c>
      <c r="I160" s="32">
        <f t="shared" si="21"/>
        <v>44998</v>
      </c>
      <c r="J160" s="37">
        <f t="shared" si="22"/>
        <v>3.9140000000000001E-2</v>
      </c>
      <c r="K160" s="32">
        <f t="shared" si="23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</row>
    <row r="161" spans="7:19" ht="18" customHeight="1" x14ac:dyDescent="0.4">
      <c r="G161" s="32">
        <f t="shared" si="19"/>
        <v>44999</v>
      </c>
      <c r="H161" s="37">
        <f t="shared" si="20"/>
        <v>3.0499999999999999E-2</v>
      </c>
      <c r="I161" s="32">
        <f t="shared" si="21"/>
        <v>44999</v>
      </c>
      <c r="J161" s="37">
        <f t="shared" si="22"/>
        <v>3.9140000000000001E-2</v>
      </c>
      <c r="K161" s="32">
        <f t="shared" si="23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</row>
    <row r="162" spans="7:19" ht="18" customHeight="1" x14ac:dyDescent="0.4">
      <c r="G162" s="32">
        <f t="shared" si="19"/>
        <v>45000</v>
      </c>
      <c r="H162" s="37">
        <f t="shared" si="20"/>
        <v>3.0499999999999999E-2</v>
      </c>
      <c r="I162" s="32">
        <f t="shared" si="21"/>
        <v>45000</v>
      </c>
      <c r="J162" s="37">
        <f t="shared" si="22"/>
        <v>3.9140000000000001E-2</v>
      </c>
      <c r="K162" s="32">
        <f t="shared" si="23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</row>
    <row r="163" spans="7:19" ht="18" customHeight="1" x14ac:dyDescent="0.4">
      <c r="G163" s="32">
        <f t="shared" si="19"/>
        <v>45001</v>
      </c>
      <c r="H163" s="37">
        <f t="shared" si="20"/>
        <v>3.0499999999999999E-2</v>
      </c>
      <c r="I163" s="32">
        <f t="shared" si="21"/>
        <v>45001</v>
      </c>
      <c r="J163" s="37">
        <f t="shared" si="22"/>
        <v>3.9140000000000001E-2</v>
      </c>
      <c r="K163" s="32">
        <f t="shared" si="23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</row>
    <row r="164" spans="7:19" ht="18" customHeight="1" x14ac:dyDescent="0.4">
      <c r="G164" s="32">
        <f t="shared" si="19"/>
        <v>45002</v>
      </c>
      <c r="H164" s="37">
        <f t="shared" si="20"/>
        <v>3.0499999999999999E-2</v>
      </c>
      <c r="I164" s="32">
        <f t="shared" si="21"/>
        <v>45002</v>
      </c>
      <c r="J164" s="37">
        <f t="shared" si="22"/>
        <v>3.9140000000000001E-2</v>
      </c>
      <c r="K164" s="32">
        <f t="shared" si="23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</row>
    <row r="165" spans="7:19" ht="18" customHeight="1" x14ac:dyDescent="0.4">
      <c r="G165" s="32">
        <f t="shared" si="19"/>
        <v>45003</v>
      </c>
      <c r="H165" s="37">
        <f t="shared" si="20"/>
        <v>3.0499999999999999E-2</v>
      </c>
      <c r="I165" s="32">
        <f t="shared" si="21"/>
        <v>45003</v>
      </c>
      <c r="J165" s="37">
        <f t="shared" si="22"/>
        <v>3.9140000000000001E-2</v>
      </c>
      <c r="K165" s="32">
        <f t="shared" si="23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</row>
    <row r="166" spans="7:19" ht="18" customHeight="1" x14ac:dyDescent="0.4">
      <c r="G166" s="32">
        <f t="shared" si="19"/>
        <v>45004</v>
      </c>
      <c r="H166" s="37">
        <f t="shared" si="20"/>
        <v>3.0499999999999999E-2</v>
      </c>
      <c r="I166" s="32">
        <f t="shared" si="21"/>
        <v>45004</v>
      </c>
      <c r="J166" s="37">
        <f t="shared" si="22"/>
        <v>3.9140000000000001E-2</v>
      </c>
      <c r="K166" s="32">
        <f t="shared" si="23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</row>
    <row r="167" spans="7:19" ht="18" customHeight="1" x14ac:dyDescent="0.4">
      <c r="G167" s="32">
        <f t="shared" si="19"/>
        <v>45005</v>
      </c>
      <c r="H167" s="37">
        <f t="shared" si="20"/>
        <v>3.0499999999999999E-2</v>
      </c>
      <c r="I167" s="32">
        <f t="shared" si="21"/>
        <v>45005</v>
      </c>
      <c r="J167" s="37">
        <f t="shared" si="22"/>
        <v>3.9140000000000001E-2</v>
      </c>
      <c r="K167" s="32">
        <f t="shared" si="23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</row>
    <row r="168" spans="7:19" ht="18" customHeight="1" x14ac:dyDescent="0.4">
      <c r="G168" s="32">
        <f t="shared" si="19"/>
        <v>45006</v>
      </c>
      <c r="H168" s="37">
        <f t="shared" si="20"/>
        <v>3.0499999999999999E-2</v>
      </c>
      <c r="I168" s="32">
        <f t="shared" si="21"/>
        <v>45006</v>
      </c>
      <c r="J168" s="37">
        <f t="shared" si="22"/>
        <v>3.9140000000000001E-2</v>
      </c>
      <c r="K168" s="32">
        <f t="shared" si="23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</row>
    <row r="169" spans="7:19" ht="18" customHeight="1" x14ac:dyDescent="0.4">
      <c r="G169" s="32">
        <f t="shared" si="19"/>
        <v>45007</v>
      </c>
      <c r="H169" s="37">
        <f t="shared" si="20"/>
        <v>3.0499999999999999E-2</v>
      </c>
      <c r="I169" s="32">
        <f t="shared" si="21"/>
        <v>45007</v>
      </c>
      <c r="J169" s="37">
        <f t="shared" si="22"/>
        <v>3.9140000000000001E-2</v>
      </c>
      <c r="K169" s="32">
        <f t="shared" si="23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</row>
    <row r="170" spans="7:19" ht="18" customHeight="1" x14ac:dyDescent="0.4">
      <c r="G170" s="32">
        <f t="shared" si="19"/>
        <v>45008</v>
      </c>
      <c r="H170" s="37">
        <f t="shared" si="20"/>
        <v>3.0499999999999999E-2</v>
      </c>
      <c r="I170" s="32">
        <f t="shared" si="21"/>
        <v>45008</v>
      </c>
      <c r="J170" s="37">
        <f t="shared" si="22"/>
        <v>3.9140000000000001E-2</v>
      </c>
      <c r="K170" s="32">
        <f t="shared" si="23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</row>
    <row r="171" spans="7:19" ht="18" customHeight="1" x14ac:dyDescent="0.4">
      <c r="G171" s="32">
        <f t="shared" si="19"/>
        <v>45009</v>
      </c>
      <c r="H171" s="37">
        <f t="shared" si="20"/>
        <v>3.0499999999999999E-2</v>
      </c>
      <c r="I171" s="32">
        <f t="shared" si="21"/>
        <v>45009</v>
      </c>
      <c r="J171" s="37">
        <f t="shared" si="22"/>
        <v>3.9140000000000001E-2</v>
      </c>
      <c r="K171" s="32">
        <f t="shared" si="23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</row>
    <row r="172" spans="7:19" ht="18" customHeight="1" x14ac:dyDescent="0.4">
      <c r="G172" s="32">
        <f t="shared" si="19"/>
        <v>45010</v>
      </c>
      <c r="H172" s="37">
        <f t="shared" si="20"/>
        <v>3.0499999999999999E-2</v>
      </c>
      <c r="I172" s="32">
        <f t="shared" si="21"/>
        <v>45010</v>
      </c>
      <c r="J172" s="37">
        <f t="shared" si="22"/>
        <v>3.9140000000000001E-2</v>
      </c>
      <c r="K172" s="32">
        <f t="shared" si="23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</row>
    <row r="173" spans="7:19" ht="18" customHeight="1" x14ac:dyDescent="0.4">
      <c r="G173" s="32">
        <f t="shared" si="19"/>
        <v>45011</v>
      </c>
      <c r="H173" s="37">
        <f t="shared" si="20"/>
        <v>3.0499999999999999E-2</v>
      </c>
      <c r="I173" s="32">
        <f t="shared" si="21"/>
        <v>45011</v>
      </c>
      <c r="J173" s="37">
        <f t="shared" si="22"/>
        <v>3.9140000000000001E-2</v>
      </c>
      <c r="K173" s="32">
        <f t="shared" si="23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</row>
    <row r="174" spans="7:19" ht="18" customHeight="1" x14ac:dyDescent="0.4">
      <c r="G174" s="32">
        <f t="shared" si="19"/>
        <v>45012</v>
      </c>
      <c r="H174" s="37">
        <f t="shared" si="20"/>
        <v>3.0499999999999999E-2</v>
      </c>
      <c r="I174" s="32">
        <f t="shared" si="21"/>
        <v>45012</v>
      </c>
      <c r="J174" s="37">
        <f t="shared" si="22"/>
        <v>3.9140000000000001E-2</v>
      </c>
      <c r="K174" s="32">
        <f t="shared" si="23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</row>
    <row r="175" spans="7:19" ht="18" customHeight="1" x14ac:dyDescent="0.4">
      <c r="G175" s="32">
        <f t="shared" si="19"/>
        <v>45013</v>
      </c>
      <c r="H175" s="37">
        <f t="shared" si="20"/>
        <v>3.0499999999999999E-2</v>
      </c>
      <c r="I175" s="32">
        <f t="shared" si="21"/>
        <v>45013</v>
      </c>
      <c r="J175" s="37">
        <f t="shared" si="22"/>
        <v>3.9140000000000001E-2</v>
      </c>
      <c r="K175" s="32">
        <f t="shared" si="23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</row>
    <row r="176" spans="7:19" ht="18" customHeight="1" x14ac:dyDescent="0.4">
      <c r="G176" s="32">
        <f t="shared" si="19"/>
        <v>45014</v>
      </c>
      <c r="H176" s="37">
        <f t="shared" si="20"/>
        <v>3.0499999999999999E-2</v>
      </c>
      <c r="I176" s="32">
        <f t="shared" si="21"/>
        <v>45014</v>
      </c>
      <c r="J176" s="37">
        <f t="shared" si="22"/>
        <v>3.9140000000000001E-2</v>
      </c>
      <c r="K176" s="32">
        <f t="shared" si="23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</row>
    <row r="177" spans="7:19" ht="18" customHeight="1" x14ac:dyDescent="0.4">
      <c r="G177" s="32">
        <f t="shared" si="19"/>
        <v>45015</v>
      </c>
      <c r="H177" s="37">
        <f t="shared" si="20"/>
        <v>3.0499999999999999E-2</v>
      </c>
      <c r="I177" s="32">
        <f t="shared" si="21"/>
        <v>45015</v>
      </c>
      <c r="J177" s="37">
        <f t="shared" si="22"/>
        <v>3.9140000000000001E-2</v>
      </c>
      <c r="K177" s="32">
        <f t="shared" si="23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</row>
    <row r="178" spans="7:19" ht="18" customHeight="1" x14ac:dyDescent="0.4">
      <c r="G178" s="32">
        <f t="shared" si="19"/>
        <v>45016</v>
      </c>
      <c r="H178" s="37">
        <f t="shared" si="20"/>
        <v>3.0499999999999999E-2</v>
      </c>
      <c r="I178" s="32">
        <f t="shared" si="21"/>
        <v>45016</v>
      </c>
      <c r="J178" s="37">
        <f t="shared" si="22"/>
        <v>3.9140000000000001E-2</v>
      </c>
      <c r="K178" s="32">
        <f t="shared" si="23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</row>
    <row r="179" spans="7:19" ht="18" customHeight="1" x14ac:dyDescent="0.4">
      <c r="G179" s="32">
        <f t="shared" si="19"/>
        <v>45017</v>
      </c>
      <c r="H179" s="37">
        <f t="shared" si="20"/>
        <v>3.0499999999999999E-2</v>
      </c>
      <c r="I179" s="32">
        <f t="shared" si="21"/>
        <v>45017</v>
      </c>
      <c r="J179" s="37">
        <f t="shared" si="22"/>
        <v>3.9140000000000001E-2</v>
      </c>
      <c r="K179" s="32">
        <f t="shared" si="23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</row>
    <row r="180" spans="7:19" ht="18" customHeight="1" x14ac:dyDescent="0.4">
      <c r="G180" s="32">
        <f t="shared" si="19"/>
        <v>45018</v>
      </c>
      <c r="H180" s="37">
        <f t="shared" si="20"/>
        <v>3.0499999999999999E-2</v>
      </c>
      <c r="I180" s="32">
        <f t="shared" si="21"/>
        <v>45018</v>
      </c>
      <c r="J180" s="37">
        <f t="shared" si="22"/>
        <v>3.9140000000000001E-2</v>
      </c>
      <c r="K180" s="32">
        <f t="shared" si="23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</row>
    <row r="181" spans="7:19" ht="18" customHeight="1" x14ac:dyDescent="0.4">
      <c r="G181" s="32">
        <f t="shared" si="19"/>
        <v>45019</v>
      </c>
      <c r="H181" s="37">
        <f t="shared" si="20"/>
        <v>3.0499999999999999E-2</v>
      </c>
      <c r="I181" s="32">
        <f t="shared" si="21"/>
        <v>45019</v>
      </c>
      <c r="J181" s="37">
        <f t="shared" si="22"/>
        <v>3.9140000000000001E-2</v>
      </c>
      <c r="K181" s="32">
        <f t="shared" si="23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</row>
    <row r="182" spans="7:19" ht="18" customHeight="1" x14ac:dyDescent="0.4">
      <c r="G182" s="32">
        <f t="shared" si="19"/>
        <v>45020</v>
      </c>
      <c r="H182" s="37">
        <f t="shared" si="20"/>
        <v>3.0499999999999999E-2</v>
      </c>
      <c r="I182" s="32">
        <f t="shared" si="21"/>
        <v>45020</v>
      </c>
      <c r="J182" s="37">
        <f t="shared" si="22"/>
        <v>3.9140000000000001E-2</v>
      </c>
      <c r="K182" s="32">
        <f t="shared" si="23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</row>
    <row r="183" spans="7:19" ht="18" customHeight="1" x14ac:dyDescent="0.4">
      <c r="G183" s="32">
        <f t="shared" si="19"/>
        <v>45021</v>
      </c>
      <c r="H183" s="37">
        <f t="shared" si="20"/>
        <v>3.0499999999999999E-2</v>
      </c>
      <c r="I183" s="32">
        <f t="shared" si="21"/>
        <v>45021</v>
      </c>
      <c r="J183" s="37">
        <f t="shared" si="22"/>
        <v>3.9140000000000001E-2</v>
      </c>
      <c r="K183" s="32">
        <f t="shared" si="23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</row>
    <row r="184" spans="7:19" ht="18" customHeight="1" x14ac:dyDescent="0.4">
      <c r="G184" s="32">
        <f t="shared" si="19"/>
        <v>45022</v>
      </c>
      <c r="H184" s="37">
        <f t="shared" si="20"/>
        <v>3.0499999999999999E-2</v>
      </c>
      <c r="I184" s="32">
        <f t="shared" si="21"/>
        <v>45022</v>
      </c>
      <c r="J184" s="37">
        <f t="shared" si="22"/>
        <v>3.9140000000000001E-2</v>
      </c>
      <c r="K184" s="32">
        <f t="shared" si="23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</row>
    <row r="185" spans="7:19" ht="18" customHeight="1" x14ac:dyDescent="0.4">
      <c r="G185" s="32">
        <f t="shared" si="19"/>
        <v>45023</v>
      </c>
      <c r="H185" s="37">
        <f t="shared" si="20"/>
        <v>3.0499999999999999E-2</v>
      </c>
      <c r="I185" s="32">
        <f t="shared" si="21"/>
        <v>45023</v>
      </c>
      <c r="J185" s="37">
        <f t="shared" si="22"/>
        <v>3.9140000000000001E-2</v>
      </c>
      <c r="K185" s="32">
        <f t="shared" si="23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</row>
    <row r="186" spans="7:19" ht="18" customHeight="1" x14ac:dyDescent="0.4">
      <c r="G186" s="32">
        <f t="shared" si="19"/>
        <v>45024</v>
      </c>
      <c r="H186" s="37">
        <f t="shared" si="20"/>
        <v>3.0499999999999999E-2</v>
      </c>
      <c r="I186" s="32">
        <f t="shared" si="21"/>
        <v>45024</v>
      </c>
      <c r="J186" s="37">
        <f t="shared" si="22"/>
        <v>3.9140000000000001E-2</v>
      </c>
      <c r="K186" s="32">
        <f t="shared" si="23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</row>
    <row r="187" spans="7:19" ht="18" customHeight="1" x14ac:dyDescent="0.4">
      <c r="G187" s="32">
        <f t="shared" si="19"/>
        <v>45025</v>
      </c>
      <c r="H187" s="37">
        <f t="shared" si="20"/>
        <v>3.0499999999999999E-2</v>
      </c>
      <c r="I187" s="32">
        <f t="shared" si="21"/>
        <v>45025</v>
      </c>
      <c r="J187" s="37">
        <f t="shared" si="22"/>
        <v>3.9140000000000001E-2</v>
      </c>
      <c r="K187" s="32">
        <f t="shared" si="23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</row>
    <row r="188" spans="7:19" ht="18" customHeight="1" x14ac:dyDescent="0.4">
      <c r="G188" s="32">
        <f t="shared" si="19"/>
        <v>45026</v>
      </c>
      <c r="H188" s="37">
        <f t="shared" si="20"/>
        <v>3.0499999999999999E-2</v>
      </c>
      <c r="I188" s="32">
        <f t="shared" si="21"/>
        <v>45026</v>
      </c>
      <c r="J188" s="37">
        <f t="shared" si="22"/>
        <v>3.9140000000000001E-2</v>
      </c>
      <c r="K188" s="32">
        <f t="shared" si="23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</row>
    <row r="189" spans="7:19" ht="18" customHeight="1" x14ac:dyDescent="0.4">
      <c r="G189" s="32">
        <f t="shared" si="19"/>
        <v>45027</v>
      </c>
      <c r="H189" s="37">
        <f t="shared" si="20"/>
        <v>3.0499999999999999E-2</v>
      </c>
      <c r="I189" s="32">
        <f t="shared" si="21"/>
        <v>45027</v>
      </c>
      <c r="J189" s="37">
        <f t="shared" si="22"/>
        <v>3.9140000000000001E-2</v>
      </c>
      <c r="K189" s="32">
        <f t="shared" si="23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</row>
    <row r="190" spans="7:19" ht="18" customHeight="1" x14ac:dyDescent="0.4">
      <c r="G190" s="32">
        <f t="shared" si="19"/>
        <v>45028</v>
      </c>
      <c r="H190" s="37">
        <f t="shared" si="20"/>
        <v>3.0499999999999999E-2</v>
      </c>
      <c r="I190" s="32">
        <f t="shared" si="21"/>
        <v>45028</v>
      </c>
      <c r="J190" s="37">
        <f t="shared" si="22"/>
        <v>3.9140000000000001E-2</v>
      </c>
      <c r="K190" s="32">
        <f t="shared" si="23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</row>
    <row r="191" spans="7:19" ht="18" customHeight="1" x14ac:dyDescent="0.4">
      <c r="G191" s="32">
        <f t="shared" si="19"/>
        <v>45029</v>
      </c>
      <c r="H191" s="37">
        <f t="shared" si="20"/>
        <v>3.0499999999999999E-2</v>
      </c>
      <c r="I191" s="32">
        <f t="shared" si="21"/>
        <v>45029</v>
      </c>
      <c r="J191" s="37">
        <f t="shared" si="22"/>
        <v>3.9140000000000001E-2</v>
      </c>
      <c r="K191" s="32">
        <f t="shared" si="23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</row>
    <row r="192" spans="7:19" ht="18" customHeight="1" x14ac:dyDescent="0.4">
      <c r="G192" s="32">
        <f t="shared" si="19"/>
        <v>45030</v>
      </c>
      <c r="H192" s="37">
        <f t="shared" si="20"/>
        <v>3.0499999999999999E-2</v>
      </c>
      <c r="I192" s="32">
        <f t="shared" si="21"/>
        <v>45030</v>
      </c>
      <c r="J192" s="37">
        <f t="shared" si="22"/>
        <v>3.9140000000000001E-2</v>
      </c>
      <c r="K192" s="32">
        <f t="shared" si="23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</row>
    <row r="193" spans="7:19" ht="18" customHeight="1" x14ac:dyDescent="0.4">
      <c r="G193" s="32">
        <f t="shared" si="19"/>
        <v>45031</v>
      </c>
      <c r="H193" s="37">
        <f t="shared" si="20"/>
        <v>3.0499999999999999E-2</v>
      </c>
      <c r="I193" s="32">
        <f t="shared" si="21"/>
        <v>45031</v>
      </c>
      <c r="J193" s="37">
        <f t="shared" si="22"/>
        <v>3.9140000000000001E-2</v>
      </c>
      <c r="K193" s="32">
        <f t="shared" si="23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</row>
    <row r="194" spans="7:19" ht="18" customHeight="1" x14ac:dyDescent="0.4">
      <c r="G194" s="32">
        <f t="shared" si="19"/>
        <v>45032</v>
      </c>
      <c r="H194" s="37">
        <f t="shared" si="20"/>
        <v>3.0499999999999999E-2</v>
      </c>
      <c r="I194" s="32">
        <f t="shared" si="21"/>
        <v>45032</v>
      </c>
      <c r="J194" s="37">
        <f t="shared" si="22"/>
        <v>3.9140000000000001E-2</v>
      </c>
      <c r="K194" s="32">
        <f t="shared" si="23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</row>
    <row r="195" spans="7:19" ht="18" customHeight="1" x14ac:dyDescent="0.4">
      <c r="G195" s="32">
        <f t="shared" si="19"/>
        <v>45033</v>
      </c>
      <c r="H195" s="37">
        <f t="shared" si="20"/>
        <v>3.0499999999999999E-2</v>
      </c>
      <c r="I195" s="32">
        <f t="shared" si="21"/>
        <v>45033</v>
      </c>
      <c r="J195" s="37">
        <f t="shared" si="22"/>
        <v>3.9140000000000001E-2</v>
      </c>
      <c r="K195" s="32">
        <f t="shared" si="23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</row>
    <row r="196" spans="7:19" ht="18" customHeight="1" x14ac:dyDescent="0.4">
      <c r="G196" s="32">
        <f t="shared" si="19"/>
        <v>45034</v>
      </c>
      <c r="H196" s="37">
        <f t="shared" si="20"/>
        <v>3.0499999999999999E-2</v>
      </c>
      <c r="I196" s="32">
        <f t="shared" si="21"/>
        <v>45034</v>
      </c>
      <c r="J196" s="37">
        <f t="shared" si="22"/>
        <v>3.9140000000000001E-2</v>
      </c>
      <c r="K196" s="32">
        <f t="shared" si="23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</row>
    <row r="197" spans="7:19" ht="18" customHeight="1" x14ac:dyDescent="0.4">
      <c r="G197" s="32">
        <f t="shared" si="19"/>
        <v>45035</v>
      </c>
      <c r="H197" s="37">
        <f t="shared" si="20"/>
        <v>3.0499999999999999E-2</v>
      </c>
      <c r="I197" s="32">
        <f t="shared" si="21"/>
        <v>45035</v>
      </c>
      <c r="J197" s="37">
        <f t="shared" si="22"/>
        <v>3.9140000000000001E-2</v>
      </c>
      <c r="K197" s="32">
        <f t="shared" si="23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</row>
    <row r="198" spans="7:19" ht="18" customHeight="1" x14ac:dyDescent="0.4">
      <c r="G198" s="32">
        <f t="shared" si="19"/>
        <v>45036</v>
      </c>
      <c r="H198" s="37">
        <f t="shared" si="20"/>
        <v>3.0499999999999999E-2</v>
      </c>
      <c r="I198" s="32">
        <f t="shared" si="21"/>
        <v>45036</v>
      </c>
      <c r="J198" s="37">
        <f t="shared" si="22"/>
        <v>3.9140000000000001E-2</v>
      </c>
      <c r="K198" s="32">
        <f t="shared" si="23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</row>
    <row r="199" spans="7:19" ht="18" customHeight="1" x14ac:dyDescent="0.4">
      <c r="G199" s="32">
        <f t="shared" ref="G199:G217" si="24">G198+1</f>
        <v>45037</v>
      </c>
      <c r="H199" s="37">
        <f t="shared" ref="H199:H217" si="25">H198</f>
        <v>3.0499999999999999E-2</v>
      </c>
      <c r="I199" s="32">
        <f t="shared" ref="I199:I217" si="26">I198+1</f>
        <v>45037</v>
      </c>
      <c r="J199" s="37">
        <f t="shared" ref="J199:J217" si="27">J198</f>
        <v>3.9140000000000001E-2</v>
      </c>
      <c r="K199" s="32">
        <f t="shared" si="23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</row>
    <row r="200" spans="7:19" ht="18" customHeight="1" x14ac:dyDescent="0.4">
      <c r="G200" s="32">
        <f t="shared" si="24"/>
        <v>45038</v>
      </c>
      <c r="H200" s="37">
        <f t="shared" si="25"/>
        <v>3.0499999999999999E-2</v>
      </c>
      <c r="I200" s="32">
        <f t="shared" si="26"/>
        <v>45038</v>
      </c>
      <c r="J200" s="37">
        <f t="shared" si="27"/>
        <v>3.9140000000000001E-2</v>
      </c>
      <c r="K200" s="32">
        <f t="shared" si="23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</row>
    <row r="201" spans="7:19" ht="18" customHeight="1" x14ac:dyDescent="0.4">
      <c r="G201" s="32">
        <f t="shared" si="24"/>
        <v>45039</v>
      </c>
      <c r="H201" s="37">
        <f t="shared" si="25"/>
        <v>3.0499999999999999E-2</v>
      </c>
      <c r="I201" s="32">
        <f t="shared" si="26"/>
        <v>45039</v>
      </c>
      <c r="J201" s="37">
        <f t="shared" si="27"/>
        <v>3.9140000000000001E-2</v>
      </c>
      <c r="K201" s="32">
        <f t="shared" ref="K201:K217" si="28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</row>
    <row r="202" spans="7:19" ht="18" customHeight="1" x14ac:dyDescent="0.4">
      <c r="G202" s="32">
        <f t="shared" si="24"/>
        <v>45040</v>
      </c>
      <c r="H202" s="37">
        <f t="shared" si="25"/>
        <v>3.0499999999999999E-2</v>
      </c>
      <c r="I202" s="32">
        <f t="shared" si="26"/>
        <v>45040</v>
      </c>
      <c r="J202" s="37">
        <f t="shared" si="27"/>
        <v>3.9140000000000001E-2</v>
      </c>
      <c r="K202" s="32">
        <f t="shared" si="28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</row>
    <row r="203" spans="7:19" ht="18" customHeight="1" x14ac:dyDescent="0.4">
      <c r="G203" s="32">
        <f t="shared" si="24"/>
        <v>45041</v>
      </c>
      <c r="H203" s="37">
        <f t="shared" si="25"/>
        <v>3.0499999999999999E-2</v>
      </c>
      <c r="I203" s="32">
        <f t="shared" si="26"/>
        <v>45041</v>
      </c>
      <c r="J203" s="37">
        <f t="shared" si="27"/>
        <v>3.9140000000000001E-2</v>
      </c>
      <c r="K203" s="32">
        <f t="shared" si="28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</row>
    <row r="204" spans="7:19" ht="18" customHeight="1" x14ac:dyDescent="0.4">
      <c r="G204" s="32">
        <f t="shared" si="24"/>
        <v>45042</v>
      </c>
      <c r="H204" s="37">
        <f t="shared" si="25"/>
        <v>3.0499999999999999E-2</v>
      </c>
      <c r="I204" s="32">
        <f t="shared" si="26"/>
        <v>45042</v>
      </c>
      <c r="J204" s="37">
        <f t="shared" si="27"/>
        <v>3.9140000000000001E-2</v>
      </c>
      <c r="K204" s="32">
        <f t="shared" si="28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</row>
    <row r="205" spans="7:19" ht="18" customHeight="1" x14ac:dyDescent="0.4">
      <c r="G205" s="32">
        <f t="shared" si="24"/>
        <v>45043</v>
      </c>
      <c r="H205" s="37">
        <f t="shared" si="25"/>
        <v>3.0499999999999999E-2</v>
      </c>
      <c r="I205" s="32">
        <f t="shared" si="26"/>
        <v>45043</v>
      </c>
      <c r="J205" s="37">
        <f t="shared" si="27"/>
        <v>3.9140000000000001E-2</v>
      </c>
      <c r="K205" s="32">
        <f t="shared" si="28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</row>
    <row r="206" spans="7:19" ht="18" customHeight="1" x14ac:dyDescent="0.4">
      <c r="G206" s="32">
        <f t="shared" si="24"/>
        <v>45044</v>
      </c>
      <c r="H206" s="37">
        <f t="shared" si="25"/>
        <v>3.0499999999999999E-2</v>
      </c>
      <c r="I206" s="32">
        <f t="shared" si="26"/>
        <v>45044</v>
      </c>
      <c r="J206" s="37">
        <f t="shared" si="27"/>
        <v>3.9140000000000001E-2</v>
      </c>
      <c r="K206" s="32">
        <f t="shared" si="28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</row>
    <row r="207" spans="7:19" ht="18" customHeight="1" x14ac:dyDescent="0.4">
      <c r="G207" s="32">
        <f t="shared" si="24"/>
        <v>45045</v>
      </c>
      <c r="H207" s="37">
        <f t="shared" si="25"/>
        <v>3.0499999999999999E-2</v>
      </c>
      <c r="I207" s="32">
        <f t="shared" si="26"/>
        <v>45045</v>
      </c>
      <c r="J207" s="37">
        <f t="shared" si="27"/>
        <v>3.9140000000000001E-2</v>
      </c>
      <c r="K207" s="32">
        <f t="shared" si="28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</row>
    <row r="208" spans="7:19" ht="18" customHeight="1" x14ac:dyDescent="0.4">
      <c r="G208" s="32">
        <f t="shared" si="24"/>
        <v>45046</v>
      </c>
      <c r="H208" s="37">
        <f t="shared" si="25"/>
        <v>3.0499999999999999E-2</v>
      </c>
      <c r="I208" s="32">
        <f t="shared" si="26"/>
        <v>45046</v>
      </c>
      <c r="J208" s="37">
        <f t="shared" si="27"/>
        <v>3.9140000000000001E-2</v>
      </c>
      <c r="K208" s="32">
        <f t="shared" si="28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</row>
    <row r="209" spans="7:19" ht="18" customHeight="1" x14ac:dyDescent="0.4">
      <c r="G209" s="32">
        <f t="shared" si="24"/>
        <v>45047</v>
      </c>
      <c r="H209" s="37">
        <f t="shared" si="25"/>
        <v>3.0499999999999999E-2</v>
      </c>
      <c r="I209" s="32">
        <f t="shared" si="26"/>
        <v>45047</v>
      </c>
      <c r="J209" s="37">
        <f t="shared" si="27"/>
        <v>3.9140000000000001E-2</v>
      </c>
      <c r="K209" s="32">
        <f t="shared" si="28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</row>
    <row r="210" spans="7:19" ht="18" customHeight="1" x14ac:dyDescent="0.4">
      <c r="G210" s="32">
        <f t="shared" si="24"/>
        <v>45048</v>
      </c>
      <c r="H210" s="37">
        <f t="shared" si="25"/>
        <v>3.0499999999999999E-2</v>
      </c>
      <c r="I210" s="32">
        <f t="shared" si="26"/>
        <v>45048</v>
      </c>
      <c r="J210" s="37">
        <f t="shared" si="27"/>
        <v>3.9140000000000001E-2</v>
      </c>
      <c r="K210" s="32">
        <f t="shared" si="28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</row>
    <row r="211" spans="7:19" ht="18" customHeight="1" x14ac:dyDescent="0.4">
      <c r="G211" s="32">
        <f t="shared" si="24"/>
        <v>45049</v>
      </c>
      <c r="H211" s="37">
        <f t="shared" si="25"/>
        <v>3.0499999999999999E-2</v>
      </c>
      <c r="I211" s="32">
        <f t="shared" si="26"/>
        <v>45049</v>
      </c>
      <c r="J211" s="37">
        <f t="shared" si="27"/>
        <v>3.9140000000000001E-2</v>
      </c>
      <c r="K211" s="32">
        <f t="shared" si="28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</row>
    <row r="212" spans="7:19" ht="18" customHeight="1" x14ac:dyDescent="0.4">
      <c r="G212" s="32">
        <f t="shared" si="24"/>
        <v>45050</v>
      </c>
      <c r="H212" s="37">
        <f t="shared" si="25"/>
        <v>3.0499999999999999E-2</v>
      </c>
      <c r="I212" s="32">
        <f t="shared" si="26"/>
        <v>45050</v>
      </c>
      <c r="J212" s="37">
        <f t="shared" si="27"/>
        <v>3.9140000000000001E-2</v>
      </c>
      <c r="K212" s="32">
        <f t="shared" si="28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</row>
    <row r="213" spans="7:19" ht="18" customHeight="1" x14ac:dyDescent="0.4">
      <c r="G213" s="32">
        <f t="shared" si="24"/>
        <v>45051</v>
      </c>
      <c r="H213" s="37">
        <f t="shared" si="25"/>
        <v>3.0499999999999999E-2</v>
      </c>
      <c r="I213" s="32">
        <f t="shared" si="26"/>
        <v>45051</v>
      </c>
      <c r="J213" s="37">
        <f t="shared" si="27"/>
        <v>3.9140000000000001E-2</v>
      </c>
      <c r="K213" s="32">
        <f t="shared" si="28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</row>
    <row r="214" spans="7:19" ht="18" customHeight="1" x14ac:dyDescent="0.4">
      <c r="G214" s="32">
        <f t="shared" si="24"/>
        <v>45052</v>
      </c>
      <c r="H214" s="37">
        <f t="shared" si="25"/>
        <v>3.0499999999999999E-2</v>
      </c>
      <c r="I214" s="32">
        <f t="shared" si="26"/>
        <v>45052</v>
      </c>
      <c r="J214" s="37">
        <f t="shared" si="27"/>
        <v>3.9140000000000001E-2</v>
      </c>
      <c r="K214" s="32">
        <f t="shared" si="28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</row>
    <row r="215" spans="7:19" ht="18" customHeight="1" x14ac:dyDescent="0.4">
      <c r="G215" s="32">
        <f t="shared" si="24"/>
        <v>45053</v>
      </c>
      <c r="H215" s="37">
        <f t="shared" si="25"/>
        <v>3.0499999999999999E-2</v>
      </c>
      <c r="I215" s="32">
        <f t="shared" si="26"/>
        <v>45053</v>
      </c>
      <c r="J215" s="37">
        <f t="shared" si="27"/>
        <v>3.9140000000000001E-2</v>
      </c>
      <c r="K215" s="32">
        <f t="shared" si="28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</row>
    <row r="216" spans="7:19" ht="18" customHeight="1" x14ac:dyDescent="0.4">
      <c r="G216" s="32">
        <f t="shared" si="24"/>
        <v>45054</v>
      </c>
      <c r="H216" s="37">
        <f t="shared" si="25"/>
        <v>3.0499999999999999E-2</v>
      </c>
      <c r="I216" s="32">
        <f t="shared" si="26"/>
        <v>45054</v>
      </c>
      <c r="J216" s="37">
        <f t="shared" si="27"/>
        <v>3.9140000000000001E-2</v>
      </c>
      <c r="K216" s="32">
        <f t="shared" si="28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</row>
    <row r="217" spans="7:19" ht="18" customHeight="1" x14ac:dyDescent="0.4">
      <c r="G217" s="32">
        <f t="shared" si="24"/>
        <v>45055</v>
      </c>
      <c r="H217" s="37">
        <f t="shared" si="25"/>
        <v>3.0499999999999999E-2</v>
      </c>
      <c r="I217" s="32">
        <f t="shared" si="26"/>
        <v>45055</v>
      </c>
      <c r="J217" s="37">
        <f t="shared" si="27"/>
        <v>3.9140000000000001E-2</v>
      </c>
      <c r="K217" s="32">
        <f t="shared" si="28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</row>
    <row r="218" spans="7:19" ht="18" customHeight="1" x14ac:dyDescent="0.4">
      <c r="G218" s="32"/>
      <c r="H218" s="37"/>
      <c r="I218" s="32"/>
      <c r="J218" s="37"/>
      <c r="K218" s="32"/>
      <c r="L218" s="37"/>
    </row>
    <row r="219" spans="7:19" ht="18" customHeight="1" x14ac:dyDescent="0.4">
      <c r="G219" s="32"/>
      <c r="H219" s="37"/>
      <c r="I219" s="32"/>
      <c r="J219" s="37"/>
      <c r="K219" s="32"/>
      <c r="L219" s="37"/>
    </row>
    <row r="220" spans="7:19" ht="18" customHeight="1" x14ac:dyDescent="0.4">
      <c r="G220" s="32"/>
      <c r="H220" s="37"/>
      <c r="I220" s="32"/>
      <c r="J220" s="37"/>
      <c r="K220" s="32"/>
      <c r="L220" s="37"/>
    </row>
    <row r="221" spans="7:19" ht="18" customHeight="1" x14ac:dyDescent="0.4">
      <c r="G221" s="32"/>
      <c r="H221" s="37"/>
      <c r="I221" s="32"/>
      <c r="J221" s="37"/>
      <c r="K221" s="32"/>
      <c r="L221" s="37"/>
    </row>
    <row r="222" spans="7:19" ht="18" customHeight="1" x14ac:dyDescent="0.4">
      <c r="G222" s="32"/>
      <c r="H222" s="37"/>
      <c r="I222" s="32"/>
      <c r="J222" s="37"/>
      <c r="K222" s="32"/>
      <c r="L222" s="37"/>
    </row>
    <row r="223" spans="7:19" ht="18" customHeight="1" x14ac:dyDescent="0.4">
      <c r="G223" s="32"/>
      <c r="H223" s="37"/>
      <c r="I223" s="32"/>
      <c r="J223" s="37"/>
      <c r="K223" s="32"/>
      <c r="L223" s="37"/>
    </row>
    <row r="224" spans="7:19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3"/>
  <sheetViews>
    <sheetView tabSelected="1" zoomScale="85" zoomScaleNormal="85" workbookViewId="0">
      <selection activeCell="C6" sqref="C6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181"/>
    <col min="3" max="5" width="13.8984375" style="62"/>
    <col min="6" max="8" width="13.8984375" style="182"/>
    <col min="9" max="9" width="13.8984375" style="183"/>
    <col min="10" max="12" width="13.8984375" style="62"/>
    <col min="13" max="15" width="13.8984375" style="182"/>
    <col min="16" max="18" width="13.8984375" style="184"/>
    <col min="19" max="16384" width="13.8984375" style="21"/>
  </cols>
  <sheetData>
    <row r="1" spans="1:15" s="21" customFormat="1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</row>
    <row r="2" spans="1:15" s="21" customFormat="1" x14ac:dyDescent="0.4"/>
    <row r="3" spans="1:15" s="21" customFormat="1" x14ac:dyDescent="0.4"/>
    <row r="4" spans="1:15" s="21" customFormat="1" x14ac:dyDescent="0.4">
      <c r="B4" s="175" t="s">
        <v>58</v>
      </c>
      <c r="C4" s="175"/>
      <c r="D4" s="176">
        <v>1000</v>
      </c>
      <c r="E4" s="176"/>
      <c r="G4" s="177" t="s">
        <v>79</v>
      </c>
      <c r="H4" s="178"/>
      <c r="I4" s="179">
        <v>2006892842.8955054</v>
      </c>
      <c r="J4" s="180"/>
      <c r="L4" s="31">
        <v>44853.032256944447</v>
      </c>
      <c r="M4" s="1" t="s">
        <v>5</v>
      </c>
      <c r="N4" s="87" t="s">
        <v>6</v>
      </c>
      <c r="O4" s="87"/>
    </row>
    <row r="5" spans="1:15" s="21" customFormat="1" x14ac:dyDescent="0.4">
      <c r="B5" s="175" t="s">
        <v>30</v>
      </c>
      <c r="C5" s="175"/>
      <c r="D5" s="176">
        <v>0</v>
      </c>
      <c r="E5" s="176"/>
      <c r="G5" s="177" t="s">
        <v>80</v>
      </c>
      <c r="H5" s="178"/>
      <c r="I5" s="179">
        <v>2390614075.0797715</v>
      </c>
      <c r="J5" s="180"/>
      <c r="L5" s="31">
        <v>44853.032280092593</v>
      </c>
      <c r="N5" s="87"/>
      <c r="O5" s="87"/>
    </row>
    <row r="6" spans="1:15" s="21" customFormat="1" x14ac:dyDescent="0.4">
      <c r="G6" s="177" t="s">
        <v>64</v>
      </c>
      <c r="H6" s="178"/>
      <c r="I6" s="179">
        <v>58681607.776079535</v>
      </c>
      <c r="J6" s="180"/>
      <c r="K6" s="73"/>
      <c r="L6" s="31"/>
      <c r="N6" s="87"/>
      <c r="O6" s="87"/>
    </row>
    <row r="7" spans="1:15" s="21" customFormat="1" x14ac:dyDescent="0.4">
      <c r="D7" s="21">
        <v>1</v>
      </c>
      <c r="G7" s="177" t="s">
        <v>94</v>
      </c>
      <c r="H7" s="178"/>
      <c r="I7" s="179">
        <v>442402839.96034563</v>
      </c>
      <c r="J7" s="180"/>
    </row>
    <row r="8" spans="1:15" s="21" customFormat="1" x14ac:dyDescent="0.4"/>
    <row r="9" spans="1:15" s="21" customFormat="1" x14ac:dyDescent="0.4">
      <c r="B9" s="30"/>
      <c r="C9" s="30"/>
    </row>
    <row r="10" spans="1:15" s="21" customFormat="1" x14ac:dyDescent="0.4">
      <c r="A10" s="66"/>
      <c r="B10" s="174" t="s">
        <v>65</v>
      </c>
      <c r="C10" s="174"/>
      <c r="D10" s="174"/>
      <c r="E10" s="174"/>
      <c r="F10" s="174"/>
      <c r="G10" s="174"/>
      <c r="H10" s="174"/>
      <c r="I10" s="174" t="s">
        <v>68</v>
      </c>
      <c r="J10" s="174"/>
      <c r="K10" s="174"/>
      <c r="L10" s="174"/>
      <c r="M10" s="174"/>
      <c r="N10" s="174"/>
      <c r="O10" s="174"/>
    </row>
    <row r="11" spans="1:15" s="21" customFormat="1" x14ac:dyDescent="0.4">
      <c r="B11" s="57" t="s">
        <v>66</v>
      </c>
      <c r="C11" s="58" t="str">
        <f>IF(발행정보!E14=0, "금리1", "Spread1")</f>
        <v>금리1</v>
      </c>
      <c r="D11" s="59" t="str">
        <f>IF(발행정보!E23=0, "금리2", "Spread2")</f>
        <v>금리2</v>
      </c>
      <c r="E11" s="60" t="str">
        <f>IF(발행정보!E32=0, "금리3", "Spread3")</f>
        <v>금리3</v>
      </c>
      <c r="F11" s="60" t="s">
        <v>81</v>
      </c>
      <c r="G11" s="59" t="s">
        <v>70</v>
      </c>
      <c r="H11" s="60" t="s">
        <v>69</v>
      </c>
      <c r="I11" s="57" t="s">
        <v>66</v>
      </c>
      <c r="J11" s="58" t="str">
        <f>IF(발행정보!AG14=0, "금리1", "Spread1")</f>
        <v>금리1</v>
      </c>
      <c r="K11" s="59" t="str">
        <f>IF(발행정보!AG23=0, "금리2", "Spread2")</f>
        <v>금리2</v>
      </c>
      <c r="L11" s="60" t="str">
        <f>IF(발행정보!AG32=0, "금리3", "Spread3")</f>
        <v>금리3</v>
      </c>
      <c r="M11" s="60" t="s">
        <v>67</v>
      </c>
      <c r="N11" s="59" t="s">
        <v>70</v>
      </c>
      <c r="O11" s="60" t="s">
        <v>69</v>
      </c>
    </row>
    <row r="12" spans="1:15" s="21" customFormat="1" x14ac:dyDescent="0.4">
      <c r="B12" s="61">
        <v>44938</v>
      </c>
      <c r="C12" s="62">
        <v>3.0499999999999489E-2</v>
      </c>
      <c r="D12" s="62"/>
      <c r="E12" s="62"/>
      <c r="F12" s="63"/>
      <c r="G12" s="64">
        <v>76876712.328767076</v>
      </c>
      <c r="H12" s="63">
        <v>0.99242582021787817</v>
      </c>
      <c r="I12" s="61">
        <v>44938</v>
      </c>
      <c r="J12" s="62">
        <v>3.9140000000000001E-2</v>
      </c>
      <c r="K12" s="62"/>
      <c r="L12" s="62"/>
      <c r="M12" s="63"/>
      <c r="N12" s="64">
        <v>118818630.13698496</v>
      </c>
      <c r="O12" s="63">
        <v>0.99242582021787817</v>
      </c>
    </row>
    <row r="13" spans="1:15" s="21" customFormat="1" x14ac:dyDescent="0.4">
      <c r="B13" s="61">
        <v>45028</v>
      </c>
      <c r="C13" s="62">
        <v>3.3469094550159506E-2</v>
      </c>
      <c r="D13" s="62"/>
      <c r="E13" s="62"/>
      <c r="F13" s="63"/>
      <c r="G13" s="64">
        <v>82526534.50724265</v>
      </c>
      <c r="H13" s="63">
        <v>0.98416538656082153</v>
      </c>
      <c r="I13" s="61">
        <v>45028</v>
      </c>
      <c r="J13" s="62">
        <v>4.8639142571996898E-2</v>
      </c>
      <c r="K13" s="62"/>
      <c r="L13" s="62"/>
      <c r="M13" s="63"/>
      <c r="N13" s="64">
        <v>139658159.76656756</v>
      </c>
      <c r="O13" s="63">
        <v>0.98416538656082153</v>
      </c>
    </row>
    <row r="14" spans="1:15" s="21" customFormat="1" x14ac:dyDescent="0.4">
      <c r="B14" s="61">
        <v>45119</v>
      </c>
      <c r="C14" s="62">
        <v>3.5274078488979538E-2</v>
      </c>
      <c r="D14" s="62"/>
      <c r="E14" s="62"/>
      <c r="F14" s="63"/>
      <c r="G14" s="64">
        <v>87943592.945126951</v>
      </c>
      <c r="H14" s="63">
        <v>0.97543719645359672</v>
      </c>
      <c r="I14" s="61">
        <v>45119</v>
      </c>
      <c r="J14" s="62">
        <v>4.6935824444515613E-2</v>
      </c>
      <c r="K14" s="62"/>
      <c r="L14" s="62"/>
      <c r="M14" s="63"/>
      <c r="N14" s="64">
        <v>136963288.34112108</v>
      </c>
      <c r="O14" s="63">
        <v>0.97543719645359672</v>
      </c>
    </row>
    <row r="15" spans="1:15" s="21" customFormat="1" x14ac:dyDescent="0.4">
      <c r="B15" s="61">
        <v>45211</v>
      </c>
      <c r="C15" s="62">
        <v>3.7281649260100788E-2</v>
      </c>
      <c r="D15" s="62"/>
      <c r="E15" s="62"/>
      <c r="F15" s="63"/>
      <c r="G15" s="64">
        <v>93970184.436418399</v>
      </c>
      <c r="H15" s="63">
        <v>0.96614191497624813</v>
      </c>
      <c r="I15" s="61">
        <v>45211</v>
      </c>
      <c r="J15" s="62">
        <v>4.7246606045978169E-2</v>
      </c>
      <c r="K15" s="62"/>
      <c r="L15" s="62"/>
      <c r="M15" s="63"/>
      <c r="N15" s="64">
        <v>139251719.34876704</v>
      </c>
      <c r="O15" s="63">
        <v>0.96614191497624813</v>
      </c>
    </row>
    <row r="16" spans="1:15" s="21" customFormat="1" x14ac:dyDescent="0.4">
      <c r="B16" s="61">
        <v>45303</v>
      </c>
      <c r="C16" s="62">
        <v>4.3510192099084653E-2</v>
      </c>
      <c r="D16" s="62"/>
      <c r="E16" s="62"/>
      <c r="F16" s="63"/>
      <c r="G16" s="64">
        <v>109669525.29084343</v>
      </c>
      <c r="H16" s="63">
        <v>0.95529437516913229</v>
      </c>
      <c r="I16" s="61">
        <v>45303</v>
      </c>
      <c r="J16" s="62">
        <v>4.5306787497618219E-2</v>
      </c>
      <c r="K16" s="62"/>
      <c r="L16" s="62"/>
      <c r="M16" s="63"/>
      <c r="N16" s="64">
        <v>134362313.6926268</v>
      </c>
      <c r="O16" s="63">
        <v>0.95529437516913229</v>
      </c>
    </row>
    <row r="17" spans="2:15" s="21" customFormat="1" x14ac:dyDescent="0.4">
      <c r="B17" s="61">
        <v>45394</v>
      </c>
      <c r="C17" s="62">
        <v>4.7744053416494625E-2</v>
      </c>
      <c r="D17" s="62"/>
      <c r="E17" s="62"/>
      <c r="F17" s="63"/>
      <c r="G17" s="64">
        <v>119033119.47674017</v>
      </c>
      <c r="H17" s="63">
        <v>0.94374262451286395</v>
      </c>
      <c r="I17" s="61">
        <v>45394</v>
      </c>
      <c r="J17" s="62">
        <v>4.4550932333526368E-2</v>
      </c>
      <c r="K17" s="62"/>
      <c r="L17" s="62"/>
      <c r="M17" s="63"/>
      <c r="N17" s="64">
        <v>131017392.94112056</v>
      </c>
      <c r="O17" s="63">
        <v>0.94374262451286395</v>
      </c>
    </row>
    <row r="18" spans="2:15" s="21" customFormat="1" x14ac:dyDescent="0.4">
      <c r="B18" s="61">
        <v>45485</v>
      </c>
      <c r="C18" s="62">
        <v>5.1934270541134572E-2</v>
      </c>
      <c r="D18" s="62"/>
      <c r="E18" s="62"/>
      <c r="F18" s="63"/>
      <c r="G18" s="64">
        <v>129479962.17104776</v>
      </c>
      <c r="H18" s="63">
        <v>0.93134240006463409</v>
      </c>
      <c r="I18" s="61">
        <v>45485</v>
      </c>
      <c r="J18" s="62">
        <v>4.4124631796205432E-2</v>
      </c>
      <c r="K18" s="62"/>
      <c r="L18" s="62"/>
      <c r="M18" s="63"/>
      <c r="N18" s="64">
        <v>129954561.46451224</v>
      </c>
      <c r="O18" s="63">
        <v>0.93134240006463409</v>
      </c>
    </row>
    <row r="19" spans="2:15" s="21" customFormat="1" x14ac:dyDescent="0.4">
      <c r="B19" s="61">
        <v>45577</v>
      </c>
      <c r="C19" s="62">
        <v>5.5810667468048865E-2</v>
      </c>
      <c r="D19" s="62"/>
      <c r="E19" s="62"/>
      <c r="F19" s="63"/>
      <c r="G19" s="64">
        <v>140673463.20713669</v>
      </c>
      <c r="H19" s="63">
        <v>0.91836669037878937</v>
      </c>
      <c r="I19" s="61">
        <v>45577</v>
      </c>
      <c r="J19" s="62">
        <v>4.3557843838790015E-2</v>
      </c>
      <c r="K19" s="62"/>
      <c r="L19" s="62"/>
      <c r="M19" s="63"/>
      <c r="N19" s="64">
        <v>129954017.34708729</v>
      </c>
      <c r="O19" s="63">
        <v>0.91836669037878937</v>
      </c>
    </row>
    <row r="20" spans="2:15" s="21" customFormat="1" x14ac:dyDescent="0.4">
      <c r="B20" s="61">
        <v>45669</v>
      </c>
      <c r="C20" s="62">
        <v>4.3689807412959226E-2</v>
      </c>
      <c r="D20" s="62"/>
      <c r="E20" s="62"/>
      <c r="F20" s="63"/>
      <c r="G20" s="65">
        <v>110122254.3011575</v>
      </c>
      <c r="H20" s="63">
        <v>0.90848984016030276</v>
      </c>
      <c r="I20" s="61">
        <v>45669</v>
      </c>
      <c r="J20" s="62">
        <v>4.469765250958712E-2</v>
      </c>
      <c r="K20" s="62"/>
      <c r="L20" s="62"/>
      <c r="M20" s="63"/>
      <c r="N20" s="65">
        <v>132826959.75019227</v>
      </c>
      <c r="O20" s="63">
        <v>0.90848984016030276</v>
      </c>
    </row>
    <row r="21" spans="2:15" s="21" customFormat="1" x14ac:dyDescent="0.4">
      <c r="B21" s="61">
        <v>45759</v>
      </c>
      <c r="C21" s="62">
        <v>4.2561416930357587E-2</v>
      </c>
      <c r="D21" s="62"/>
      <c r="E21" s="62"/>
      <c r="F21" s="63"/>
      <c r="G21" s="65">
        <v>104945959.55430633</v>
      </c>
      <c r="H21" s="63">
        <v>0.89887412843740233</v>
      </c>
      <c r="I21" s="61">
        <v>45759</v>
      </c>
      <c r="J21" s="62">
        <v>4.4806264787712595E-2</v>
      </c>
      <c r="K21" s="62"/>
      <c r="L21" s="62"/>
      <c r="M21" s="63"/>
      <c r="N21" s="65">
        <v>130207228.24367489</v>
      </c>
      <c r="O21" s="63">
        <v>0.89887412843740233</v>
      </c>
    </row>
    <row r="22" spans="2:15" s="21" customFormat="1" x14ac:dyDescent="0.4">
      <c r="B22" s="61">
        <v>45850</v>
      </c>
      <c r="C22" s="62">
        <v>4.2714557014722779E-2</v>
      </c>
      <c r="D22" s="62"/>
      <c r="E22" s="62"/>
      <c r="F22" s="63"/>
      <c r="G22" s="65">
        <v>106493827.07780191</v>
      </c>
      <c r="H22" s="63">
        <v>0.88921513344175573</v>
      </c>
      <c r="I22" s="61">
        <v>45850</v>
      </c>
      <c r="J22" s="62">
        <v>4.4687865659421865E-2</v>
      </c>
      <c r="K22" s="62"/>
      <c r="L22" s="62"/>
      <c r="M22" s="63"/>
      <c r="N22" s="65">
        <v>131358788.35636672</v>
      </c>
      <c r="O22" s="63">
        <v>0.88921513344175573</v>
      </c>
    </row>
    <row r="23" spans="2:15" s="21" customFormat="1" x14ac:dyDescent="0.4">
      <c r="B23" s="61">
        <v>45942</v>
      </c>
      <c r="C23" s="62">
        <v>4.2731768690964546E-2</v>
      </c>
      <c r="D23" s="62"/>
      <c r="E23" s="62"/>
      <c r="F23" s="63"/>
      <c r="G23" s="65">
        <v>107707471.76900646</v>
      </c>
      <c r="H23" s="63">
        <v>0.87950202857691506</v>
      </c>
      <c r="I23" s="61">
        <v>45942</v>
      </c>
      <c r="J23" s="62">
        <v>4.4816865986727628E-2</v>
      </c>
      <c r="K23" s="62"/>
      <c r="L23" s="62"/>
      <c r="M23" s="63"/>
      <c r="N23" s="65">
        <v>133127443.0350398</v>
      </c>
      <c r="O23" s="63">
        <v>0.87950202857691506</v>
      </c>
    </row>
    <row r="24" spans="2:15" s="21" customFormat="1" x14ac:dyDescent="0.4">
      <c r="B24" s="61">
        <v>46034</v>
      </c>
      <c r="C24" s="62">
        <v>4.5646551910679692E-2</v>
      </c>
      <c r="D24" s="62"/>
      <c r="E24" s="62"/>
      <c r="F24" s="63"/>
      <c r="G24" s="65">
        <v>115054322.62417896</v>
      </c>
      <c r="H24" s="63">
        <v>0.86924637063456134</v>
      </c>
      <c r="I24" s="61">
        <v>46034</v>
      </c>
      <c r="J24" s="62">
        <v>4.1985525244187062E-2</v>
      </c>
      <c r="K24" s="62"/>
      <c r="L24" s="62"/>
      <c r="M24" s="63"/>
      <c r="N24" s="65">
        <v>125990912.94425224</v>
      </c>
      <c r="O24" s="63">
        <v>0.86924637063456134</v>
      </c>
    </row>
    <row r="25" spans="2:15" s="21" customFormat="1" x14ac:dyDescent="0.4">
      <c r="B25" s="61">
        <v>46124</v>
      </c>
      <c r="C25" s="62">
        <v>4.6207430544711103E-2</v>
      </c>
      <c r="D25" s="62"/>
      <c r="E25" s="62"/>
      <c r="F25" s="63"/>
      <c r="G25" s="65">
        <v>113936130.11024658</v>
      </c>
      <c r="H25" s="63">
        <v>0.85930528801486294</v>
      </c>
      <c r="I25" s="61">
        <v>46124</v>
      </c>
      <c r="J25" s="62">
        <v>4.1318614137000331E-2</v>
      </c>
      <c r="K25" s="62"/>
      <c r="L25" s="62"/>
      <c r="M25" s="63"/>
      <c r="N25" s="65">
        <v>121607541.707672</v>
      </c>
      <c r="O25" s="63">
        <v>0.85930528801486294</v>
      </c>
    </row>
    <row r="26" spans="2:15" s="21" customFormat="1" x14ac:dyDescent="0.4">
      <c r="B26" s="61">
        <v>46215</v>
      </c>
      <c r="C26" s="62">
        <v>4.6908059393009564E-2</v>
      </c>
      <c r="D26" s="62"/>
      <c r="E26" s="62"/>
      <c r="F26" s="63"/>
      <c r="G26" s="65">
        <v>116948860.40448967</v>
      </c>
      <c r="H26" s="63">
        <v>0.84919032079437884</v>
      </c>
      <c r="I26" s="61">
        <v>46215</v>
      </c>
      <c r="J26" s="62">
        <v>4.0832362751505806E-2</v>
      </c>
      <c r="K26" s="62"/>
      <c r="L26" s="62"/>
      <c r="M26" s="63"/>
      <c r="N26" s="65">
        <v>121746438.64074083</v>
      </c>
      <c r="O26" s="63">
        <v>0.84919032079437884</v>
      </c>
    </row>
    <row r="27" spans="2:15" s="21" customFormat="1" x14ac:dyDescent="0.4">
      <c r="B27" s="61">
        <v>46307</v>
      </c>
      <c r="C27" s="62">
        <v>4.7440663580534427E-2</v>
      </c>
      <c r="D27" s="62"/>
      <c r="E27" s="62"/>
      <c r="F27" s="63"/>
      <c r="G27" s="65">
        <v>119576467.10710037</v>
      </c>
      <c r="H27" s="63">
        <v>0.83923367436591301</v>
      </c>
      <c r="I27" s="61">
        <v>46307</v>
      </c>
      <c r="J27" s="62">
        <v>4.0225607317792747E-2</v>
      </c>
      <c r="K27" s="62"/>
      <c r="L27" s="62"/>
      <c r="M27" s="63"/>
      <c r="N27" s="65">
        <v>121554955.43114869</v>
      </c>
      <c r="O27" s="63">
        <v>0.83923367436591301</v>
      </c>
    </row>
    <row r="28" spans="2:15" s="21" customFormat="1" x14ac:dyDescent="0.4">
      <c r="B28" s="61">
        <v>46399</v>
      </c>
      <c r="C28" s="62">
        <v>4.2311294261235123E-2</v>
      </c>
      <c r="D28" s="62"/>
      <c r="E28" s="62"/>
      <c r="F28" s="63"/>
      <c r="G28" s="65">
        <v>106647645.80914049</v>
      </c>
      <c r="H28" s="63">
        <v>0.83039025156607615</v>
      </c>
      <c r="I28" s="61">
        <v>46399</v>
      </c>
      <c r="J28" s="62">
        <v>3.9766850691216223E-2</v>
      </c>
      <c r="K28" s="62"/>
      <c r="L28" s="62"/>
      <c r="M28" s="63"/>
      <c r="N28" s="65">
        <v>120398637.35868192</v>
      </c>
      <c r="O28" s="63">
        <v>0.83039025156607615</v>
      </c>
    </row>
    <row r="29" spans="2:15" s="21" customFormat="1" x14ac:dyDescent="0.4">
      <c r="B29" s="61">
        <v>46489</v>
      </c>
      <c r="C29" s="62">
        <v>4.1585719752336311E-2</v>
      </c>
      <c r="D29" s="62"/>
      <c r="E29" s="62"/>
      <c r="F29" s="63"/>
      <c r="G29" s="65">
        <v>102540130.89617184</v>
      </c>
      <c r="H29" s="63">
        <v>0.82190822873547842</v>
      </c>
      <c r="I29" s="61">
        <v>46489</v>
      </c>
      <c r="J29" s="62">
        <v>3.9287970922057297E-2</v>
      </c>
      <c r="K29" s="62"/>
      <c r="L29" s="62"/>
      <c r="M29" s="63"/>
      <c r="N29" s="65">
        <v>116600476.2461687</v>
      </c>
      <c r="O29" s="63">
        <v>0.82190822873547842</v>
      </c>
    </row>
    <row r="30" spans="2:15" s="21" customFormat="1" x14ac:dyDescent="0.4">
      <c r="B30" s="61">
        <v>46580</v>
      </c>
      <c r="C30" s="62">
        <v>4.128499603549405E-2</v>
      </c>
      <c r="D30" s="62"/>
      <c r="E30" s="62"/>
      <c r="F30" s="63"/>
      <c r="G30" s="65">
        <v>102929716.14328645</v>
      </c>
      <c r="H30" s="63">
        <v>0.81347270435438057</v>
      </c>
      <c r="I30" s="61">
        <v>46580</v>
      </c>
      <c r="J30" s="62">
        <v>3.890545640780807E-2</v>
      </c>
      <c r="K30" s="62"/>
      <c r="L30" s="62"/>
      <c r="M30" s="63"/>
      <c r="N30" s="65">
        <v>116942370.77015159</v>
      </c>
      <c r="O30" s="63">
        <v>0.81347270435438057</v>
      </c>
    </row>
    <row r="31" spans="2:15" s="21" customFormat="1" x14ac:dyDescent="0.4">
      <c r="B31" s="61">
        <v>46672</v>
      </c>
      <c r="C31" s="62">
        <v>4.1134161901781194E-2</v>
      </c>
      <c r="D31" s="62"/>
      <c r="E31" s="62"/>
      <c r="F31" s="63"/>
      <c r="G31" s="65">
        <v>103680627.25928406</v>
      </c>
      <c r="H31" s="63">
        <v>0.80494651364518954</v>
      </c>
      <c r="I31" s="61">
        <v>46672</v>
      </c>
      <c r="J31" s="62">
        <v>3.8491481936559852E-2</v>
      </c>
      <c r="K31" s="62"/>
      <c r="L31" s="62"/>
      <c r="M31" s="63"/>
      <c r="N31" s="65">
        <v>117184009.26475373</v>
      </c>
      <c r="O31" s="63">
        <v>0.80494651364518954</v>
      </c>
    </row>
    <row r="32" spans="2:15" s="21" customFormat="1" x14ac:dyDescent="0.4">
      <c r="B32" s="61">
        <v>46764</v>
      </c>
      <c r="C32" s="62">
        <v>4.3116892376540608E-2</v>
      </c>
      <c r="D32" s="62"/>
      <c r="E32" s="62"/>
      <c r="F32" s="63"/>
      <c r="G32" s="65">
        <v>108678194.48333532</v>
      </c>
      <c r="H32" s="63">
        <v>0.79618110688045851</v>
      </c>
      <c r="I32" s="61">
        <v>46764</v>
      </c>
      <c r="J32" s="62">
        <v>4.1043383986960447E-2</v>
      </c>
      <c r="K32" s="62"/>
      <c r="L32" s="62"/>
      <c r="M32" s="63"/>
      <c r="N32" s="65">
        <v>123616200.73425637</v>
      </c>
      <c r="O32" s="63">
        <v>0.79618110688045851</v>
      </c>
    </row>
    <row r="33" spans="2:18" x14ac:dyDescent="0.4">
      <c r="B33" s="61"/>
      <c r="F33" s="63"/>
      <c r="G33" s="65"/>
      <c r="H33" s="63"/>
      <c r="I33" s="61"/>
      <c r="M33" s="63"/>
      <c r="N33" s="65"/>
      <c r="O33" s="63"/>
      <c r="P33" s="21"/>
      <c r="Q33" s="21"/>
      <c r="R33" s="21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2022-10-18T15:46:32Z</dcterms:modified>
</cp:coreProperties>
</file>