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<sst xmlns="http://schemas.openxmlformats.org/spreadsheetml/2006/main" count="202" uniqueCount="97">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</sst>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9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440267</xdr:colOff>
          <xdr:row>8</xdr:row>
          <xdr:rowOff>127001</xdr:rowOff>
        </xdr:from>
        <xdr:to>
          <xdr:col>3</xdr:col>
          <xdr:colOff>186267</xdr:colOff>
          <xdr:row>11</xdr:row>
          <xdr:rowOff>160867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zoomScale="90" zoomScaleNormal="90" workbookViewId="0">
      <selection activeCell="D21" sqref="D21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9" t="s">
        <v>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</row>
    <row r="3" spans="1:45" x14ac:dyDescent="0.4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</row>
    <row r="4" spans="1:45" x14ac:dyDescent="0.4">
      <c r="A4" s="14">
        <f>4</f>
        <v>4</v>
      </c>
      <c r="B4" s="77" t="s">
        <v>2</v>
      </c>
      <c r="C4" s="77"/>
      <c r="D4" s="78">
        <v>2</v>
      </c>
      <c r="E4" s="78"/>
    </row>
    <row r="5" spans="1:45" x14ac:dyDescent="0.4">
      <c r="A5" s="14">
        <f>A4+1</f>
        <v>5</v>
      </c>
      <c r="G5" s="82" t="s">
        <v>22</v>
      </c>
      <c r="H5" s="84" t="s">
        <v>21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</row>
    <row r="6" spans="1:45" x14ac:dyDescent="0.4">
      <c r="A6" s="14">
        <f t="shared" ref="A6:A69" si="1">A5+1</f>
        <v>6</v>
      </c>
      <c r="B6" s="77" t="s">
        <v>3</v>
      </c>
      <c r="C6" s="77"/>
      <c r="D6" s="78">
        <v>1</v>
      </c>
      <c r="E6" s="78"/>
      <c r="G6" s="83"/>
      <c r="H6" s="85" t="s">
        <v>7</v>
      </c>
      <c r="I6" s="86"/>
      <c r="L6" s="81" t="s">
        <v>11</v>
      </c>
      <c r="M6" s="81"/>
      <c r="N6" s="81"/>
      <c r="Q6" s="81" t="s">
        <v>12</v>
      </c>
      <c r="R6" s="81"/>
      <c r="S6" s="81"/>
      <c r="V6" s="81" t="s">
        <v>13</v>
      </c>
      <c r="W6" s="81"/>
      <c r="X6" s="81"/>
    </row>
    <row r="7" spans="1:45" x14ac:dyDescent="0.4">
      <c r="A7" s="14">
        <f t="shared" si="1"/>
        <v>7</v>
      </c>
      <c r="B7" s="77" t="s">
        <v>4</v>
      </c>
      <c r="C7" s="77"/>
      <c r="D7" s="78">
        <v>0</v>
      </c>
      <c r="E7" s="78"/>
      <c r="G7" s="83"/>
      <c r="H7" s="87"/>
      <c r="I7" s="88"/>
      <c r="L7" s="81"/>
      <c r="M7" s="81"/>
      <c r="N7" s="81"/>
      <c r="Q7" s="81"/>
      <c r="R7" s="81"/>
      <c r="S7" s="81"/>
      <c r="V7" s="81"/>
      <c r="W7" s="81"/>
      <c r="X7" s="81"/>
    </row>
    <row r="8" spans="1:45" x14ac:dyDescent="0.4">
      <c r="A8" s="14">
        <f t="shared" si="1"/>
        <v>8</v>
      </c>
      <c r="B8" s="77" t="s">
        <v>1</v>
      </c>
      <c r="C8" s="77"/>
      <c r="D8" s="78">
        <v>0.01</v>
      </c>
      <c r="E8" s="78"/>
      <c r="G8" s="83"/>
      <c r="V8" s="81" t="s">
        <v>14</v>
      </c>
      <c r="W8" s="81"/>
      <c r="X8" s="5">
        <v>3</v>
      </c>
    </row>
    <row r="9" spans="1:45" x14ac:dyDescent="0.4">
      <c r="A9" s="14">
        <f t="shared" si="1"/>
        <v>9</v>
      </c>
      <c r="G9" s="83"/>
      <c r="H9" s="2" t="s">
        <v>8</v>
      </c>
      <c r="I9" s="3">
        <v>1.0777777777777778E-2</v>
      </c>
      <c r="Q9" s="81" t="s">
        <v>15</v>
      </c>
      <c r="R9" s="81"/>
      <c r="S9" s="5">
        <v>3</v>
      </c>
      <c r="V9" s="79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3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0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3"/>
      <c r="H11" s="1">
        <v>0.5</v>
      </c>
      <c r="I11" s="4">
        <v>3.7600000000000003E-3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0.5</v>
      </c>
      <c r="W11" s="13">
        <v>0.13150000000000001</v>
      </c>
      <c r="X11" s="13">
        <v>0.14050000000000001</v>
      </c>
      <c r="Y11" s="13">
        <v>0.14899999999999999</v>
      </c>
      <c r="Z11" s="13">
        <v>0.159</v>
      </c>
      <c r="AA11" s="13">
        <v>0.16800000000000001</v>
      </c>
      <c r="AB11" s="13">
        <v>0.16300000000000001</v>
      </c>
      <c r="AC11" s="13">
        <v>0.159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3"/>
      <c r="H12" s="1">
        <v>1</v>
      </c>
      <c r="I12" s="4">
        <v>3.3600000000000001E-3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1</v>
      </c>
      <c r="W12" s="13">
        <v>0.13550000000000001</v>
      </c>
      <c r="X12" s="13">
        <v>0.14150000000000001</v>
      </c>
      <c r="Y12" s="13">
        <v>0.14800000000000002</v>
      </c>
      <c r="Z12" s="13">
        <v>0.154</v>
      </c>
      <c r="AA12" s="13">
        <v>0.16200000000000001</v>
      </c>
      <c r="AB12" s="13">
        <v>0.1565</v>
      </c>
      <c r="AC12" s="13">
        <v>0.15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0" t="s">
        <v>6</v>
      </c>
      <c r="E13" s="90"/>
      <c r="G13" s="83"/>
      <c r="H13" s="1">
        <v>1.5</v>
      </c>
      <c r="I13" s="4">
        <v>3.5800000000000003E-3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1.5</v>
      </c>
      <c r="W13" s="13">
        <v>0.14300000000000002</v>
      </c>
      <c r="X13" s="13">
        <v>0.14800000000000002</v>
      </c>
      <c r="Y13" s="13">
        <v>0.14949999999999999</v>
      </c>
      <c r="Z13" s="13">
        <v>0.153</v>
      </c>
      <c r="AA13" s="13">
        <v>0.157</v>
      </c>
      <c r="AB13" s="13">
        <v>0.151</v>
      </c>
      <c r="AC13" s="13">
        <v>0.14599999999999999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0"/>
      <c r="E14" s="90"/>
      <c r="G14" s="83"/>
      <c r="H14" s="1">
        <v>2</v>
      </c>
      <c r="I14" s="4">
        <v>3.3600000000000001E-3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2</v>
      </c>
      <c r="W14" s="13">
        <v>0.154</v>
      </c>
      <c r="X14" s="13">
        <v>0.1555</v>
      </c>
      <c r="Y14" s="13">
        <v>0.152</v>
      </c>
      <c r="Z14" s="13">
        <v>0.1525</v>
      </c>
      <c r="AA14" s="13">
        <v>0.153</v>
      </c>
      <c r="AB14" s="13">
        <v>0.14699999999999999</v>
      </c>
      <c r="AC14" s="13">
        <v>0.14199999999999999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0"/>
      <c r="E15" s="90"/>
      <c r="G15" s="83"/>
      <c r="H15" s="1">
        <v>3</v>
      </c>
      <c r="I15" s="4">
        <v>3.3600000000000001E-3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3</v>
      </c>
      <c r="W15" s="13">
        <v>0.16250000000000001</v>
      </c>
      <c r="X15" s="13">
        <v>0.1565</v>
      </c>
      <c r="Y15" s="13">
        <v>0.1525</v>
      </c>
      <c r="Z15" s="13">
        <v>0.14899999999999999</v>
      </c>
      <c r="AA15" s="13">
        <v>0.14550000000000002</v>
      </c>
      <c r="AB15" s="13">
        <v>0.14199999999999999</v>
      </c>
      <c r="AC15" s="13">
        <v>0.14000000000000001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3"/>
      <c r="H16" s="1">
        <v>4</v>
      </c>
      <c r="I16" s="4">
        <v>3.2800000000000004E-3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4</v>
      </c>
      <c r="W16" s="13">
        <v>0.159</v>
      </c>
      <c r="X16" s="13">
        <v>0.1555</v>
      </c>
      <c r="Y16" s="13">
        <v>0.15049999999999999</v>
      </c>
      <c r="Z16" s="13">
        <v>0.14599999999999999</v>
      </c>
      <c r="AA16" s="13">
        <v>0.14199999999999999</v>
      </c>
      <c r="AB16" s="13">
        <v>0.14000000000000001</v>
      </c>
      <c r="AC16" s="13">
        <v>0.13800000000000001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1">
        <v>44805.622488425928</v>
      </c>
      <c r="E17" s="91"/>
      <c r="G17" s="83"/>
      <c r="H17" s="1">
        <v>5</v>
      </c>
      <c r="I17" s="4">
        <v>3.98E-3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5</v>
      </c>
      <c r="W17" s="13">
        <v>0.16300000000000001</v>
      </c>
      <c r="X17" s="13">
        <v>0.1555</v>
      </c>
      <c r="Y17" s="13">
        <v>0.152</v>
      </c>
      <c r="Z17" s="13">
        <v>0.14749999999999999</v>
      </c>
      <c r="AA17" s="13">
        <v>0.14300000000000002</v>
      </c>
      <c r="AB17" s="13">
        <v>0.14199999999999999</v>
      </c>
      <c r="AC17" s="13">
        <v>0.13900000000000001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1">
        <v>44805.622499999998</v>
      </c>
      <c r="E18" s="91"/>
      <c r="G18" s="83"/>
      <c r="H18" s="1">
        <v>7</v>
      </c>
      <c r="I18" s="4">
        <v>3.7200000000000002E-3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0.151</v>
      </c>
      <c r="X18" s="13">
        <v>0.14849999999999999</v>
      </c>
      <c r="Y18" s="13">
        <v>0.14599999999999999</v>
      </c>
      <c r="Z18" s="13">
        <v>0.14349999999999999</v>
      </c>
      <c r="AA18" s="13">
        <v>0.14000000000000001</v>
      </c>
      <c r="AB18" s="13">
        <v>0.13800000000000001</v>
      </c>
      <c r="AC18" s="13">
        <v>0.13400000000000001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3"/>
      <c r="H19" s="1">
        <v>10</v>
      </c>
      <c r="I19" s="4">
        <v>7.7600000000000004E-3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0.151</v>
      </c>
      <c r="X19" s="13">
        <v>0.14949999999999999</v>
      </c>
      <c r="Y19" s="13">
        <v>0.14599999999999999</v>
      </c>
      <c r="Z19" s="13">
        <v>0.14349999999999999</v>
      </c>
      <c r="AA19" s="13">
        <v>0.14000000000000001</v>
      </c>
      <c r="AB19" s="13">
        <v>0.13699999999999998</v>
      </c>
      <c r="AC19" s="13">
        <v>0.128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3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3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3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3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3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3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3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3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3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3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3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3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3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3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3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3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3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3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3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3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3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2" t="s">
        <v>24</v>
      </c>
      <c r="H42" s="84" t="s">
        <v>23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</row>
    <row r="43" spans="1:40" x14ac:dyDescent="0.4">
      <c r="A43" s="14">
        <f t="shared" si="1"/>
        <v>43</v>
      </c>
      <c r="B43" s="77" t="s">
        <v>3</v>
      </c>
      <c r="C43" s="77"/>
      <c r="D43" s="78">
        <v>1</v>
      </c>
      <c r="E43" s="78"/>
      <c r="G43" s="83"/>
      <c r="H43" s="85" t="s">
        <v>7</v>
      </c>
      <c r="I43" s="86"/>
      <c r="L43" s="81" t="s">
        <v>11</v>
      </c>
      <c r="M43" s="81"/>
      <c r="N43" s="81"/>
      <c r="Q43" s="81" t="s">
        <v>12</v>
      </c>
      <c r="R43" s="81"/>
      <c r="S43" s="81"/>
      <c r="V43" s="81" t="s">
        <v>13</v>
      </c>
      <c r="W43" s="81"/>
      <c r="X43" s="81"/>
    </row>
    <row r="44" spans="1:40" x14ac:dyDescent="0.4">
      <c r="A44" s="14">
        <f t="shared" si="1"/>
        <v>44</v>
      </c>
      <c r="B44" s="77" t="s">
        <v>4</v>
      </c>
      <c r="C44" s="77"/>
      <c r="D44" s="78">
        <v>0</v>
      </c>
      <c r="E44" s="78"/>
      <c r="G44" s="83"/>
      <c r="H44" s="87"/>
      <c r="I44" s="88"/>
      <c r="L44" s="81"/>
      <c r="M44" s="81"/>
      <c r="N44" s="81"/>
      <c r="Q44" s="81"/>
      <c r="R44" s="81"/>
      <c r="S44" s="81"/>
      <c r="V44" s="81"/>
      <c r="W44" s="81"/>
      <c r="X44" s="81"/>
    </row>
    <row r="45" spans="1:40" x14ac:dyDescent="0.4">
      <c r="A45" s="14">
        <f t="shared" si="1"/>
        <v>45</v>
      </c>
      <c r="B45" s="77" t="s">
        <v>1</v>
      </c>
      <c r="C45" s="77"/>
      <c r="D45" s="78">
        <v>0.01</v>
      </c>
      <c r="E45" s="78"/>
      <c r="G45" s="83"/>
      <c r="V45" s="81" t="s">
        <v>14</v>
      </c>
      <c r="W45" s="81"/>
      <c r="X45" s="5">
        <v>3</v>
      </c>
    </row>
    <row r="46" spans="1:40" x14ac:dyDescent="0.4">
      <c r="A46" s="14">
        <f t="shared" si="1"/>
        <v>46</v>
      </c>
      <c r="G46" s="83"/>
      <c r="H46" s="2" t="s">
        <v>8</v>
      </c>
      <c r="I46" s="3">
        <v>9.7777777777777793E-3</v>
      </c>
      <c r="Q46" s="81" t="s">
        <v>15</v>
      </c>
      <c r="R46" s="81"/>
      <c r="S46" s="5">
        <v>3</v>
      </c>
      <c r="V46" s="79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3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0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3"/>
      <c r="H48" s="1">
        <v>0.5</v>
      </c>
      <c r="I48" s="4">
        <v>2.8400000000000001E-3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0.5</v>
      </c>
      <c r="W48" s="13">
        <v>0.13434168787402886</v>
      </c>
      <c r="X48" s="13">
        <v>0.14331660541725327</v>
      </c>
      <c r="Y48" s="13">
        <v>0.15389227153588408</v>
      </c>
      <c r="Z48" s="13">
        <v>0.15957177711912104</v>
      </c>
      <c r="AA48" s="13">
        <v>0.16868827273125536</v>
      </c>
      <c r="AB48" s="13">
        <v>0.1633608468774079</v>
      </c>
      <c r="AC48" s="13">
        <v>0.15988942222162261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3"/>
      <c r="H49" s="1">
        <v>1</v>
      </c>
      <c r="I49" s="4">
        <v>2.8999999999999998E-3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1</v>
      </c>
      <c r="W49" s="13">
        <v>0.13711575189940856</v>
      </c>
      <c r="X49" s="13">
        <v>0.14223277511673557</v>
      </c>
      <c r="Y49" s="13">
        <v>0.15247552214154234</v>
      </c>
      <c r="Z49" s="13">
        <v>0.1577944614164018</v>
      </c>
      <c r="AA49" s="13">
        <v>0.16299640749308345</v>
      </c>
      <c r="AB49" s="13">
        <v>0.15876406981026001</v>
      </c>
      <c r="AC49" s="13">
        <v>0.1501238010687459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90" t="s">
        <v>6</v>
      </c>
      <c r="E50" s="90"/>
      <c r="G50" s="83"/>
      <c r="H50" s="1">
        <v>1.5</v>
      </c>
      <c r="I50" s="4">
        <v>2.7799999999999999E-3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1.5</v>
      </c>
      <c r="W50" s="13">
        <v>0.14404080130561936</v>
      </c>
      <c r="X50" s="13">
        <v>0.15227136749713319</v>
      </c>
      <c r="Y50" s="13">
        <v>0.15348104392010717</v>
      </c>
      <c r="Z50" s="13">
        <v>0.15666375929734186</v>
      </c>
      <c r="AA50" s="13">
        <v>0.16090004504473471</v>
      </c>
      <c r="AB50" s="13">
        <v>0.15131869380597596</v>
      </c>
      <c r="AC50" s="13">
        <v>0.15058935792856598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90"/>
      <c r="E51" s="90"/>
      <c r="G51" s="83"/>
      <c r="H51" s="1">
        <v>2</v>
      </c>
      <c r="I51" s="4">
        <v>2.8800000000000006E-3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2</v>
      </c>
      <c r="W51" s="13">
        <v>0.15702682763852729</v>
      </c>
      <c r="X51" s="13">
        <v>0.15951491183930222</v>
      </c>
      <c r="Y51" s="13">
        <v>0.15644310169676806</v>
      </c>
      <c r="Z51" s="13">
        <v>0.15438544513377153</v>
      </c>
      <c r="AA51" s="13">
        <v>0.15541479871739408</v>
      </c>
      <c r="AB51" s="13">
        <v>0.14717613046935257</v>
      </c>
      <c r="AC51" s="13">
        <v>0.14649021678069085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90"/>
      <c r="E52" s="90"/>
      <c r="G52" s="83"/>
      <c r="H52" s="1">
        <v>3</v>
      </c>
      <c r="I52" s="4">
        <v>3.16E-3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3</v>
      </c>
      <c r="W52" s="13">
        <v>0.1640371677881321</v>
      </c>
      <c r="X52" s="13">
        <v>0.16137681677497567</v>
      </c>
      <c r="Y52" s="13">
        <v>0.1571749862507337</v>
      </c>
      <c r="Z52" s="13">
        <v>0.14937257030241843</v>
      </c>
      <c r="AA52" s="13">
        <v>0.15040069342335544</v>
      </c>
      <c r="AB52" s="13">
        <v>0.14492963240514573</v>
      </c>
      <c r="AC52" s="13">
        <v>0.14240863276377219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3"/>
      <c r="H53" s="1">
        <v>4</v>
      </c>
      <c r="I53" s="4">
        <v>3.5400000000000002E-3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4</v>
      </c>
      <c r="W53" s="13">
        <v>0.16178449024457578</v>
      </c>
      <c r="X53" s="13">
        <v>0.15923573548596104</v>
      </c>
      <c r="Y53" s="13">
        <v>0.15229896126040593</v>
      </c>
      <c r="Z53" s="13">
        <v>0.14636830666588851</v>
      </c>
      <c r="AA53" s="13">
        <v>0.14493709045267392</v>
      </c>
      <c r="AB53" s="13">
        <v>0.14379388192157058</v>
      </c>
      <c r="AC53" s="13">
        <v>0.13980706636998824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91">
        <v>44805.622499999998</v>
      </c>
      <c r="E54" s="91"/>
      <c r="G54" s="83"/>
      <c r="H54" s="1">
        <v>5</v>
      </c>
      <c r="I54" s="4">
        <v>3.96E-3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5</v>
      </c>
      <c r="W54" s="13">
        <v>0.16618510737204301</v>
      </c>
      <c r="X54" s="13">
        <v>0.15703133289981455</v>
      </c>
      <c r="Y54" s="13">
        <v>0.15348739345452553</v>
      </c>
      <c r="Z54" s="13">
        <v>0.15064634905996188</v>
      </c>
      <c r="AA54" s="13">
        <v>0.14762985175765875</v>
      </c>
      <c r="AB54" s="13">
        <v>0.14244843792577588</v>
      </c>
      <c r="AC54" s="13">
        <v>0.14044120852128711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91">
        <v>44805.622499999998</v>
      </c>
      <c r="E55" s="91"/>
      <c r="G55" s="83"/>
      <c r="H55" s="1">
        <v>7</v>
      </c>
      <c r="I55" s="4">
        <v>3.32E-3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7</v>
      </c>
      <c r="W55" s="13">
        <v>0.15244163544637693</v>
      </c>
      <c r="X55" s="13">
        <v>0.15081390154370894</v>
      </c>
      <c r="Y55" s="13">
        <v>0.1491603800827547</v>
      </c>
      <c r="Z55" s="13">
        <v>0.14763947086819354</v>
      </c>
      <c r="AA55" s="13">
        <v>0.14099732722068076</v>
      </c>
      <c r="AB55" s="13">
        <v>0.14156800987879536</v>
      </c>
      <c r="AC55" s="13">
        <v>0.13650085643237639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3"/>
      <c r="H56" s="1">
        <v>10</v>
      </c>
      <c r="I56" s="4">
        <v>2E-3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10</v>
      </c>
      <c r="W56" s="13">
        <v>0.15404621830526616</v>
      </c>
      <c r="X56" s="13">
        <v>0.15337116082562099</v>
      </c>
      <c r="Y56" s="13">
        <v>0.1484132449421624</v>
      </c>
      <c r="Z56" s="13">
        <v>0.14657200821606189</v>
      </c>
      <c r="AA56" s="13">
        <v>0.14293319162819595</v>
      </c>
      <c r="AB56" s="13">
        <v>0.13733549492199806</v>
      </c>
      <c r="AC56" s="13">
        <v>0.13242134733632341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3"/>
      <c r="H57" s="1"/>
      <c r="I57" s="4"/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3"/>
      <c r="H58" s="1"/>
      <c r="I58" s="4"/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3"/>
      <c r="H59" s="1"/>
      <c r="I59" s="4"/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3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3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3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3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3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3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3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3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3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3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3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3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3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3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3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3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3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3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2" t="s">
        <v>26</v>
      </c>
      <c r="H79" s="84" t="s">
        <v>25</v>
      </c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</row>
    <row r="80" spans="1:40" x14ac:dyDescent="0.4">
      <c r="A80" s="14">
        <f t="shared" si="6"/>
        <v>80</v>
      </c>
      <c r="B80" s="77" t="s">
        <v>3</v>
      </c>
      <c r="C80" s="77"/>
      <c r="D80" s="78">
        <v>1</v>
      </c>
      <c r="E80" s="78"/>
      <c r="G80" s="83"/>
      <c r="H80" s="85" t="s">
        <v>7</v>
      </c>
      <c r="I80" s="86"/>
      <c r="L80" s="81" t="s">
        <v>11</v>
      </c>
      <c r="M80" s="81"/>
      <c r="N80" s="81"/>
      <c r="Q80" s="81" t="s">
        <v>12</v>
      </c>
      <c r="R80" s="81"/>
      <c r="S80" s="81"/>
      <c r="V80" s="81" t="s">
        <v>13</v>
      </c>
      <c r="W80" s="81"/>
      <c r="X80" s="81"/>
    </row>
    <row r="81" spans="1:40" x14ac:dyDescent="0.4">
      <c r="A81" s="14">
        <f t="shared" si="6"/>
        <v>81</v>
      </c>
      <c r="B81" s="77" t="s">
        <v>4</v>
      </c>
      <c r="C81" s="77"/>
      <c r="D81" s="78">
        <v>0</v>
      </c>
      <c r="E81" s="78"/>
      <c r="G81" s="83"/>
      <c r="H81" s="87"/>
      <c r="I81" s="88"/>
      <c r="L81" s="81"/>
      <c r="M81" s="81"/>
      <c r="N81" s="81"/>
      <c r="Q81" s="81"/>
      <c r="R81" s="81"/>
      <c r="S81" s="81"/>
      <c r="V81" s="81"/>
      <c r="W81" s="81"/>
      <c r="X81" s="81"/>
    </row>
    <row r="82" spans="1:40" x14ac:dyDescent="0.4">
      <c r="A82" s="14">
        <f t="shared" si="6"/>
        <v>82</v>
      </c>
      <c r="B82" s="77" t="s">
        <v>1</v>
      </c>
      <c r="C82" s="77"/>
      <c r="D82" s="78">
        <v>0.01</v>
      </c>
      <c r="E82" s="78"/>
      <c r="G82" s="83"/>
      <c r="V82" s="81" t="s">
        <v>14</v>
      </c>
      <c r="W82" s="81"/>
      <c r="X82" s="5">
        <v>3</v>
      </c>
    </row>
    <row r="83" spans="1:40" x14ac:dyDescent="0.4">
      <c r="A83" s="14">
        <f t="shared" si="6"/>
        <v>83</v>
      </c>
      <c r="G83" s="83"/>
      <c r="H83" s="2" t="s">
        <v>8</v>
      </c>
      <c r="I83" s="3">
        <v>6.483333333333334E-3</v>
      </c>
      <c r="Q83" s="81" t="s">
        <v>15</v>
      </c>
      <c r="R83" s="81"/>
      <c r="S83" s="5">
        <v>3</v>
      </c>
      <c r="V83" s="79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3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0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3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3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90" t="s">
        <v>6</v>
      </c>
      <c r="E87" s="90"/>
      <c r="G87" s="83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90"/>
      <c r="E88" s="90"/>
      <c r="G88" s="83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90"/>
      <c r="E89" s="90"/>
      <c r="G89" s="83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3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91">
        <v>44803.697731481479</v>
      </c>
      <c r="E91" s="91"/>
      <c r="G91" s="83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91">
        <v>44803.697754629633</v>
      </c>
      <c r="E92" s="91"/>
      <c r="G92" s="83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3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3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3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3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3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3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3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3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3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3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3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3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3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3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3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3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3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3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3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3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3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3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2" t="s">
        <v>28</v>
      </c>
      <c r="H116" s="84" t="s">
        <v>27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</row>
    <row r="117" spans="2:40" x14ac:dyDescent="0.4">
      <c r="B117" s="77" t="s">
        <v>3</v>
      </c>
      <c r="C117" s="77"/>
      <c r="D117" s="78">
        <v>1</v>
      </c>
      <c r="E117" s="78"/>
      <c r="G117" s="83"/>
      <c r="H117" s="85" t="s">
        <v>7</v>
      </c>
      <c r="I117" s="86"/>
      <c r="L117" s="81" t="s">
        <v>11</v>
      </c>
      <c r="M117" s="81"/>
      <c r="N117" s="81"/>
      <c r="Q117" s="81" t="s">
        <v>12</v>
      </c>
      <c r="R117" s="81"/>
      <c r="S117" s="81"/>
      <c r="V117" s="81" t="s">
        <v>13</v>
      </c>
      <c r="W117" s="81"/>
      <c r="X117" s="81"/>
    </row>
    <row r="118" spans="2:40" x14ac:dyDescent="0.4">
      <c r="B118" s="77" t="s">
        <v>4</v>
      </c>
      <c r="C118" s="77"/>
      <c r="D118" s="78">
        <v>0</v>
      </c>
      <c r="E118" s="78"/>
      <c r="G118" s="83"/>
      <c r="H118" s="87"/>
      <c r="I118" s="88"/>
      <c r="L118" s="81"/>
      <c r="M118" s="81"/>
      <c r="N118" s="81"/>
      <c r="Q118" s="81"/>
      <c r="R118" s="81"/>
      <c r="S118" s="81"/>
      <c r="V118" s="81"/>
      <c r="W118" s="81"/>
      <c r="X118" s="81"/>
    </row>
    <row r="119" spans="2:40" x14ac:dyDescent="0.4">
      <c r="B119" s="77" t="s">
        <v>1</v>
      </c>
      <c r="C119" s="77"/>
      <c r="D119" s="78">
        <v>0.01</v>
      </c>
      <c r="E119" s="78"/>
      <c r="G119" s="83"/>
      <c r="V119" s="81" t="s">
        <v>14</v>
      </c>
      <c r="W119" s="81"/>
      <c r="X119" s="5">
        <v>3</v>
      </c>
    </row>
    <row r="120" spans="2:40" x14ac:dyDescent="0.4">
      <c r="G120" s="83"/>
      <c r="H120" s="2" t="s">
        <v>8</v>
      </c>
      <c r="I120" s="3">
        <v>7.3000000000000009E-3</v>
      </c>
      <c r="Q120" s="81" t="s">
        <v>15</v>
      </c>
      <c r="R120" s="81"/>
      <c r="S120" s="5">
        <v>3</v>
      </c>
      <c r="V120" s="79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3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0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3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3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90" t="s">
        <v>6</v>
      </c>
      <c r="E124" s="90"/>
      <c r="G124" s="83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90"/>
      <c r="E125" s="90"/>
      <c r="G125" s="83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90"/>
      <c r="E126" s="90"/>
      <c r="G126" s="83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3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91">
        <v>44803.697754629633</v>
      </c>
      <c r="E128" s="91"/>
      <c r="G128" s="83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91">
        <v>44803.697777777779</v>
      </c>
      <c r="E129" s="91"/>
      <c r="G129" s="83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3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3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3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3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3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3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3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3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3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3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3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3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3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3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3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3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3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3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3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3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3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3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441960</xdr:colOff>
                    <xdr:row>8</xdr:row>
                    <xdr:rowOff>129540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984375" defaultRowHeight="16.2" customHeight="1" x14ac:dyDescent="0.4"/>
  <cols>
    <col min="1" max="1" width="11.3984375" style="42"/>
    <col min="2" max="2" width="11.3984375" style="51"/>
    <col min="3" max="3" width="11.3984375" style="71"/>
    <col min="4" max="9" width="11.3984375" style="48"/>
    <col min="10" max="11" width="11.3984375" style="76"/>
    <col min="12" max="12" width="11.3984375" style="74"/>
    <col min="13" max="13" width="11.3984375" style="43"/>
    <col min="14" max="21" width="11.3984375" style="52"/>
    <col min="22" max="26" width="11.3984375" style="43"/>
    <col min="27" max="28" width="0" style="43" hidden="1" customWidth="1"/>
    <col min="29" max="41" width="11.3984375" style="43"/>
    <col min="42" max="43" width="11.3984375" style="52"/>
    <col min="44" max="46" width="11.3984375" style="53"/>
    <col min="47" max="48" width="11.3984375" style="54"/>
    <col min="49" max="49" width="11.3984375" style="52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7" t="s">
        <v>29</v>
      </c>
      <c r="C3" s="157"/>
      <c r="D3" s="113">
        <f>N13</f>
        <v>44509</v>
      </c>
      <c r="E3" s="114"/>
      <c r="F3" s="153" t="s">
        <v>31</v>
      </c>
      <c r="G3" s="153"/>
      <c r="H3" s="114">
        <v>1</v>
      </c>
      <c r="I3" s="114"/>
      <c r="J3" s="153" t="s">
        <v>71</v>
      </c>
      <c r="K3" s="153"/>
      <c r="L3" s="114">
        <v>10000</v>
      </c>
      <c r="M3" s="114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113">
        <v>44693</v>
      </c>
      <c r="E4" s="114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6" t="s">
        <v>48</v>
      </c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D5" s="156" t="s">
        <v>49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</row>
    <row r="6" spans="1:57" ht="16.2" customHeight="1" x14ac:dyDescent="0.4">
      <c r="A6" s="42">
        <f t="shared" si="1"/>
        <v>6</v>
      </c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</row>
    <row r="7" spans="1:57" ht="16.2" customHeight="1" x14ac:dyDescent="0.4">
      <c r="A7" s="42">
        <f t="shared" si="1"/>
        <v>7</v>
      </c>
      <c r="B7" s="157" t="s">
        <v>75</v>
      </c>
      <c r="C7" s="157"/>
      <c r="D7" s="155">
        <v>2</v>
      </c>
      <c r="E7" s="155"/>
      <c r="F7" s="158" t="s">
        <v>32</v>
      </c>
      <c r="G7" s="159"/>
      <c r="H7" s="114">
        <v>1</v>
      </c>
      <c r="I7" s="114"/>
      <c r="J7" s="153" t="s">
        <v>39</v>
      </c>
      <c r="K7" s="153"/>
      <c r="L7" s="114">
        <v>0</v>
      </c>
      <c r="M7" s="114"/>
      <c r="N7" s="43"/>
      <c r="O7" s="43"/>
      <c r="P7" s="43"/>
      <c r="Q7" s="43"/>
      <c r="R7" s="43"/>
      <c r="S7" s="43"/>
      <c r="T7" s="43"/>
      <c r="U7" s="43"/>
      <c r="AD7" s="157" t="s">
        <v>75</v>
      </c>
      <c r="AE7" s="157"/>
      <c r="AF7" s="155">
        <v>1</v>
      </c>
      <c r="AG7" s="155"/>
      <c r="AH7" s="158" t="s">
        <v>32</v>
      </c>
      <c r="AI7" s="159"/>
      <c r="AJ7" s="114">
        <v>1</v>
      </c>
      <c r="AK7" s="114"/>
      <c r="AL7" s="153" t="s">
        <v>39</v>
      </c>
      <c r="AM7" s="153"/>
      <c r="AN7" s="114">
        <v>0</v>
      </c>
      <c r="AO7" s="114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53" t="s">
        <v>53</v>
      </c>
      <c r="C8" s="153"/>
      <c r="D8" s="154">
        <v>1</v>
      </c>
      <c r="E8" s="155"/>
      <c r="F8" s="153" t="s">
        <v>54</v>
      </c>
      <c r="G8" s="153"/>
      <c r="H8" s="154">
        <v>1</v>
      </c>
      <c r="I8" s="155"/>
      <c r="J8" s="153" t="s">
        <v>43</v>
      </c>
      <c r="K8" s="153"/>
      <c r="L8" s="114">
        <v>1</v>
      </c>
      <c r="M8" s="114"/>
      <c r="N8" s="43"/>
      <c r="O8" s="43"/>
      <c r="P8" s="43"/>
      <c r="Q8" s="43"/>
      <c r="R8" s="43"/>
      <c r="S8" s="43"/>
      <c r="T8" s="43"/>
      <c r="U8" s="43"/>
      <c r="AD8" s="153" t="s">
        <v>53</v>
      </c>
      <c r="AE8" s="153"/>
      <c r="AF8" s="154">
        <v>1</v>
      </c>
      <c r="AG8" s="155"/>
      <c r="AH8" s="153" t="s">
        <v>54</v>
      </c>
      <c r="AI8" s="153"/>
      <c r="AJ8" s="154">
        <v>1</v>
      </c>
      <c r="AK8" s="155"/>
      <c r="AL8" s="153" t="s">
        <v>43</v>
      </c>
      <c r="AM8" s="153"/>
      <c r="AN8" s="114">
        <v>0</v>
      </c>
      <c r="AO8" s="114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63" t="str">
        <f>IF(D7&gt;=1,"기초금리1", "")</f>
        <v>기초금리1</v>
      </c>
      <c r="C10" s="151" t="str">
        <f>IF($D$7&gt;=1,"커브번호", "")</f>
        <v>커브번호</v>
      </c>
      <c r="D10" s="151"/>
      <c r="E10" s="121">
        <v>1</v>
      </c>
      <c r="F10" s="121"/>
      <c r="G10" s="45"/>
      <c r="H10" s="45"/>
      <c r="I10" s="134" t="str">
        <f>IF(OR(E11 = 0, E11 = 2, E11 = 4), "RefType = "&amp;E11&amp;" 이므로 Ref Swap 금리정보 사용안함", "사용")</f>
        <v>사용</v>
      </c>
      <c r="J10" s="134"/>
      <c r="K10" s="134"/>
      <c r="L10" s="135"/>
      <c r="N10" s="148" t="s">
        <v>34</v>
      </c>
      <c r="O10" s="148"/>
      <c r="P10" s="148"/>
      <c r="Q10" s="148"/>
      <c r="R10" s="42"/>
      <c r="S10" s="42"/>
      <c r="T10" s="42"/>
      <c r="U10" s="42"/>
      <c r="W10" s="148" t="s">
        <v>55</v>
      </c>
      <c r="X10" s="148"/>
      <c r="Y10" s="148"/>
      <c r="AD10" s="124" t="str">
        <f>IF($AF$7&gt;=1,"기초금리1", "")</f>
        <v>기초금리1</v>
      </c>
      <c r="AE10" s="120" t="str">
        <f>IF($AF$7&gt;=1,"커브번호", "")</f>
        <v>커브번호</v>
      </c>
      <c r="AF10" s="120"/>
      <c r="AG10" s="121">
        <v>1</v>
      </c>
      <c r="AH10" s="121"/>
      <c r="AI10" s="45"/>
      <c r="AJ10" s="45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48" t="s">
        <v>57</v>
      </c>
      <c r="AQ10" s="148"/>
      <c r="AR10" s="148"/>
      <c r="AS10" s="148"/>
      <c r="AT10" s="42"/>
      <c r="AU10" s="42"/>
      <c r="AV10" s="42"/>
      <c r="AW10" s="42"/>
      <c r="AY10" s="148" t="s">
        <v>56</v>
      </c>
      <c r="AZ10" s="148"/>
      <c r="BA10" s="148"/>
    </row>
    <row r="11" spans="1:57" ht="16.2" customHeight="1" x14ac:dyDescent="0.4">
      <c r="A11" s="42">
        <f t="shared" si="1"/>
        <v>11</v>
      </c>
      <c r="B11" s="149"/>
      <c r="C11" s="140" t="str">
        <f>IF($D$7&gt;=1,"Reference Rate Type", "")</f>
        <v>Reference Rate Type</v>
      </c>
      <c r="D11" s="141"/>
      <c r="E11" s="152">
        <v>1</v>
      </c>
      <c r="F11" s="152"/>
      <c r="G11" s="126" t="str">
        <f>IF(OR(E11 = 0, E11 = 2, E11 = 4), "", "Zero/Swap 레퍼런스금리정보")</f>
        <v>Zero/Swap 레퍼런스금리정보</v>
      </c>
      <c r="H11" s="126"/>
      <c r="I11" s="126" t="str">
        <f>IF(OR(E11 = 0, E11 = 2, E11 = 4), "", "연 지급횟수")</f>
        <v>연 지급횟수</v>
      </c>
      <c r="J11" s="127"/>
      <c r="K11" s="111">
        <v>4</v>
      </c>
      <c r="L11" s="112"/>
      <c r="M11" s="42"/>
      <c r="N11" s="162" t="str">
        <f>IF(OR(E11 = 0, E11 = 2, E11 = 4), "ForwardStart", "ResetStart")</f>
        <v>ResetStart</v>
      </c>
      <c r="O11" s="162" t="str">
        <f>IF(OR(E11 = 0, E11 = 2, E11 = 4), "ForwardEnd", "ResetEnd")</f>
        <v>ResetEnd</v>
      </c>
      <c r="P11" s="115" t="s">
        <v>35</v>
      </c>
      <c r="Q11" s="115" t="s">
        <v>36</v>
      </c>
      <c r="R11" s="115" t="s">
        <v>37</v>
      </c>
      <c r="S11" s="115" t="s">
        <v>38</v>
      </c>
      <c r="T11" s="115" t="s">
        <v>76</v>
      </c>
      <c r="U11" s="115" t="s">
        <v>77</v>
      </c>
      <c r="W11" s="46" t="s">
        <v>44</v>
      </c>
      <c r="X11" s="136">
        <v>0</v>
      </c>
      <c r="Y11" s="136"/>
      <c r="AD11" s="125"/>
      <c r="AE11" s="107" t="str">
        <f>IF($AF$7&gt;=1,"Reference Rate Type", "")</f>
        <v>Reference Rate Type</v>
      </c>
      <c r="AF11" s="122"/>
      <c r="AG11" s="152">
        <v>0</v>
      </c>
      <c r="AH11" s="152"/>
      <c r="AI11" s="109" t="str">
        <f>IF(OR(AG11 = 0, AG11 = 2, AG11 = 4), "", "Zero/Swap 레퍼런스금리정보")</f>
        <v/>
      </c>
      <c r="AJ11" s="109"/>
      <c r="AK11" s="109" t="str">
        <f>IF(OR(AG11 = 0, AG11 = 2, AG11 = 4), "", "연 지급횟수")</f>
        <v/>
      </c>
      <c r="AL11" s="110"/>
      <c r="AM11" s="111">
        <v>4</v>
      </c>
      <c r="AN11" s="112"/>
      <c r="AO11" s="42"/>
      <c r="AP11" s="115" t="str">
        <f>IF(OR(AG11 = 0, AG11 = 2, AG11 = 4), "ForwardStart", "ResetEnd")</f>
        <v>ForwardStart</v>
      </c>
      <c r="AQ11" s="115" t="str">
        <f>IF(OR(AG11 = 0, AG11 = 2, AG11 = 4), "ForwardEnd", "ResetEnd")</f>
        <v>ForwardEnd</v>
      </c>
      <c r="AR11" s="115" t="s">
        <v>35</v>
      </c>
      <c r="AS11" s="115" t="s">
        <v>36</v>
      </c>
      <c r="AT11" s="115" t="s">
        <v>37</v>
      </c>
      <c r="AU11" s="115" t="s">
        <v>38</v>
      </c>
      <c r="AV11" s="115" t="s">
        <v>76</v>
      </c>
      <c r="AW11" s="115" t="s">
        <v>77</v>
      </c>
      <c r="AY11" s="46" t="s">
        <v>44</v>
      </c>
      <c r="AZ11" s="136">
        <v>0</v>
      </c>
      <c r="BA11" s="136"/>
    </row>
    <row r="12" spans="1:57" ht="16.2" customHeight="1" x14ac:dyDescent="0.4">
      <c r="A12" s="42">
        <f t="shared" si="1"/>
        <v>12</v>
      </c>
      <c r="B12" s="149"/>
      <c r="C12" s="140" t="str">
        <f>IF($D$7&gt;=1,"DayCount", "")</f>
        <v>DayCount</v>
      </c>
      <c r="D12" s="140"/>
      <c r="E12" s="98">
        <v>0</v>
      </c>
      <c r="F12" s="98"/>
      <c r="G12" s="126"/>
      <c r="H12" s="126"/>
      <c r="I12" s="126" t="str">
        <f>IF(OR(E11 = 0, E11 = 2, E11 = 4,E14=1), "", "만기")</f>
        <v>만기</v>
      </c>
      <c r="J12" s="127"/>
      <c r="K12" s="160">
        <v>0.25</v>
      </c>
      <c r="L12" s="161"/>
      <c r="N12" s="115"/>
      <c r="O12" s="115"/>
      <c r="P12" s="115"/>
      <c r="Q12" s="115"/>
      <c r="R12" s="115"/>
      <c r="S12" s="115"/>
      <c r="T12" s="115"/>
      <c r="U12" s="115"/>
      <c r="W12" s="46" t="s">
        <v>45</v>
      </c>
      <c r="X12" s="136">
        <v>0</v>
      </c>
      <c r="Y12" s="136"/>
      <c r="AD12" s="125"/>
      <c r="AE12" s="107" t="str">
        <f>IF($AF$7&gt;=1,"DayCount", "")</f>
        <v>DayCount</v>
      </c>
      <c r="AF12" s="107"/>
      <c r="AG12" s="98">
        <v>0</v>
      </c>
      <c r="AH12" s="98"/>
      <c r="AI12" s="109"/>
      <c r="AJ12" s="109"/>
      <c r="AK12" s="126" t="str">
        <f>IF(OR(AG11 = 0, AG11 = 2, AG11 = 4,AG14=1), "", "만기")</f>
        <v/>
      </c>
      <c r="AL12" s="127"/>
      <c r="AM12" s="128">
        <v>0.25</v>
      </c>
      <c r="AN12" s="129"/>
      <c r="AP12" s="115"/>
      <c r="AQ12" s="115"/>
      <c r="AR12" s="115"/>
      <c r="AS12" s="115"/>
      <c r="AT12" s="115"/>
      <c r="AU12" s="115"/>
      <c r="AV12" s="115"/>
      <c r="AW12" s="115"/>
      <c r="AY12" s="46" t="s">
        <v>45</v>
      </c>
      <c r="AZ12" s="136">
        <v>0</v>
      </c>
      <c r="BA12" s="136"/>
    </row>
    <row r="13" spans="1:57" ht="16.2" customHeight="1" x14ac:dyDescent="0.4">
      <c r="A13" s="42">
        <f t="shared" si="1"/>
        <v>13</v>
      </c>
      <c r="B13" s="149"/>
      <c r="C13" s="140" t="str">
        <f>IF($D$7&gt;=1,"금리결정조건Multiple", "")</f>
        <v>금리결정조건Multiple</v>
      </c>
      <c r="D13" s="141"/>
      <c r="E13" s="97">
        <v>1</v>
      </c>
      <c r="F13" s="97"/>
      <c r="G13" s="93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93"/>
      <c r="I13" s="93"/>
      <c r="J13" s="93"/>
      <c r="K13" s="93"/>
      <c r="L13" s="94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36">
        <v>0</v>
      </c>
      <c r="Y13" s="136"/>
      <c r="AD13" s="125"/>
      <c r="AE13" s="107" t="str">
        <f>IF($AF$7&gt;=1,"금리결정조건Multiple", "")</f>
        <v>금리결정조건Multiple</v>
      </c>
      <c r="AF13" s="122"/>
      <c r="AG13" s="97">
        <v>1</v>
      </c>
      <c r="AH13" s="97"/>
      <c r="AI13" s="93" t="str">
        <f>IF(OR(AG11 = 0, AG11 = 2, AG11 = 4), "", "ex) Zero Rate 5년 -&gt; 연 지급횟수= 0, 만기= 5 // CD91일 -&gt; 연 지급횟수= 4, 만기= 0.25")</f>
        <v/>
      </c>
      <c r="AJ13" s="93"/>
      <c r="AK13" s="93"/>
      <c r="AL13" s="93"/>
      <c r="AM13" s="93"/>
      <c r="AN13" s="94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36">
        <v>0</v>
      </c>
      <c r="BA13" s="136"/>
    </row>
    <row r="14" spans="1:57" ht="16.2" customHeight="1" x14ac:dyDescent="0.4">
      <c r="A14" s="42">
        <f t="shared" si="1"/>
        <v>14</v>
      </c>
      <c r="B14" s="149"/>
      <c r="C14" s="139" t="str">
        <f>IF($D$7&gt;=1,"Power Spread Flag", "")</f>
        <v>Power Spread Flag</v>
      </c>
      <c r="D14" s="139"/>
      <c r="E14" s="98">
        <v>0</v>
      </c>
      <c r="F14" s="98"/>
      <c r="G14" s="146" t="str">
        <f>IF(E14&gt;0,"PowerSpreadFlag 1일때 입력","입력필요X")</f>
        <v>입력필요X</v>
      </c>
      <c r="H14" s="146"/>
      <c r="I14" s="146" t="str">
        <f>IF(E14&gt;0,"만기1","")</f>
        <v/>
      </c>
      <c r="J14" s="146"/>
      <c r="K14" s="100">
        <v>10</v>
      </c>
      <c r="L14" s="101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25"/>
      <c r="AE14" s="106" t="str">
        <f>IF($AF$7&gt;=1,"Power Spread Flag", "")</f>
        <v>Power Spread Flag</v>
      </c>
      <c r="AF14" s="106"/>
      <c r="AG14" s="98">
        <v>0</v>
      </c>
      <c r="AH14" s="98"/>
      <c r="AI14" s="99" t="str">
        <f>IF(AG14&gt;0,"PowerSpreadFlag 1일때 입력","입력필요X")</f>
        <v>입력필요X</v>
      </c>
      <c r="AJ14" s="99"/>
      <c r="AK14" s="99" t="str">
        <f>IF(AG14&gt;0,"만기1","")</f>
        <v/>
      </c>
      <c r="AL14" s="99"/>
      <c r="AM14" s="100">
        <v>10</v>
      </c>
      <c r="AN14" s="101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2" customHeight="1" x14ac:dyDescent="0.4">
      <c r="A15" s="42">
        <f t="shared" si="1"/>
        <v>15</v>
      </c>
      <c r="B15" s="149" t="str">
        <f>IF($D$7&gt;0, "사용", "커브개수"&amp;"="&amp;$D$7&amp;"이므로 사용안함")</f>
        <v>사용</v>
      </c>
      <c r="C15" s="139" t="str">
        <f>IF($D$7&gt;=1,"Range상한", "")</f>
        <v>Range상한</v>
      </c>
      <c r="D15" s="139"/>
      <c r="E15" s="130">
        <v>0.02</v>
      </c>
      <c r="F15" s="130"/>
      <c r="G15" s="146"/>
      <c r="H15" s="146"/>
      <c r="I15" s="146" t="str">
        <f>IF(E14&gt;0,"만기2","")</f>
        <v/>
      </c>
      <c r="J15" s="146"/>
      <c r="K15" s="100">
        <v>5</v>
      </c>
      <c r="L15" s="101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25" t="str">
        <f>IF($AF$7&gt;0, "사용", "커브개수"&amp;"="&amp;$AF$7&amp;"이므로 사용안함")</f>
        <v>사용</v>
      </c>
      <c r="AE15" s="106" t="str">
        <f>IF($AF$7&gt;=1,"Range상한", "")</f>
        <v>Range상한</v>
      </c>
      <c r="AF15" s="106"/>
      <c r="AG15" s="130">
        <v>0.5</v>
      </c>
      <c r="AH15" s="130"/>
      <c r="AI15" s="99"/>
      <c r="AJ15" s="99"/>
      <c r="AK15" s="99" t="str">
        <f>IF(AG14&gt;0,"만기2","")</f>
        <v/>
      </c>
      <c r="AL15" s="99"/>
      <c r="AM15" s="100">
        <v>5</v>
      </c>
      <c r="AN15" s="101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2" customHeight="1" x14ac:dyDescent="0.4">
      <c r="A16" s="42">
        <f t="shared" si="1"/>
        <v>16</v>
      </c>
      <c r="B16" s="149"/>
      <c r="C16" s="139" t="str">
        <f>IF($D$7&gt;=1,"Range하한", "")</f>
        <v>Range하한</v>
      </c>
      <c r="D16" s="140"/>
      <c r="E16" s="108">
        <v>0</v>
      </c>
      <c r="F16" s="108"/>
      <c r="G16" s="150"/>
      <c r="H16" s="150"/>
      <c r="I16" s="147" t="str">
        <f>IF(E14&gt;0,"Spread1","")</f>
        <v/>
      </c>
      <c r="J16" s="147"/>
      <c r="K16" s="137" t="str">
        <f>IF(E14&gt;0, I14&amp;"-"&amp;I15, "")</f>
        <v/>
      </c>
      <c r="L16" s="138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25"/>
      <c r="AE16" s="106" t="str">
        <f>IF($AF$7&gt;=1,"Range하한", "")</f>
        <v>Range하한</v>
      </c>
      <c r="AF16" s="107"/>
      <c r="AG16" s="108">
        <v>-0.1</v>
      </c>
      <c r="AH16" s="108"/>
      <c r="AI16" s="105"/>
      <c r="AJ16" s="105"/>
      <c r="AK16" s="102" t="str">
        <f>IF(AG14&gt;0,"Spread1","")</f>
        <v/>
      </c>
      <c r="AL16" s="102"/>
      <c r="AM16" s="103" t="str">
        <f>IF(AG14&gt;0, AK14&amp;"-"&amp;AK15, "")</f>
        <v/>
      </c>
      <c r="AN16" s="104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2" customHeight="1" x14ac:dyDescent="0.4">
      <c r="A17" s="42">
        <f t="shared" si="1"/>
        <v>17</v>
      </c>
      <c r="B17" s="41"/>
      <c r="C17" s="131" t="str">
        <f>IF($D$7&gt;=1,"Payoff조건Multiple", "")</f>
        <v>Payoff조건Multiple</v>
      </c>
      <c r="D17" s="131"/>
      <c r="E17" s="116">
        <v>1</v>
      </c>
      <c r="F17" s="116"/>
      <c r="G17" s="95" t="str">
        <f>IF(E14&gt;0,"예시) 10년-5년 스왑: 연 지급횟수=4, 만기1=10, 만기2=5 // 10년-5년 Zero: 연 지급횟수=0","")</f>
        <v/>
      </c>
      <c r="H17" s="95"/>
      <c r="I17" s="95"/>
      <c r="J17" s="95"/>
      <c r="K17" s="95"/>
      <c r="L17" s="96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117" t="str">
        <f>IF($AF$7&gt;=1,"Payoff조건Multiple", "")</f>
        <v>Payoff조건Multiple</v>
      </c>
      <c r="AF17" s="117"/>
      <c r="AG17" s="116">
        <v>0</v>
      </c>
      <c r="AH17" s="116"/>
      <c r="AI17" s="95" t="str">
        <f>IF(AG14&gt;0,"예시) 10년-5년 스왑: 연 지급횟수=4, 만기1=10, 만기2=5 // 10년-5년 Zero: 연 지급횟수=0","")</f>
        <v/>
      </c>
      <c r="AJ17" s="95"/>
      <c r="AK17" s="95"/>
      <c r="AL17" s="95"/>
      <c r="AM17" s="95"/>
      <c r="AN17" s="96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2" customHeight="1" thickBot="1" x14ac:dyDescent="0.45">
      <c r="A19" s="42">
        <f t="shared" si="1"/>
        <v>19</v>
      </c>
      <c r="B19" s="163" t="str">
        <f>IF(D7&gt;=2,"기초금리2", "")</f>
        <v>기초금리2</v>
      </c>
      <c r="C19" s="151" t="str">
        <f>IF($D$7&gt;=2,"커브번호", "")</f>
        <v>커브번호</v>
      </c>
      <c r="D19" s="151"/>
      <c r="E19" s="121">
        <v>2</v>
      </c>
      <c r="F19" s="121"/>
      <c r="G19" s="45"/>
      <c r="H19" s="45"/>
      <c r="I19" s="134" t="str">
        <f>IF(OR(E20 = 0, E20 = 2, E20 = 4), "RefType = "&amp;E20&amp;" 이므로 Ref Swap 금리정보 사용안함", "사용")</f>
        <v>RefType = 0 이므로 Ref Swap 금리정보 사용안함</v>
      </c>
      <c r="J19" s="134"/>
      <c r="K19" s="134"/>
      <c r="L19" s="135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24" t="str">
        <f>IF($AF$7&gt;=2,"기초금리2", "")</f>
        <v/>
      </c>
      <c r="AE19" s="120" t="str">
        <f>IF($AF$7&gt;=2,"커브번호", "")</f>
        <v/>
      </c>
      <c r="AF19" s="120"/>
      <c r="AG19" s="121">
        <v>2</v>
      </c>
      <c r="AH19" s="121"/>
      <c r="AI19" s="45"/>
      <c r="AJ19" s="45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2" customHeight="1" thickBot="1" x14ac:dyDescent="0.45">
      <c r="A20" s="42">
        <f t="shared" si="1"/>
        <v>20</v>
      </c>
      <c r="B20" s="149"/>
      <c r="C20" s="140" t="str">
        <f>IF($D$7&gt;=2,"Reference Rate Type", "")</f>
        <v>Reference Rate Type</v>
      </c>
      <c r="D20" s="141"/>
      <c r="E20" s="123">
        <v>0</v>
      </c>
      <c r="F20" s="123"/>
      <c r="G20" s="126" t="str">
        <f>IF(OR(E20 = 0, E20 = 2, E20 = 4), "", "Zero/Swap 레퍼런스금리정보")</f>
        <v/>
      </c>
      <c r="H20" s="126"/>
      <c r="I20" s="126" t="str">
        <f>IF(OR(E20 = 0, E20 = 2, E20 = 4), "", "연 지급횟수")</f>
        <v/>
      </c>
      <c r="J20" s="127"/>
      <c r="K20" s="111">
        <v>4</v>
      </c>
      <c r="L20" s="112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25"/>
      <c r="AE20" s="107" t="str">
        <f>IF($AF$7&gt;=2,"Reference Rate Type", "")</f>
        <v/>
      </c>
      <c r="AF20" s="122"/>
      <c r="AG20" s="123">
        <v>0</v>
      </c>
      <c r="AH20" s="123"/>
      <c r="AI20" s="109" t="str">
        <f>IF(OR(AG20 = 0, AG20 = 2, AG20 = 4), "", "Zero/Swap 레퍼런스금리정보")</f>
        <v/>
      </c>
      <c r="AJ20" s="109"/>
      <c r="AK20" s="109" t="str">
        <f>IF(OR(AG20 = 0, AG20 = 2, AG20 = 4), "", "연 지급횟수")</f>
        <v/>
      </c>
      <c r="AL20" s="110"/>
      <c r="AM20" s="111">
        <v>4</v>
      </c>
      <c r="AN20" s="112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2" customHeight="1" x14ac:dyDescent="0.4">
      <c r="A21" s="42">
        <f t="shared" si="1"/>
        <v>21</v>
      </c>
      <c r="B21" s="149"/>
      <c r="C21" s="140" t="str">
        <f>IF($D$7&gt;=2,"DayCount", "")</f>
        <v>DayCount</v>
      </c>
      <c r="D21" s="140"/>
      <c r="E21" s="98">
        <v>0</v>
      </c>
      <c r="F21" s="98"/>
      <c r="G21" s="126"/>
      <c r="H21" s="126"/>
      <c r="I21" s="126" t="str">
        <f>IF(OR(E20 = 0, E20 = 2, E20 = 4,E23=1), "", "만기")</f>
        <v/>
      </c>
      <c r="J21" s="127"/>
      <c r="K21" s="128">
        <v>1</v>
      </c>
      <c r="L21" s="129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25"/>
      <c r="AE21" s="107" t="str">
        <f>IF($AF$7&gt;=2,"DayCount", "")</f>
        <v/>
      </c>
      <c r="AF21" s="107"/>
      <c r="AG21" s="98">
        <v>0</v>
      </c>
      <c r="AH21" s="98"/>
      <c r="AI21" s="109"/>
      <c r="AJ21" s="109"/>
      <c r="AK21" s="126" t="str">
        <f>IF(OR(AG20 = 0, AG20 = 2, AG20 = 4,AG23=1), "", "만기")</f>
        <v/>
      </c>
      <c r="AL21" s="127"/>
      <c r="AM21" s="128">
        <v>5</v>
      </c>
      <c r="AN21" s="129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2" customHeight="1" x14ac:dyDescent="0.4">
      <c r="A22" s="42">
        <f t="shared" si="1"/>
        <v>22</v>
      </c>
      <c r="B22" s="149"/>
      <c r="C22" s="140" t="str">
        <f>IF($D$7&gt;=2,"금리결정조건Multiple", "")</f>
        <v>금리결정조건Multiple</v>
      </c>
      <c r="D22" s="141"/>
      <c r="E22" s="97">
        <v>1</v>
      </c>
      <c r="F22" s="97"/>
      <c r="G22" s="93" t="str">
        <f>IF(OR(E20 = 0, E20 = 2, E20 = 4), "", "ex) Zero Rate 5년 -&gt; 연 지급횟수= 0, 만기= 5 // CD91일 -&gt; 연 지급횟수= 4, 만기= 0.25")</f>
        <v/>
      </c>
      <c r="H22" s="93"/>
      <c r="I22" s="93"/>
      <c r="J22" s="93"/>
      <c r="K22" s="93"/>
      <c r="L22" s="94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25"/>
      <c r="AE22" s="107" t="str">
        <f>IF($AF$7&gt;=2,"금리결정조건Multiple", "")</f>
        <v/>
      </c>
      <c r="AF22" s="122"/>
      <c r="AG22" s="97">
        <v>1</v>
      </c>
      <c r="AH22" s="97"/>
      <c r="AI22" s="93" t="str">
        <f>IF(OR(AG20 = 0, AG20 = 2, AG20 = 4), "", "ex) Zero Rate 5년 -&gt; 연 지급횟수= 0, 만기= 5 // CD91일 -&gt; 연 지급횟수= 4, 만기= 0.25")</f>
        <v/>
      </c>
      <c r="AJ22" s="93"/>
      <c r="AK22" s="93"/>
      <c r="AL22" s="93"/>
      <c r="AM22" s="93"/>
      <c r="AN22" s="94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2" customHeight="1" x14ac:dyDescent="0.4">
      <c r="A23" s="42">
        <f t="shared" si="1"/>
        <v>23</v>
      </c>
      <c r="B23" s="149"/>
      <c r="C23" s="139" t="str">
        <f>IF($D$7&gt;=2,"Power Spread Flag", "")</f>
        <v>Power Spread Flag</v>
      </c>
      <c r="D23" s="139"/>
      <c r="E23" s="98">
        <v>0</v>
      </c>
      <c r="F23" s="98"/>
      <c r="G23" s="146" t="str">
        <f>IF(E23&gt;0,"PowerSpreadFlag 1일때 입력","입력필요X")</f>
        <v>입력필요X</v>
      </c>
      <c r="H23" s="146"/>
      <c r="I23" s="146" t="str">
        <f>IF(E23&gt;0,"만기1","")</f>
        <v/>
      </c>
      <c r="J23" s="146"/>
      <c r="K23" s="100">
        <v>10</v>
      </c>
      <c r="L23" s="101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25"/>
      <c r="AE23" s="106" t="str">
        <f>IF($AF$7&gt;=2,"Power Spread Flag", "")</f>
        <v/>
      </c>
      <c r="AF23" s="106"/>
      <c r="AG23" s="98">
        <v>0</v>
      </c>
      <c r="AH23" s="98"/>
      <c r="AI23" s="99" t="str">
        <f>IF(AG23&gt;0,"PowerSpreadFlag 1일때 입력","입력필요X")</f>
        <v>입력필요X</v>
      </c>
      <c r="AJ23" s="99"/>
      <c r="AK23" s="99" t="str">
        <f>IF(AG23&gt;0,"만기1","")</f>
        <v/>
      </c>
      <c r="AL23" s="99"/>
      <c r="AM23" s="100">
        <v>10</v>
      </c>
      <c r="AN23" s="101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2" customHeight="1" x14ac:dyDescent="0.4">
      <c r="A24" s="42">
        <f t="shared" si="1"/>
        <v>24</v>
      </c>
      <c r="B24" s="149" t="str">
        <f>IF($D$7&gt;1, "사용", "커브개수"&amp;"="&amp;$D$7&amp;"이므로 사용안함")</f>
        <v>사용</v>
      </c>
      <c r="C24" s="139" t="str">
        <f>IF($D$7&gt;=2,"Range상한", "")</f>
        <v>Range상한</v>
      </c>
      <c r="D24" s="139"/>
      <c r="E24" s="130">
        <v>0.03</v>
      </c>
      <c r="F24" s="130"/>
      <c r="G24" s="146"/>
      <c r="H24" s="146"/>
      <c r="I24" s="146" t="str">
        <f>IF(E23&gt;0,"만기2","")</f>
        <v/>
      </c>
      <c r="J24" s="146"/>
      <c r="K24" s="100">
        <v>5</v>
      </c>
      <c r="L24" s="101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25" t="str">
        <f>IF($AF$7&gt;1, "사용", "커브개수"&amp;"="&amp;$AF$7&amp;"이므로 사용안함")</f>
        <v>커브개수=1이므로 사용안함</v>
      </c>
      <c r="AE24" s="106" t="str">
        <f>IF($AF$7&gt;=2,"Range상한", "")</f>
        <v/>
      </c>
      <c r="AF24" s="106"/>
      <c r="AG24" s="130">
        <v>0.5</v>
      </c>
      <c r="AH24" s="130"/>
      <c r="AI24" s="99"/>
      <c r="AJ24" s="99"/>
      <c r="AK24" s="99" t="str">
        <f>IF(AG23&gt;0,"만기2","")</f>
        <v/>
      </c>
      <c r="AL24" s="99"/>
      <c r="AM24" s="100">
        <v>5</v>
      </c>
      <c r="AN24" s="101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2" customHeight="1" x14ac:dyDescent="0.4">
      <c r="A25" s="42">
        <f t="shared" si="1"/>
        <v>25</v>
      </c>
      <c r="B25" s="149"/>
      <c r="C25" s="139" t="str">
        <f>IF($D$7&gt;=2,"Range하한", "")</f>
        <v>Range하한</v>
      </c>
      <c r="D25" s="140"/>
      <c r="E25" s="108">
        <v>-0.01</v>
      </c>
      <c r="F25" s="108"/>
      <c r="G25" s="150"/>
      <c r="H25" s="150"/>
      <c r="I25" s="147" t="str">
        <f>IF(E23&gt;0,"Spread1","")</f>
        <v/>
      </c>
      <c r="J25" s="147"/>
      <c r="K25" s="137" t="str">
        <f>IF(E23&gt;0, I23&amp;"-"&amp;I24, "")</f>
        <v/>
      </c>
      <c r="L25" s="138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25"/>
      <c r="AE25" s="106" t="str">
        <f>IF($AF$7&gt;=2,"Range하한", "")</f>
        <v/>
      </c>
      <c r="AF25" s="107"/>
      <c r="AG25" s="108">
        <v>-0.1</v>
      </c>
      <c r="AH25" s="108"/>
      <c r="AI25" s="105"/>
      <c r="AJ25" s="105"/>
      <c r="AK25" s="102" t="str">
        <f>IF(AG23&gt;0,"Spread1","")</f>
        <v/>
      </c>
      <c r="AL25" s="102"/>
      <c r="AM25" s="103" t="str">
        <f>IF(AG23&gt;0, AK23&amp;"-"&amp;AK24, "")</f>
        <v/>
      </c>
      <c r="AN25" s="104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2" customHeight="1" x14ac:dyDescent="0.4">
      <c r="A26" s="42">
        <f t="shared" si="1"/>
        <v>26</v>
      </c>
      <c r="B26" s="41"/>
      <c r="C26" s="131" t="str">
        <f>IF($D$7&gt;=2,"Payoff조건Multiple", "")</f>
        <v>Payoff조건Multiple</v>
      </c>
      <c r="D26" s="131"/>
      <c r="E26" s="116">
        <v>0</v>
      </c>
      <c r="F26" s="116"/>
      <c r="G26" s="95" t="str">
        <f>IF(E23&gt;0,"예시) 10년-5년 스왑: 연 지급횟수=4, 만기1=10, 만기2=5 // 10년-5년 Zero: 연 지급횟수=0","")</f>
        <v/>
      </c>
      <c r="H26" s="95"/>
      <c r="I26" s="95"/>
      <c r="J26" s="95"/>
      <c r="K26" s="95"/>
      <c r="L26" s="96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117" t="str">
        <f>IF($AF$7&gt;=2,"Payoff조건Multiple", "")</f>
        <v/>
      </c>
      <c r="AF26" s="117"/>
      <c r="AG26" s="116">
        <v>0</v>
      </c>
      <c r="AH26" s="116"/>
      <c r="AI26" s="95" t="str">
        <f>IF(AG23&gt;0,"예시) 10년-5년 스왑: 연 지급횟수=4, 만기1=10, 만기2=5 // 10년-5년 Zero: 연 지급횟수=0","")</f>
        <v/>
      </c>
      <c r="AJ26" s="95"/>
      <c r="AK26" s="95"/>
      <c r="AL26" s="95"/>
      <c r="AM26" s="95"/>
      <c r="AN26" s="96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2" customHeight="1" thickBot="1" x14ac:dyDescent="0.45">
      <c r="A28" s="42">
        <f t="shared" si="1"/>
        <v>28</v>
      </c>
      <c r="B28" s="163" t="str">
        <f>IF($D$7&gt;=3,"기초금리3", "")</f>
        <v/>
      </c>
      <c r="C28" s="151" t="str">
        <f>IF($D$7&gt;=3,"커브번호", "")</f>
        <v/>
      </c>
      <c r="D28" s="151"/>
      <c r="E28" s="121">
        <v>3</v>
      </c>
      <c r="F28" s="121"/>
      <c r="G28" s="45"/>
      <c r="H28" s="45"/>
      <c r="I28" s="134" t="str">
        <f>IF(OR(E29 = 0, E29 = 2, E29 = 4), "RefType = "&amp;E29&amp;" 이므로 Ref Swap 금리정보 사용안함", "사용")</f>
        <v>RefType = 0 이므로 Ref Swap 금리정보 사용안함</v>
      </c>
      <c r="J28" s="134"/>
      <c r="K28" s="134"/>
      <c r="L28" s="135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24" t="str">
        <f>IF($AF$7&gt;=3,"기초금리3", "")</f>
        <v/>
      </c>
      <c r="AE28" s="120" t="str">
        <f>IF($AF$7&gt;=3,"커브번호", "")</f>
        <v/>
      </c>
      <c r="AF28" s="120"/>
      <c r="AG28" s="121">
        <v>3</v>
      </c>
      <c r="AH28" s="121"/>
      <c r="AI28" s="45"/>
      <c r="AJ28" s="45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2" customHeight="1" thickBot="1" x14ac:dyDescent="0.45">
      <c r="A29" s="42">
        <f t="shared" si="1"/>
        <v>29</v>
      </c>
      <c r="B29" s="149"/>
      <c r="C29" s="140" t="str">
        <f>IF($D$7&gt;=3,"Reference Rate Type", "")</f>
        <v/>
      </c>
      <c r="D29" s="141"/>
      <c r="E29" s="123">
        <v>0</v>
      </c>
      <c r="F29" s="123"/>
      <c r="G29" s="126" t="str">
        <f>IF(OR(E29 = 0, E29 = 2, E29 = 4), "", "Zero/Swap 레퍼런스금리정보")</f>
        <v/>
      </c>
      <c r="H29" s="126"/>
      <c r="I29" s="126" t="str">
        <f>IF(OR(E29 = 0, E29 = 2, E29 = 4), "", "연 지급횟수")</f>
        <v/>
      </c>
      <c r="J29" s="127"/>
      <c r="K29" s="111">
        <v>4</v>
      </c>
      <c r="L29" s="112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25"/>
      <c r="AE29" s="107" t="str">
        <f>IF($AF$7&gt;=3,"Reference Rate Type", "")</f>
        <v/>
      </c>
      <c r="AF29" s="122"/>
      <c r="AG29" s="123">
        <v>0</v>
      </c>
      <c r="AH29" s="123"/>
      <c r="AI29" s="109" t="str">
        <f>IF(OR(AG29 = 0, AG29 = 2, AG29 = 4), "", "Zero/Swap 레퍼런스금리정보")</f>
        <v/>
      </c>
      <c r="AJ29" s="109"/>
      <c r="AK29" s="109" t="str">
        <f>IF(OR(AG29 = 0, AG29 = 2, AG29 = 4), "", "연 지급횟수")</f>
        <v/>
      </c>
      <c r="AL29" s="110"/>
      <c r="AM29" s="111">
        <v>4</v>
      </c>
      <c r="AN29" s="112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2" customHeight="1" x14ac:dyDescent="0.4">
      <c r="A30" s="42">
        <f t="shared" si="1"/>
        <v>30</v>
      </c>
      <c r="B30" s="149"/>
      <c r="C30" s="140" t="str">
        <f>IF($D$7&gt;=3,"DayCount", "")</f>
        <v/>
      </c>
      <c r="D30" s="140"/>
      <c r="E30" s="98">
        <v>0</v>
      </c>
      <c r="F30" s="98"/>
      <c r="G30" s="126"/>
      <c r="H30" s="126"/>
      <c r="I30" s="126" t="str">
        <f>IF(OR(E29 = 0, E29 = 2, E29 = 4,E32=1), "", "만기")</f>
        <v/>
      </c>
      <c r="J30" s="127"/>
      <c r="K30" s="128">
        <v>5</v>
      </c>
      <c r="L30" s="129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25"/>
      <c r="AE30" s="107" t="str">
        <f>IF($AF$7&gt;=3,"DayCount", "")</f>
        <v/>
      </c>
      <c r="AF30" s="107"/>
      <c r="AG30" s="98">
        <v>0</v>
      </c>
      <c r="AH30" s="98"/>
      <c r="AI30" s="109"/>
      <c r="AJ30" s="109"/>
      <c r="AK30" s="126" t="str">
        <f>IF(OR(AG29 = 0, AG29 = 2, AG29 = 4,AG32=1), "", "만기")</f>
        <v/>
      </c>
      <c r="AL30" s="127"/>
      <c r="AM30" s="128">
        <v>5</v>
      </c>
      <c r="AN30" s="129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2" customHeight="1" x14ac:dyDescent="0.4">
      <c r="A31" s="42">
        <f t="shared" si="1"/>
        <v>31</v>
      </c>
      <c r="B31" s="149"/>
      <c r="C31" s="140" t="str">
        <f>IF($D$7&gt;=3,"금리결정조건Multiple", "")</f>
        <v/>
      </c>
      <c r="D31" s="141"/>
      <c r="E31" s="97">
        <v>1</v>
      </c>
      <c r="F31" s="97"/>
      <c r="G31" s="93" t="str">
        <f>IF(OR(E29 = 0, E29 = 2, E29 = 4), "", "ex) Zero Rate 5년 -&gt; 연 지급횟수= 0, 만기= 5 // CD91일 -&gt; 연 지급횟수= 4, 만기= 0.25")</f>
        <v/>
      </c>
      <c r="H31" s="93"/>
      <c r="I31" s="93"/>
      <c r="J31" s="93"/>
      <c r="K31" s="93"/>
      <c r="L31" s="94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25"/>
      <c r="AE31" s="107" t="str">
        <f>IF($AF$7&gt;=3,"금리결정조건Multiple", "")</f>
        <v/>
      </c>
      <c r="AF31" s="122"/>
      <c r="AG31" s="97">
        <v>1</v>
      </c>
      <c r="AH31" s="97"/>
      <c r="AI31" s="93" t="str">
        <f>IF(OR(AG29 = 0, AG29 = 2, AG29 = 4), "", "ex) Zero Rate 5년 -&gt; 연 지급횟수= 0, 만기= 5 // CD91일 -&gt; 연 지급횟수= 4, 만기= 0.25")</f>
        <v/>
      </c>
      <c r="AJ31" s="93"/>
      <c r="AK31" s="93"/>
      <c r="AL31" s="93"/>
      <c r="AM31" s="93"/>
      <c r="AN31" s="94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2" customHeight="1" x14ac:dyDescent="0.4">
      <c r="A32" s="42">
        <f t="shared" si="1"/>
        <v>32</v>
      </c>
      <c r="B32" s="149"/>
      <c r="C32" s="139" t="str">
        <f>IF($D$7&gt;=3,"Power Spread Flag", "")</f>
        <v/>
      </c>
      <c r="D32" s="139"/>
      <c r="E32" s="98">
        <v>0</v>
      </c>
      <c r="F32" s="98"/>
      <c r="G32" s="146" t="str">
        <f>IF(E32&gt;0,"PowerSpreadFlag 1일때 입력","입력필요X")</f>
        <v>입력필요X</v>
      </c>
      <c r="H32" s="146"/>
      <c r="I32" s="146" t="str">
        <f>IF(E32&gt;0,"만기1","")</f>
        <v/>
      </c>
      <c r="J32" s="146"/>
      <c r="K32" s="100">
        <v>10</v>
      </c>
      <c r="L32" s="101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25"/>
      <c r="AE32" s="106" t="str">
        <f>IF($AF$7&gt;=3,"Power Spread Flag", "")</f>
        <v/>
      </c>
      <c r="AF32" s="106"/>
      <c r="AG32" s="98">
        <v>0</v>
      </c>
      <c r="AH32" s="98"/>
      <c r="AI32" s="99" t="str">
        <f>IF(AG32&gt;0,"PowerSpreadFlag 1일때 입력","입력필요X")</f>
        <v>입력필요X</v>
      </c>
      <c r="AJ32" s="99"/>
      <c r="AK32" s="99" t="str">
        <f>IF(AG32&gt;0,"만기1","")</f>
        <v/>
      </c>
      <c r="AL32" s="99"/>
      <c r="AM32" s="100">
        <v>10</v>
      </c>
      <c r="AN32" s="101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2" customHeight="1" x14ac:dyDescent="0.4">
      <c r="A33" s="42">
        <f t="shared" si="1"/>
        <v>33</v>
      </c>
      <c r="B33" s="149" t="str">
        <f>IF($D$7&gt;2, "사용", "커브개수"&amp;"="&amp;$D$7&amp;"이므로 사용안함")</f>
        <v>커브개수=2이므로 사용안함</v>
      </c>
      <c r="C33" s="139" t="str">
        <f>IF($D$7&gt;=3,"Range상한", "")</f>
        <v/>
      </c>
      <c r="D33" s="139"/>
      <c r="E33" s="130">
        <v>0.5</v>
      </c>
      <c r="F33" s="130"/>
      <c r="G33" s="146"/>
      <c r="H33" s="146"/>
      <c r="I33" s="146" t="str">
        <f>IF(E32&gt;0,"만기2","")</f>
        <v/>
      </c>
      <c r="J33" s="146"/>
      <c r="K33" s="100">
        <v>5</v>
      </c>
      <c r="L33" s="101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25" t="str">
        <f>IF($AF$7&gt;2, "사용", "커브개수"&amp;"="&amp;$AF$7&amp;"이므로 사용안함")</f>
        <v>커브개수=1이므로 사용안함</v>
      </c>
      <c r="AE33" s="106" t="str">
        <f>IF($AF$7&gt;=3,"Range상한", "")</f>
        <v/>
      </c>
      <c r="AF33" s="106"/>
      <c r="AG33" s="130">
        <v>0.5</v>
      </c>
      <c r="AH33" s="130"/>
      <c r="AI33" s="99"/>
      <c r="AJ33" s="99"/>
      <c r="AK33" s="99" t="str">
        <f>IF(AG32&gt;0,"만기2","")</f>
        <v/>
      </c>
      <c r="AL33" s="99"/>
      <c r="AM33" s="100">
        <v>5</v>
      </c>
      <c r="AN33" s="101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2" customHeight="1" x14ac:dyDescent="0.4">
      <c r="A34" s="42">
        <f t="shared" si="1"/>
        <v>34</v>
      </c>
      <c r="B34" s="149"/>
      <c r="C34" s="139" t="str">
        <f>IF($D$7&gt;=3,"Range하한", "")</f>
        <v/>
      </c>
      <c r="D34" s="140"/>
      <c r="E34" s="108">
        <v>-0.1</v>
      </c>
      <c r="F34" s="108"/>
      <c r="G34" s="150"/>
      <c r="H34" s="150"/>
      <c r="I34" s="147" t="str">
        <f>IF(E32&gt;0,"Spread1","")</f>
        <v/>
      </c>
      <c r="J34" s="147"/>
      <c r="K34" s="137" t="str">
        <f>IF(E32&gt;0, I32&amp;"-"&amp;I33, "")</f>
        <v/>
      </c>
      <c r="L34" s="138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25"/>
      <c r="AE34" s="106" t="str">
        <f>IF($AF$7&gt;=3,"Range하한", "")</f>
        <v/>
      </c>
      <c r="AF34" s="107"/>
      <c r="AG34" s="108">
        <v>-0.1</v>
      </c>
      <c r="AH34" s="108"/>
      <c r="AI34" s="105"/>
      <c r="AJ34" s="105"/>
      <c r="AK34" s="102" t="str">
        <f>IF(AG32&gt;0,"Spread1","")</f>
        <v/>
      </c>
      <c r="AL34" s="102"/>
      <c r="AM34" s="103" t="str">
        <f>IF(AG32&gt;0, AK32&amp;"-"&amp;AK33, "")</f>
        <v/>
      </c>
      <c r="AN34" s="104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2" customHeight="1" x14ac:dyDescent="0.4">
      <c r="A35" s="42">
        <f t="shared" si="1"/>
        <v>35</v>
      </c>
      <c r="B35" s="41"/>
      <c r="C35" s="131" t="str">
        <f>IF($D$7&gt;=3,"Payoff조건Multiple", "")</f>
        <v/>
      </c>
      <c r="D35" s="131"/>
      <c r="E35" s="116">
        <v>0</v>
      </c>
      <c r="F35" s="116"/>
      <c r="G35" s="95" t="str">
        <f>IF(E32&gt;0,"예시) 10년-5년 스왑: 연 지급횟수=4, 만기1=10, 만기2=5 // 10년-5년 Zero: 연 지급횟수=0","")</f>
        <v/>
      </c>
      <c r="H35" s="95"/>
      <c r="I35" s="95"/>
      <c r="J35" s="95"/>
      <c r="K35" s="95"/>
      <c r="L35" s="96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117" t="str">
        <f>IF($AF$7&gt;=3,"Payoff조건Multiple", "")</f>
        <v/>
      </c>
      <c r="AF35" s="117"/>
      <c r="AG35" s="116">
        <v>0</v>
      </c>
      <c r="AH35" s="116"/>
      <c r="AI35" s="95" t="str">
        <f>IF(AG32&gt;0,"예시) 10년-5년 스왑: 연 지급횟수=4, 만기1=10, 만기2=5 // 10년-5년 Zero: 연 지급횟수=0","")</f>
        <v/>
      </c>
      <c r="AJ35" s="95"/>
      <c r="AK35" s="95"/>
      <c r="AL35" s="95"/>
      <c r="AM35" s="95"/>
      <c r="AN35" s="96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2" customHeight="1" x14ac:dyDescent="0.4">
      <c r="A37" s="42">
        <f t="shared" si="1"/>
        <v>37</v>
      </c>
      <c r="B37" s="142" t="s">
        <v>47</v>
      </c>
      <c r="C37" s="120" t="s">
        <v>33</v>
      </c>
      <c r="D37" s="120"/>
      <c r="E37" s="166">
        <v>1</v>
      </c>
      <c r="F37" s="167"/>
      <c r="G37" s="43"/>
      <c r="H37" s="124" t="s">
        <v>50</v>
      </c>
      <c r="I37" s="142"/>
      <c r="J37" s="132">
        <v>0</v>
      </c>
      <c r="K37" s="132"/>
      <c r="L37" s="133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142" t="s">
        <v>47</v>
      </c>
      <c r="AE37" s="120" t="s">
        <v>33</v>
      </c>
      <c r="AF37" s="120"/>
      <c r="AG37" s="166">
        <v>1</v>
      </c>
      <c r="AH37" s="167"/>
      <c r="AJ37" s="124" t="s">
        <v>50</v>
      </c>
      <c r="AK37" s="142"/>
      <c r="AL37" s="132">
        <v>0</v>
      </c>
      <c r="AM37" s="132"/>
      <c r="AN37" s="133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2" customHeight="1" x14ac:dyDescent="0.4">
      <c r="A38" s="42">
        <f t="shared" si="1"/>
        <v>38</v>
      </c>
      <c r="B38" s="164"/>
      <c r="C38" s="117"/>
      <c r="D38" s="117"/>
      <c r="E38" s="168"/>
      <c r="F38" s="169"/>
      <c r="G38" s="43"/>
      <c r="H38" s="143" t="s">
        <v>51</v>
      </c>
      <c r="I38" s="144"/>
      <c r="J38" s="144"/>
      <c r="K38" s="144"/>
      <c r="L38" s="145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164"/>
      <c r="AE38" s="117"/>
      <c r="AF38" s="117"/>
      <c r="AG38" s="168"/>
      <c r="AH38" s="169"/>
      <c r="AJ38" s="143" t="s">
        <v>51</v>
      </c>
      <c r="AK38" s="144"/>
      <c r="AL38" s="144"/>
      <c r="AM38" s="144"/>
      <c r="AN38" s="145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2" customHeight="1" x14ac:dyDescent="0.4">
      <c r="A39" s="42">
        <f t="shared" si="1"/>
        <v>39</v>
      </c>
      <c r="B39" s="164"/>
      <c r="C39" s="165"/>
      <c r="D39" s="165"/>
      <c r="E39" s="165"/>
      <c r="F39" s="165"/>
      <c r="G39" s="43"/>
      <c r="H39" s="17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74"/>
      <c r="J39" s="174"/>
      <c r="K39" s="174"/>
      <c r="L39" s="175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164"/>
      <c r="AE39" s="165"/>
      <c r="AF39" s="165"/>
      <c r="AG39" s="165"/>
      <c r="AH39" s="165"/>
      <c r="AJ39" s="17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71"/>
      <c r="AL39" s="171"/>
      <c r="AM39" s="171"/>
      <c r="AN39" s="172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143" t="s">
        <v>52</v>
      </c>
      <c r="I40" s="144"/>
      <c r="J40" s="144"/>
      <c r="K40" s="144"/>
      <c r="L40" s="145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143" t="s">
        <v>52</v>
      </c>
      <c r="AK40" s="144"/>
      <c r="AL40" s="144"/>
      <c r="AM40" s="144"/>
      <c r="AN40" s="145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2" customHeight="1" x14ac:dyDescent="0.4">
      <c r="A42" s="42">
        <f t="shared" si="1"/>
        <v>42</v>
      </c>
      <c r="B42" s="92" t="s">
        <v>95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2" customHeight="1" x14ac:dyDescent="0.4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2" customHeight="1" x14ac:dyDescent="0.4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2" customHeight="1" x14ac:dyDescent="0.4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2" customHeight="1" x14ac:dyDescent="0.4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2" customHeight="1" x14ac:dyDescent="0.4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2" customHeight="1" x14ac:dyDescent="0.4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2" customHeight="1" x14ac:dyDescent="0.4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2" customHeight="1" x14ac:dyDescent="0.4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2" customHeight="1" x14ac:dyDescent="0.4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2" customHeight="1" x14ac:dyDescent="0.4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2" customHeight="1" x14ac:dyDescent="0.4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" customHeight="1" x14ac:dyDescent="0.4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" customHeight="1" x14ac:dyDescent="0.4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" customHeight="1" x14ac:dyDescent="0.4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" customHeight="1" x14ac:dyDescent="0.4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" customHeight="1" x14ac:dyDescent="0.4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" customHeight="1" x14ac:dyDescent="0.4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" customHeight="1" x14ac:dyDescent="0.4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" customHeight="1" x14ac:dyDescent="0.4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" customHeight="1" x14ac:dyDescent="0.4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" customHeight="1" x14ac:dyDescent="0.4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" customHeight="1" x14ac:dyDescent="0.4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2" customHeight="1" x14ac:dyDescent="0.4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2" customHeight="1" x14ac:dyDescent="0.4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2" customHeight="1" x14ac:dyDescent="0.4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2" customHeight="1" x14ac:dyDescent="0.4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2" customHeight="1" x14ac:dyDescent="0.4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2" customHeight="1" x14ac:dyDescent="0.4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2" customHeight="1" x14ac:dyDescent="0.4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2" customHeight="1" x14ac:dyDescent="0.4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2" customHeight="1" x14ac:dyDescent="0.4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2" customHeight="1" x14ac:dyDescent="0.4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2" customHeight="1" x14ac:dyDescent="0.4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2" customHeight="1" x14ac:dyDescent="0.4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2" customHeight="1" x14ac:dyDescent="0.4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2" customHeight="1" x14ac:dyDescent="0.4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2" customHeight="1" x14ac:dyDescent="0.4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2" customHeight="1" x14ac:dyDescent="0.4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2" customHeight="1" x14ac:dyDescent="0.4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2" customHeight="1" x14ac:dyDescent="0.4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2" customHeight="1" x14ac:dyDescent="0.4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2" customHeight="1" x14ac:dyDescent="0.4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2" customHeight="1" x14ac:dyDescent="0.4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2" customHeight="1" x14ac:dyDescent="0.4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2" customHeight="1" x14ac:dyDescent="0.4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2" customHeight="1" x14ac:dyDescent="0.4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2" customHeight="1" x14ac:dyDescent="0.4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2" customHeight="1" x14ac:dyDescent="0.4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2" customHeight="1" x14ac:dyDescent="0.4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2" customHeight="1" x14ac:dyDescent="0.4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2" customHeight="1" x14ac:dyDescent="0.4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2" customHeight="1" x14ac:dyDescent="0.4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2" customHeight="1" x14ac:dyDescent="0.4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2" customHeight="1" x14ac:dyDescent="0.4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" customHeight="1" x14ac:dyDescent="0.4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" customHeight="1" x14ac:dyDescent="0.4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" customHeight="1" x14ac:dyDescent="0.4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" customHeight="1" x14ac:dyDescent="0.4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" customHeight="1" x14ac:dyDescent="0.4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" customHeight="1" x14ac:dyDescent="0.4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" customHeight="1" x14ac:dyDescent="0.4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" customHeight="1" x14ac:dyDescent="0.4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" customHeight="1" x14ac:dyDescent="0.4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" customHeight="1" x14ac:dyDescent="0.4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" customHeight="1" x14ac:dyDescent="0.4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" customHeight="1" x14ac:dyDescent="0.4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" customHeight="1" x14ac:dyDescent="0.4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" customHeight="1" x14ac:dyDescent="0.4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" customHeight="1" x14ac:dyDescent="0.4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" customHeight="1" x14ac:dyDescent="0.4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" customHeight="1" x14ac:dyDescent="0.4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" customHeight="1" x14ac:dyDescent="0.4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" customHeight="1" x14ac:dyDescent="0.4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" customHeight="1" x14ac:dyDescent="0.4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" customHeight="1" x14ac:dyDescent="0.4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" customHeight="1" x14ac:dyDescent="0.4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" customHeight="1" x14ac:dyDescent="0.4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" customHeight="1" x14ac:dyDescent="0.4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" customHeight="1" x14ac:dyDescent="0.4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" customHeight="1" x14ac:dyDescent="0.4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" customHeight="1" x14ac:dyDescent="0.4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" customHeight="1" x14ac:dyDescent="0.4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" customHeight="1" x14ac:dyDescent="0.4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" customHeight="1" x14ac:dyDescent="0.4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" customHeight="1" x14ac:dyDescent="0.4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" customHeight="1" x14ac:dyDescent="0.4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" customHeight="1" x14ac:dyDescent="0.4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" customHeight="1" x14ac:dyDescent="0.4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" customHeight="1" x14ac:dyDescent="0.4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" customHeight="1" x14ac:dyDescent="0.4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" customHeight="1" x14ac:dyDescent="0.4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" customHeight="1" x14ac:dyDescent="0.4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" customHeight="1" x14ac:dyDescent="0.4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" customHeight="1" x14ac:dyDescent="0.4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" customHeight="1" x14ac:dyDescent="0.4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" customHeight="1" x14ac:dyDescent="0.4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" customHeight="1" x14ac:dyDescent="0.4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" customHeight="1" x14ac:dyDescent="0.4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" customHeight="1" x14ac:dyDescent="0.4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" customHeight="1" x14ac:dyDescent="0.4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" customHeight="1" x14ac:dyDescent="0.4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" customHeight="1" x14ac:dyDescent="0.4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" customHeight="1" x14ac:dyDescent="0.4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" customHeight="1" x14ac:dyDescent="0.4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" customHeight="1" x14ac:dyDescent="0.4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" customHeight="1" x14ac:dyDescent="0.4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" customHeight="1" x14ac:dyDescent="0.4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" customHeight="1" x14ac:dyDescent="0.4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" customHeight="1" x14ac:dyDescent="0.4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" customHeight="1" x14ac:dyDescent="0.4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" customHeight="1" x14ac:dyDescent="0.4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" customHeight="1" x14ac:dyDescent="0.4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" customHeight="1" x14ac:dyDescent="0.4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" customHeight="1" x14ac:dyDescent="0.4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" customHeight="1" x14ac:dyDescent="0.4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" customHeight="1" x14ac:dyDescent="0.4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" customHeight="1" x14ac:dyDescent="0.4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" customHeight="1" x14ac:dyDescent="0.4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" customHeight="1" x14ac:dyDescent="0.4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" customHeight="1" x14ac:dyDescent="0.4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" customHeight="1" x14ac:dyDescent="0.4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" customHeight="1" x14ac:dyDescent="0.4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" customHeight="1" x14ac:dyDescent="0.4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" customHeight="1" x14ac:dyDescent="0.4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" customHeight="1" x14ac:dyDescent="0.4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" customHeight="1" x14ac:dyDescent="0.4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" customHeight="1" x14ac:dyDescent="0.4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" customHeight="1" x14ac:dyDescent="0.4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" customHeight="1" x14ac:dyDescent="0.4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" customHeight="1" x14ac:dyDescent="0.4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" customHeight="1" x14ac:dyDescent="0.4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" customHeight="1" x14ac:dyDescent="0.4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" customHeight="1" x14ac:dyDescent="0.4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" customHeight="1" x14ac:dyDescent="0.4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" customHeight="1" x14ac:dyDescent="0.4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" customHeight="1" x14ac:dyDescent="0.4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" customHeight="1" x14ac:dyDescent="0.4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" customHeight="1" x14ac:dyDescent="0.4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" customHeight="1" x14ac:dyDescent="0.4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" customHeight="1" x14ac:dyDescent="0.4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" customHeight="1" x14ac:dyDescent="0.4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" customHeight="1" x14ac:dyDescent="0.4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" customHeight="1" x14ac:dyDescent="0.4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" customHeight="1" x14ac:dyDescent="0.4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" customHeight="1" x14ac:dyDescent="0.4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" customHeight="1" x14ac:dyDescent="0.4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" customHeight="1" x14ac:dyDescent="0.4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" customHeight="1" x14ac:dyDescent="0.4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" customHeight="1" x14ac:dyDescent="0.4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" customHeight="1" x14ac:dyDescent="0.4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" customHeight="1" x14ac:dyDescent="0.4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" customHeight="1" x14ac:dyDescent="0.4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" customHeight="1" x14ac:dyDescent="0.4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" customHeight="1" x14ac:dyDescent="0.4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" customHeight="1" x14ac:dyDescent="0.4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" customHeight="1" x14ac:dyDescent="0.4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" customHeight="1" x14ac:dyDescent="0.4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" customHeight="1" x14ac:dyDescent="0.4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" customHeight="1" x14ac:dyDescent="0.4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" customHeight="1" x14ac:dyDescent="0.4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" customHeight="1" x14ac:dyDescent="0.4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" customHeight="1" x14ac:dyDescent="0.4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" customHeight="1" x14ac:dyDescent="0.4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" customHeight="1" x14ac:dyDescent="0.4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" customHeight="1" x14ac:dyDescent="0.4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" customHeight="1" x14ac:dyDescent="0.4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" customHeight="1" x14ac:dyDescent="0.4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" customHeight="1" x14ac:dyDescent="0.4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" customHeight="1" x14ac:dyDescent="0.4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" customHeight="1" x14ac:dyDescent="0.4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" customHeight="1" x14ac:dyDescent="0.4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" customHeight="1" x14ac:dyDescent="0.4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" customHeight="1" x14ac:dyDescent="0.4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" customHeight="1" x14ac:dyDescent="0.4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" customHeight="1" x14ac:dyDescent="0.4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" customHeight="1" x14ac:dyDescent="0.4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" customHeight="1" x14ac:dyDescent="0.4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" customHeight="1" x14ac:dyDescent="0.4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" customHeight="1" x14ac:dyDescent="0.4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" customHeight="1" x14ac:dyDescent="0.4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" customHeight="1" x14ac:dyDescent="0.4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" customHeight="1" x14ac:dyDescent="0.4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" customHeight="1" x14ac:dyDescent="0.4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" customHeight="1" x14ac:dyDescent="0.4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" customHeight="1" x14ac:dyDescent="0.4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" customHeight="1" x14ac:dyDescent="0.4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" customHeight="1" x14ac:dyDescent="0.4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" customHeight="1" x14ac:dyDescent="0.4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" customHeight="1" x14ac:dyDescent="0.4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" customHeight="1" x14ac:dyDescent="0.4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" customHeight="1" x14ac:dyDescent="0.4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" customHeight="1" x14ac:dyDescent="0.4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" customHeight="1" x14ac:dyDescent="0.4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" customHeight="1" x14ac:dyDescent="0.4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" customHeight="1" x14ac:dyDescent="0.4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" customHeight="1" x14ac:dyDescent="0.4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" customHeight="1" x14ac:dyDescent="0.4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" customHeight="1" x14ac:dyDescent="0.4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" customHeight="1" x14ac:dyDescent="0.4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" customHeight="1" x14ac:dyDescent="0.4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" customHeight="1" x14ac:dyDescent="0.4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" customHeight="1" x14ac:dyDescent="0.4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" customHeight="1" x14ac:dyDescent="0.4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" customHeight="1" x14ac:dyDescent="0.4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" customHeight="1" x14ac:dyDescent="0.4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" customHeight="1" x14ac:dyDescent="0.4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" customHeight="1" x14ac:dyDescent="0.4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" customHeight="1" x14ac:dyDescent="0.4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" customHeight="1" x14ac:dyDescent="0.4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" customHeight="1" x14ac:dyDescent="0.4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" customHeight="1" x14ac:dyDescent="0.4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" customHeight="1" x14ac:dyDescent="0.4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" customHeight="1" x14ac:dyDescent="0.4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" customHeight="1" x14ac:dyDescent="0.4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" customHeight="1" x14ac:dyDescent="0.4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" customHeight="1" x14ac:dyDescent="0.4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" customHeight="1" x14ac:dyDescent="0.4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" customHeight="1" x14ac:dyDescent="0.4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" customHeight="1" x14ac:dyDescent="0.4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" customHeight="1" x14ac:dyDescent="0.4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" customHeight="1" x14ac:dyDescent="0.4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" customHeight="1" x14ac:dyDescent="0.4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" customHeight="1" x14ac:dyDescent="0.4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" customHeight="1" x14ac:dyDescent="0.4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" customHeight="1" x14ac:dyDescent="0.4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" customHeight="1" x14ac:dyDescent="0.4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" customHeight="1" x14ac:dyDescent="0.4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" customHeight="1" x14ac:dyDescent="0.4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" customHeight="1" x14ac:dyDescent="0.4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" customHeight="1" x14ac:dyDescent="0.4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" customHeight="1" x14ac:dyDescent="0.4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" customHeight="1" x14ac:dyDescent="0.4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" customHeight="1" x14ac:dyDescent="0.4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" customHeight="1" x14ac:dyDescent="0.4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" customHeight="1" x14ac:dyDescent="0.4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" customHeight="1" x14ac:dyDescent="0.4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" customHeight="1" x14ac:dyDescent="0.4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" customHeight="1" x14ac:dyDescent="0.4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" customHeight="1" x14ac:dyDescent="0.4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" customHeight="1" x14ac:dyDescent="0.4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" customHeight="1" x14ac:dyDescent="0.4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" customHeight="1" x14ac:dyDescent="0.4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" customHeight="1" x14ac:dyDescent="0.4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" customHeight="1" x14ac:dyDescent="0.4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" customHeight="1" x14ac:dyDescent="0.4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" customHeight="1" x14ac:dyDescent="0.4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" customHeight="1" x14ac:dyDescent="0.4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" customHeight="1" x14ac:dyDescent="0.4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" customHeight="1" x14ac:dyDescent="0.4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" customHeight="1" x14ac:dyDescent="0.4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" customHeight="1" x14ac:dyDescent="0.4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" customHeight="1" x14ac:dyDescent="0.4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" customHeight="1" x14ac:dyDescent="0.4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" customHeight="1" x14ac:dyDescent="0.4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" customHeight="1" x14ac:dyDescent="0.4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" customHeight="1" x14ac:dyDescent="0.4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" customHeight="1" x14ac:dyDescent="0.4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" customHeight="1" x14ac:dyDescent="0.4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" customHeight="1" x14ac:dyDescent="0.4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" customHeight="1" x14ac:dyDescent="0.4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" customHeight="1" x14ac:dyDescent="0.4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" customHeight="1" x14ac:dyDescent="0.4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" customHeight="1" x14ac:dyDescent="0.4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" customHeight="1" x14ac:dyDescent="0.4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" customHeight="1" x14ac:dyDescent="0.4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" customHeight="1" x14ac:dyDescent="0.4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" customHeight="1" x14ac:dyDescent="0.4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" customHeight="1" x14ac:dyDescent="0.4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" customHeight="1" x14ac:dyDescent="0.4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" customHeight="1" x14ac:dyDescent="0.4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" customHeight="1" x14ac:dyDescent="0.4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" customHeight="1" x14ac:dyDescent="0.4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" customHeight="1" x14ac:dyDescent="0.4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" customHeight="1" x14ac:dyDescent="0.4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" customHeight="1" x14ac:dyDescent="0.4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" customHeight="1" x14ac:dyDescent="0.4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" customHeight="1" x14ac:dyDescent="0.4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" customHeight="1" x14ac:dyDescent="0.4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" customHeight="1" x14ac:dyDescent="0.4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" customHeight="1" x14ac:dyDescent="0.4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" customHeight="1" x14ac:dyDescent="0.4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" customHeight="1" x14ac:dyDescent="0.4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" customHeight="1" x14ac:dyDescent="0.4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" customHeight="1" x14ac:dyDescent="0.4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" customHeight="1" x14ac:dyDescent="0.4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" customHeight="1" x14ac:dyDescent="0.4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" customHeight="1" x14ac:dyDescent="0.4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" customHeight="1" x14ac:dyDescent="0.4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" customHeight="1" x14ac:dyDescent="0.4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" customHeight="1" x14ac:dyDescent="0.4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" customHeight="1" x14ac:dyDescent="0.4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" customHeight="1" x14ac:dyDescent="0.4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" customHeight="1" x14ac:dyDescent="0.4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" customHeight="1" x14ac:dyDescent="0.4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" customHeight="1" x14ac:dyDescent="0.4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" customHeight="1" x14ac:dyDescent="0.4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" customHeight="1" x14ac:dyDescent="0.4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" customHeight="1" x14ac:dyDescent="0.4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" customHeight="1" x14ac:dyDescent="0.4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" customHeight="1" x14ac:dyDescent="0.4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" customHeight="1" x14ac:dyDescent="0.4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" customHeight="1" x14ac:dyDescent="0.4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" customHeight="1" x14ac:dyDescent="0.4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" customHeight="1" x14ac:dyDescent="0.4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" customHeight="1" x14ac:dyDescent="0.4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" customHeight="1" x14ac:dyDescent="0.4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" customHeight="1" x14ac:dyDescent="0.4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" customHeight="1" x14ac:dyDescent="0.4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" customHeight="1" x14ac:dyDescent="0.4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" customHeight="1" x14ac:dyDescent="0.4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" customHeight="1" x14ac:dyDescent="0.4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" customHeight="1" x14ac:dyDescent="0.4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" customHeight="1" x14ac:dyDescent="0.4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" customHeight="1" x14ac:dyDescent="0.4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" customHeight="1" x14ac:dyDescent="0.4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" customHeight="1" x14ac:dyDescent="0.4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" customHeight="1" x14ac:dyDescent="0.4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" customHeight="1" x14ac:dyDescent="0.4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" customHeight="1" x14ac:dyDescent="0.4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" customHeight="1" x14ac:dyDescent="0.4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" customHeight="1" x14ac:dyDescent="0.4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" customHeight="1" x14ac:dyDescent="0.4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" customHeight="1" x14ac:dyDescent="0.4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" customHeight="1" x14ac:dyDescent="0.4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" customHeight="1" x14ac:dyDescent="0.4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" customHeight="1" x14ac:dyDescent="0.4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" customHeight="1" x14ac:dyDescent="0.4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" customHeight="1" x14ac:dyDescent="0.4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" customHeight="1" x14ac:dyDescent="0.4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" customHeight="1" x14ac:dyDescent="0.4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" customHeight="1" x14ac:dyDescent="0.4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" customHeight="1" x14ac:dyDescent="0.4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" customHeight="1" x14ac:dyDescent="0.4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" customHeight="1" x14ac:dyDescent="0.4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" customHeight="1" x14ac:dyDescent="0.4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" customHeight="1" x14ac:dyDescent="0.4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" customHeight="1" x14ac:dyDescent="0.4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" customHeight="1" x14ac:dyDescent="0.4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" customHeight="1" x14ac:dyDescent="0.4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" customHeight="1" x14ac:dyDescent="0.4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" customHeight="1" x14ac:dyDescent="0.4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" customHeight="1" x14ac:dyDescent="0.4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" customHeight="1" x14ac:dyDescent="0.4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" customHeight="1" x14ac:dyDescent="0.4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" customHeight="1" x14ac:dyDescent="0.4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" customHeight="1" x14ac:dyDescent="0.4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" customHeight="1" x14ac:dyDescent="0.4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" customHeight="1" x14ac:dyDescent="0.4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" customHeight="1" x14ac:dyDescent="0.4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" customHeight="1" x14ac:dyDescent="0.4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" customHeight="1" x14ac:dyDescent="0.4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" customHeight="1" x14ac:dyDescent="0.4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" customHeight="1" x14ac:dyDescent="0.4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" customHeight="1" x14ac:dyDescent="0.4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" customHeight="1" x14ac:dyDescent="0.4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" customHeight="1" x14ac:dyDescent="0.4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" customHeight="1" x14ac:dyDescent="0.4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" customHeight="1" x14ac:dyDescent="0.4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" customHeight="1" x14ac:dyDescent="0.4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" customHeight="1" x14ac:dyDescent="0.4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" customHeight="1" x14ac:dyDescent="0.4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" customHeight="1" x14ac:dyDescent="0.4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" customHeight="1" x14ac:dyDescent="0.4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" customHeight="1" x14ac:dyDescent="0.4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" customHeight="1" x14ac:dyDescent="0.4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" customHeight="1" x14ac:dyDescent="0.4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" customHeight="1" x14ac:dyDescent="0.4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" customHeight="1" x14ac:dyDescent="0.4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" customHeight="1" x14ac:dyDescent="0.4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" customHeight="1" x14ac:dyDescent="0.4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" customHeight="1" x14ac:dyDescent="0.4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" customHeight="1" x14ac:dyDescent="0.4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" customHeight="1" x14ac:dyDescent="0.4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" customHeight="1" x14ac:dyDescent="0.4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" customHeight="1" x14ac:dyDescent="0.4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" customHeight="1" x14ac:dyDescent="0.4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" customHeight="1" x14ac:dyDescent="0.4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" customHeight="1" x14ac:dyDescent="0.4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" customHeight="1" x14ac:dyDescent="0.4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" customHeight="1" x14ac:dyDescent="0.4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" customHeight="1" x14ac:dyDescent="0.4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" customHeight="1" x14ac:dyDescent="0.4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" customHeight="1" x14ac:dyDescent="0.4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" customHeight="1" x14ac:dyDescent="0.4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" customHeight="1" x14ac:dyDescent="0.4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" customHeight="1" x14ac:dyDescent="0.4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" customHeight="1" x14ac:dyDescent="0.4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" customHeight="1" x14ac:dyDescent="0.4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" customHeight="1" x14ac:dyDescent="0.4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" customHeight="1" x14ac:dyDescent="0.4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" customHeight="1" x14ac:dyDescent="0.4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" customHeight="1" x14ac:dyDescent="0.4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" customHeight="1" x14ac:dyDescent="0.4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" customHeight="1" x14ac:dyDescent="0.4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" customHeight="1" x14ac:dyDescent="0.4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" customHeight="1" x14ac:dyDescent="0.4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" customHeight="1" x14ac:dyDescent="0.4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" customHeight="1" x14ac:dyDescent="0.4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" customHeight="1" x14ac:dyDescent="0.4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" customHeight="1" x14ac:dyDescent="0.4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" customHeight="1" x14ac:dyDescent="0.4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" customHeight="1" x14ac:dyDescent="0.4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" customHeight="1" x14ac:dyDescent="0.4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" customHeight="1" x14ac:dyDescent="0.4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" customHeight="1" x14ac:dyDescent="0.4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" customHeight="1" x14ac:dyDescent="0.4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" customHeight="1" x14ac:dyDescent="0.4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" customHeight="1" x14ac:dyDescent="0.4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" customHeight="1" x14ac:dyDescent="0.4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" customHeight="1" x14ac:dyDescent="0.4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" customHeight="1" x14ac:dyDescent="0.4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" customHeight="1" x14ac:dyDescent="0.4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" customHeight="1" x14ac:dyDescent="0.4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" customHeight="1" x14ac:dyDescent="0.4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" customHeight="1" x14ac:dyDescent="0.4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" customHeight="1" x14ac:dyDescent="0.4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" customHeight="1" x14ac:dyDescent="0.4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" customHeight="1" x14ac:dyDescent="0.4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" customHeight="1" x14ac:dyDescent="0.4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" customHeight="1" x14ac:dyDescent="0.4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" customHeight="1" x14ac:dyDescent="0.4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" customHeight="1" x14ac:dyDescent="0.4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" customHeight="1" x14ac:dyDescent="0.4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" customHeight="1" x14ac:dyDescent="0.4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" customHeight="1" x14ac:dyDescent="0.4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" customHeight="1" x14ac:dyDescent="0.4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" customHeight="1" x14ac:dyDescent="0.4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" customHeight="1" x14ac:dyDescent="0.4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" customHeight="1" x14ac:dyDescent="0.4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" customHeight="1" x14ac:dyDescent="0.4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" customHeight="1" x14ac:dyDescent="0.4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" customHeight="1" x14ac:dyDescent="0.4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" customHeight="1" x14ac:dyDescent="0.4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" customHeight="1" x14ac:dyDescent="0.4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" customHeight="1" x14ac:dyDescent="0.4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" customHeight="1" x14ac:dyDescent="0.4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" customHeight="1" x14ac:dyDescent="0.4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" customHeight="1" x14ac:dyDescent="0.4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" customHeight="1" x14ac:dyDescent="0.4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" customHeight="1" x14ac:dyDescent="0.4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" customHeight="1" x14ac:dyDescent="0.4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" customHeight="1" x14ac:dyDescent="0.4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" customHeight="1" x14ac:dyDescent="0.4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" customHeight="1" x14ac:dyDescent="0.4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" customHeight="1" x14ac:dyDescent="0.4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" customHeight="1" x14ac:dyDescent="0.4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" customHeight="1" x14ac:dyDescent="0.4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" customHeight="1" x14ac:dyDescent="0.4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" customHeight="1" x14ac:dyDescent="0.4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" customHeight="1" x14ac:dyDescent="0.4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" customHeight="1" x14ac:dyDescent="0.4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" customHeight="1" x14ac:dyDescent="0.4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" customHeight="1" x14ac:dyDescent="0.4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" customHeight="1" x14ac:dyDescent="0.4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" customHeight="1" x14ac:dyDescent="0.4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" customHeight="1" x14ac:dyDescent="0.4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" customHeight="1" x14ac:dyDescent="0.4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" customHeight="1" x14ac:dyDescent="0.4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" customHeight="1" x14ac:dyDescent="0.4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" customHeight="1" x14ac:dyDescent="0.4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" customHeight="1" x14ac:dyDescent="0.4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" customHeight="1" x14ac:dyDescent="0.4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" customHeight="1" x14ac:dyDescent="0.4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" customHeight="1" x14ac:dyDescent="0.4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" customHeight="1" x14ac:dyDescent="0.4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" customHeight="1" x14ac:dyDescent="0.4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" customHeight="1" x14ac:dyDescent="0.4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" customHeight="1" x14ac:dyDescent="0.4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" customHeight="1" x14ac:dyDescent="0.4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" customHeight="1" x14ac:dyDescent="0.4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" customHeight="1" x14ac:dyDescent="0.4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" customHeight="1" x14ac:dyDescent="0.4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" customHeight="1" x14ac:dyDescent="0.4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" customHeight="1" x14ac:dyDescent="0.4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" customHeight="1" x14ac:dyDescent="0.4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" customHeight="1" x14ac:dyDescent="0.4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" customHeight="1" x14ac:dyDescent="0.4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" customHeight="1" x14ac:dyDescent="0.4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" customHeight="1" x14ac:dyDescent="0.4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" customHeight="1" x14ac:dyDescent="0.4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" customHeight="1" x14ac:dyDescent="0.4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" customHeight="1" x14ac:dyDescent="0.4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" customHeight="1" x14ac:dyDescent="0.4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" customHeight="1" x14ac:dyDescent="0.4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" customHeight="1" x14ac:dyDescent="0.4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" customHeight="1" x14ac:dyDescent="0.4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" customHeight="1" x14ac:dyDescent="0.4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" customHeight="1" x14ac:dyDescent="0.4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" customHeight="1" x14ac:dyDescent="0.4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" customHeight="1" x14ac:dyDescent="0.4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" customHeight="1" x14ac:dyDescent="0.4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" customHeight="1" x14ac:dyDescent="0.4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" customHeight="1" x14ac:dyDescent="0.4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" customHeight="1" x14ac:dyDescent="0.4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" customHeight="1" x14ac:dyDescent="0.4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" customHeight="1" x14ac:dyDescent="0.4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" customHeight="1" x14ac:dyDescent="0.4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" customHeight="1" x14ac:dyDescent="0.4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" customHeight="1" x14ac:dyDescent="0.4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" customHeight="1" x14ac:dyDescent="0.4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" customHeight="1" x14ac:dyDescent="0.4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" customHeight="1" x14ac:dyDescent="0.4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" customHeight="1" x14ac:dyDescent="0.4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" customHeight="1" x14ac:dyDescent="0.4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" customHeight="1" x14ac:dyDescent="0.4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" customHeight="1" x14ac:dyDescent="0.4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" customHeight="1" x14ac:dyDescent="0.4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" customHeight="1" x14ac:dyDescent="0.4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" customHeight="1" x14ac:dyDescent="0.4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" customHeight="1" x14ac:dyDescent="0.4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" customHeight="1" x14ac:dyDescent="0.4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" customHeight="1" x14ac:dyDescent="0.4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" customHeight="1" x14ac:dyDescent="0.4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" customHeight="1" x14ac:dyDescent="0.4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" customHeight="1" x14ac:dyDescent="0.4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" customHeight="1" x14ac:dyDescent="0.4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" customHeight="1" x14ac:dyDescent="0.4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" customHeight="1" x14ac:dyDescent="0.4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" customHeight="1" x14ac:dyDescent="0.4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" customHeight="1" x14ac:dyDescent="0.4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" customHeight="1" x14ac:dyDescent="0.4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" customHeight="1" x14ac:dyDescent="0.4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" customHeight="1" x14ac:dyDescent="0.4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" customHeight="1" x14ac:dyDescent="0.4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" customHeight="1" x14ac:dyDescent="0.4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" customHeight="1" x14ac:dyDescent="0.4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" customHeight="1" x14ac:dyDescent="0.4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" customHeight="1" x14ac:dyDescent="0.4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" customHeight="1" x14ac:dyDescent="0.4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" customHeight="1" x14ac:dyDescent="0.4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" customHeight="1" x14ac:dyDescent="0.4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" customHeight="1" x14ac:dyDescent="0.4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" customHeight="1" x14ac:dyDescent="0.4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" customHeight="1" x14ac:dyDescent="0.4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" customHeight="1" x14ac:dyDescent="0.4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" customHeight="1" x14ac:dyDescent="0.4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" customHeight="1" x14ac:dyDescent="0.4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" customHeight="1" x14ac:dyDescent="0.4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" customHeight="1" x14ac:dyDescent="0.4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" customHeight="1" x14ac:dyDescent="0.4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" customHeight="1" x14ac:dyDescent="0.4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" customHeight="1" x14ac:dyDescent="0.4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" customHeight="1" x14ac:dyDescent="0.4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" customHeight="1" x14ac:dyDescent="0.4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" customHeight="1" x14ac:dyDescent="0.4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" customHeight="1" x14ac:dyDescent="0.4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" customHeight="1" x14ac:dyDescent="0.4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" customHeight="1" x14ac:dyDescent="0.4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" customHeight="1" x14ac:dyDescent="0.4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" customHeight="1" x14ac:dyDescent="0.4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" customHeight="1" x14ac:dyDescent="0.4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" customHeight="1" x14ac:dyDescent="0.4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" customHeight="1" x14ac:dyDescent="0.4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" customHeight="1" x14ac:dyDescent="0.4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" customHeight="1" x14ac:dyDescent="0.4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" customHeight="1" x14ac:dyDescent="0.4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" customHeight="1" x14ac:dyDescent="0.4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" customHeight="1" x14ac:dyDescent="0.4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" customHeight="1" x14ac:dyDescent="0.4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" customHeight="1" x14ac:dyDescent="0.4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" customHeight="1" x14ac:dyDescent="0.4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" customHeight="1" x14ac:dyDescent="0.4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" customHeight="1" x14ac:dyDescent="0.4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" customHeight="1" x14ac:dyDescent="0.4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" customHeight="1" x14ac:dyDescent="0.4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" customHeight="1" x14ac:dyDescent="0.4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" customHeight="1" x14ac:dyDescent="0.4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" customHeight="1" x14ac:dyDescent="0.4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" customHeight="1" x14ac:dyDescent="0.4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" customHeight="1" x14ac:dyDescent="0.4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" customHeight="1" x14ac:dyDescent="0.4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" customHeight="1" x14ac:dyDescent="0.4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" customHeight="1" x14ac:dyDescent="0.4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" customHeight="1" x14ac:dyDescent="0.4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" customHeight="1" x14ac:dyDescent="0.4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" customHeight="1" x14ac:dyDescent="0.4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" customHeight="1" x14ac:dyDescent="0.4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" customHeight="1" x14ac:dyDescent="0.4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" customHeight="1" x14ac:dyDescent="0.4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" customHeight="1" x14ac:dyDescent="0.4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" customHeight="1" x14ac:dyDescent="0.4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" customHeight="1" x14ac:dyDescent="0.4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" customHeight="1" x14ac:dyDescent="0.4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" customHeight="1" x14ac:dyDescent="0.4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" customHeight="1" x14ac:dyDescent="0.4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" customHeight="1" x14ac:dyDescent="0.4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" customHeight="1" x14ac:dyDescent="0.4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" customHeight="1" x14ac:dyDescent="0.4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" customHeight="1" x14ac:dyDescent="0.4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" customHeight="1" x14ac:dyDescent="0.4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" customHeight="1" x14ac:dyDescent="0.4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" customHeight="1" x14ac:dyDescent="0.4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" customHeight="1" x14ac:dyDescent="0.4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" customHeight="1" x14ac:dyDescent="0.4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" customHeight="1" x14ac:dyDescent="0.4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" customHeight="1" x14ac:dyDescent="0.4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" customHeight="1" x14ac:dyDescent="0.4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" customHeight="1" x14ac:dyDescent="0.4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" customHeight="1" x14ac:dyDescent="0.4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" customHeight="1" x14ac:dyDescent="0.4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" customHeight="1" x14ac:dyDescent="0.4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" customHeight="1" x14ac:dyDescent="0.4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" customHeight="1" x14ac:dyDescent="0.4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" customHeight="1" x14ac:dyDescent="0.4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" customHeight="1" x14ac:dyDescent="0.4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" customHeight="1" x14ac:dyDescent="0.4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" customHeight="1" x14ac:dyDescent="0.4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" customHeight="1" x14ac:dyDescent="0.4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" customHeight="1" x14ac:dyDescent="0.4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" customHeight="1" x14ac:dyDescent="0.4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" customHeight="1" x14ac:dyDescent="0.4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" customHeight="1" x14ac:dyDescent="0.4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" customHeight="1" x14ac:dyDescent="0.4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" customHeight="1" x14ac:dyDescent="0.4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" customHeight="1" x14ac:dyDescent="0.4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" customHeight="1" x14ac:dyDescent="0.4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" customHeight="1" x14ac:dyDescent="0.4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" customHeight="1" x14ac:dyDescent="0.4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" customHeight="1" x14ac:dyDescent="0.4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" customHeight="1" x14ac:dyDescent="0.4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" customHeight="1" x14ac:dyDescent="0.4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" customHeight="1" x14ac:dyDescent="0.4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" customHeight="1" x14ac:dyDescent="0.4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" customHeight="1" x14ac:dyDescent="0.4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" customHeight="1" x14ac:dyDescent="0.4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" customHeight="1" x14ac:dyDescent="0.4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" customHeight="1" x14ac:dyDescent="0.4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" customHeight="1" x14ac:dyDescent="0.4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" customHeight="1" x14ac:dyDescent="0.4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" customHeight="1" x14ac:dyDescent="0.4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" customHeight="1" x14ac:dyDescent="0.4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" customHeight="1" x14ac:dyDescent="0.4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" customHeight="1" x14ac:dyDescent="0.4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" customHeight="1" x14ac:dyDescent="0.4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" customHeight="1" x14ac:dyDescent="0.4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" customHeight="1" x14ac:dyDescent="0.4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" customHeight="1" x14ac:dyDescent="0.4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" customHeight="1" x14ac:dyDescent="0.4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" customHeight="1" x14ac:dyDescent="0.4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" customHeight="1" x14ac:dyDescent="0.4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" customHeight="1" x14ac:dyDescent="0.4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" customHeight="1" x14ac:dyDescent="0.4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" customHeight="1" x14ac:dyDescent="0.4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" customHeight="1" x14ac:dyDescent="0.4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" customHeight="1" x14ac:dyDescent="0.4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" customHeight="1" x14ac:dyDescent="0.4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" customHeight="1" x14ac:dyDescent="0.4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" customHeight="1" x14ac:dyDescent="0.4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" customHeight="1" x14ac:dyDescent="0.4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" customHeight="1" x14ac:dyDescent="0.4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" customHeight="1" x14ac:dyDescent="0.4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" customHeight="1" x14ac:dyDescent="0.4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" customHeight="1" x14ac:dyDescent="0.4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" customHeight="1" x14ac:dyDescent="0.4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" customHeight="1" x14ac:dyDescent="0.4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" customHeight="1" x14ac:dyDescent="0.4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" customHeight="1" x14ac:dyDescent="0.4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" customHeight="1" x14ac:dyDescent="0.4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" customHeight="1" x14ac:dyDescent="0.4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" customHeight="1" x14ac:dyDescent="0.4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" customHeight="1" x14ac:dyDescent="0.4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" customHeight="1" x14ac:dyDescent="0.4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" customHeight="1" x14ac:dyDescent="0.4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" customHeight="1" x14ac:dyDescent="0.4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" customHeight="1" x14ac:dyDescent="0.4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" customHeight="1" x14ac:dyDescent="0.4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" customHeight="1" x14ac:dyDescent="0.4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" customHeight="1" x14ac:dyDescent="0.4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" customHeight="1" x14ac:dyDescent="0.4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" customHeight="1" x14ac:dyDescent="0.4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" customHeight="1" x14ac:dyDescent="0.4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" customHeight="1" x14ac:dyDescent="0.4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" customHeight="1" x14ac:dyDescent="0.4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" customHeight="1" x14ac:dyDescent="0.4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" customHeight="1" x14ac:dyDescent="0.4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" customHeight="1" x14ac:dyDescent="0.4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" customHeight="1" x14ac:dyDescent="0.4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" customHeight="1" x14ac:dyDescent="0.4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" customHeight="1" x14ac:dyDescent="0.4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" customHeight="1" x14ac:dyDescent="0.4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" customHeight="1" x14ac:dyDescent="0.4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" customHeight="1" x14ac:dyDescent="0.4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" customHeight="1" x14ac:dyDescent="0.4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" customHeight="1" x14ac:dyDescent="0.4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" customHeight="1" x14ac:dyDescent="0.4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" customHeight="1" x14ac:dyDescent="0.4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" customHeight="1" x14ac:dyDescent="0.4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" customHeight="1" x14ac:dyDescent="0.4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" customHeight="1" x14ac:dyDescent="0.4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" customHeight="1" x14ac:dyDescent="0.4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" customHeight="1" x14ac:dyDescent="0.4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" customHeight="1" x14ac:dyDescent="0.4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" customHeight="1" x14ac:dyDescent="0.4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" customHeight="1" x14ac:dyDescent="0.4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" customHeight="1" x14ac:dyDescent="0.4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" customHeight="1" x14ac:dyDescent="0.4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" customHeight="1" x14ac:dyDescent="0.4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" customHeight="1" x14ac:dyDescent="0.4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" customHeight="1" x14ac:dyDescent="0.4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" customHeight="1" x14ac:dyDescent="0.4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" customHeight="1" x14ac:dyDescent="0.4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" customHeight="1" x14ac:dyDescent="0.4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" customHeight="1" x14ac:dyDescent="0.4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" customHeight="1" x14ac:dyDescent="0.4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" customHeight="1" x14ac:dyDescent="0.4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" customHeight="1" x14ac:dyDescent="0.4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" customHeight="1" x14ac:dyDescent="0.4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" customHeight="1" x14ac:dyDescent="0.4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" customHeight="1" x14ac:dyDescent="0.4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" customHeight="1" x14ac:dyDescent="0.4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" customHeight="1" x14ac:dyDescent="0.4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" customHeight="1" x14ac:dyDescent="0.4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" customHeight="1" x14ac:dyDescent="0.4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" customHeight="1" x14ac:dyDescent="0.4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" customHeight="1" x14ac:dyDescent="0.4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" customHeight="1" x14ac:dyDescent="0.4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" customHeight="1" x14ac:dyDescent="0.4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" customHeight="1" x14ac:dyDescent="0.4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" customHeight="1" x14ac:dyDescent="0.4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" customHeight="1" x14ac:dyDescent="0.4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" customHeight="1" x14ac:dyDescent="0.4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" customHeight="1" x14ac:dyDescent="0.4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" customHeight="1" x14ac:dyDescent="0.4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" customHeight="1" x14ac:dyDescent="0.4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" customHeight="1" x14ac:dyDescent="0.4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" customHeight="1" x14ac:dyDescent="0.4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" customHeight="1" x14ac:dyDescent="0.4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" customHeight="1" x14ac:dyDescent="0.4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" customHeight="1" x14ac:dyDescent="0.4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" customHeight="1" x14ac:dyDescent="0.4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" customHeight="1" x14ac:dyDescent="0.4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" customHeight="1" x14ac:dyDescent="0.4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" customHeight="1" x14ac:dyDescent="0.4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" customHeight="1" x14ac:dyDescent="0.4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" customHeight="1" x14ac:dyDescent="0.4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" customHeight="1" x14ac:dyDescent="0.4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" customHeight="1" x14ac:dyDescent="0.4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" customHeight="1" x14ac:dyDescent="0.4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" customHeight="1" x14ac:dyDescent="0.4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" customHeight="1" x14ac:dyDescent="0.4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" customHeight="1" x14ac:dyDescent="0.4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" customHeight="1" x14ac:dyDescent="0.4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" customHeight="1" x14ac:dyDescent="0.4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" customHeight="1" x14ac:dyDescent="0.4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" customHeight="1" x14ac:dyDescent="0.4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" customHeight="1" x14ac:dyDescent="0.4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" customHeight="1" x14ac:dyDescent="0.4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" customHeight="1" x14ac:dyDescent="0.4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" customHeight="1" x14ac:dyDescent="0.4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" customHeight="1" x14ac:dyDescent="0.4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" customHeight="1" x14ac:dyDescent="0.4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" customHeight="1" x14ac:dyDescent="0.4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" customHeight="1" x14ac:dyDescent="0.4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" customHeight="1" x14ac:dyDescent="0.4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" customHeight="1" x14ac:dyDescent="0.4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" customHeight="1" x14ac:dyDescent="0.4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" customHeight="1" x14ac:dyDescent="0.4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" customHeight="1" x14ac:dyDescent="0.4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" customHeight="1" x14ac:dyDescent="0.4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" customHeight="1" x14ac:dyDescent="0.4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" customHeight="1" x14ac:dyDescent="0.4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" customHeight="1" x14ac:dyDescent="0.4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" customHeight="1" x14ac:dyDescent="0.4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" customHeight="1" x14ac:dyDescent="0.4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" customHeight="1" x14ac:dyDescent="0.4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" customHeight="1" x14ac:dyDescent="0.4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" customHeight="1" x14ac:dyDescent="0.4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" customHeight="1" x14ac:dyDescent="0.4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" customHeight="1" x14ac:dyDescent="0.4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" customHeight="1" x14ac:dyDescent="0.4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" customHeight="1" x14ac:dyDescent="0.4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" customHeight="1" x14ac:dyDescent="0.4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" customHeight="1" x14ac:dyDescent="0.4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" customHeight="1" x14ac:dyDescent="0.4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" customHeight="1" x14ac:dyDescent="0.4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" customHeight="1" x14ac:dyDescent="0.4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" customHeight="1" x14ac:dyDescent="0.4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" customHeight="1" x14ac:dyDescent="0.4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" customHeight="1" x14ac:dyDescent="0.4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" customHeight="1" x14ac:dyDescent="0.4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" customHeight="1" x14ac:dyDescent="0.4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" customHeight="1" x14ac:dyDescent="0.4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" customHeight="1" x14ac:dyDescent="0.4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" customHeight="1" x14ac:dyDescent="0.4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" customHeight="1" x14ac:dyDescent="0.4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" customHeight="1" x14ac:dyDescent="0.4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" customHeight="1" x14ac:dyDescent="0.4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" customHeight="1" x14ac:dyDescent="0.4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" customHeight="1" x14ac:dyDescent="0.4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" customHeight="1" x14ac:dyDescent="0.4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" customHeight="1" x14ac:dyDescent="0.4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" customHeight="1" x14ac:dyDescent="0.4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" customHeight="1" x14ac:dyDescent="0.4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" customHeight="1" x14ac:dyDescent="0.4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" customHeight="1" x14ac:dyDescent="0.4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" customHeight="1" x14ac:dyDescent="0.4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" customHeight="1" x14ac:dyDescent="0.4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" customHeight="1" x14ac:dyDescent="0.4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" customHeight="1" x14ac:dyDescent="0.4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" customHeight="1" x14ac:dyDescent="0.4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" customHeight="1" x14ac:dyDescent="0.4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" customHeight="1" x14ac:dyDescent="0.4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" customHeight="1" x14ac:dyDescent="0.4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" customHeight="1" x14ac:dyDescent="0.4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" customHeight="1" x14ac:dyDescent="0.4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" customHeight="1" x14ac:dyDescent="0.4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" customHeight="1" x14ac:dyDescent="0.4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" customHeight="1" x14ac:dyDescent="0.4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" customHeight="1" x14ac:dyDescent="0.4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" customHeight="1" x14ac:dyDescent="0.4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" customHeight="1" x14ac:dyDescent="0.4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" customHeight="1" x14ac:dyDescent="0.4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" customHeight="1" x14ac:dyDescent="0.4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" customHeight="1" x14ac:dyDescent="0.4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" customHeight="1" x14ac:dyDescent="0.4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" customHeight="1" x14ac:dyDescent="0.4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" customHeight="1" x14ac:dyDescent="0.4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" customHeight="1" x14ac:dyDescent="0.4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" customHeight="1" x14ac:dyDescent="0.4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" customHeight="1" x14ac:dyDescent="0.4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" customHeight="1" x14ac:dyDescent="0.4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" customHeight="1" x14ac:dyDescent="0.4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" customHeight="1" x14ac:dyDescent="0.4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" customHeight="1" x14ac:dyDescent="0.4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" customHeight="1" x14ac:dyDescent="0.4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" customHeight="1" x14ac:dyDescent="0.4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" customHeight="1" x14ac:dyDescent="0.4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" customHeight="1" x14ac:dyDescent="0.4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" customHeight="1" x14ac:dyDescent="0.4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" customHeight="1" x14ac:dyDescent="0.4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" customHeight="1" x14ac:dyDescent="0.4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" customHeight="1" x14ac:dyDescent="0.4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" customHeight="1" x14ac:dyDescent="0.4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" customHeight="1" x14ac:dyDescent="0.4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" customHeight="1" x14ac:dyDescent="0.4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" customHeight="1" x14ac:dyDescent="0.4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" customHeight="1" x14ac:dyDescent="0.4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" customHeight="1" x14ac:dyDescent="0.4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" customHeight="1" x14ac:dyDescent="0.4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" customHeight="1" x14ac:dyDescent="0.4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" customHeight="1" x14ac:dyDescent="0.4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" customHeight="1" x14ac:dyDescent="0.4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" customHeight="1" x14ac:dyDescent="0.4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" customHeight="1" x14ac:dyDescent="0.4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" customHeight="1" x14ac:dyDescent="0.4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" customHeight="1" x14ac:dyDescent="0.4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" customHeight="1" x14ac:dyDescent="0.4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" customHeight="1" x14ac:dyDescent="0.4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" customHeight="1" x14ac:dyDescent="0.4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" customHeight="1" x14ac:dyDescent="0.4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" customHeight="1" x14ac:dyDescent="0.4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" customHeight="1" x14ac:dyDescent="0.4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" customHeight="1" x14ac:dyDescent="0.4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" customHeight="1" x14ac:dyDescent="0.4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" customHeight="1" x14ac:dyDescent="0.4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" customHeight="1" x14ac:dyDescent="0.4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" customHeight="1" x14ac:dyDescent="0.4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" customHeight="1" x14ac:dyDescent="0.4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" customHeight="1" x14ac:dyDescent="0.4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" customHeight="1" x14ac:dyDescent="0.4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" customHeight="1" x14ac:dyDescent="0.4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" customHeight="1" x14ac:dyDescent="0.4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" customHeight="1" x14ac:dyDescent="0.4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" customHeight="1" x14ac:dyDescent="0.4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" customHeight="1" x14ac:dyDescent="0.4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" customHeight="1" x14ac:dyDescent="0.4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" customHeight="1" x14ac:dyDescent="0.4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" customHeight="1" x14ac:dyDescent="0.4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" customHeight="1" x14ac:dyDescent="0.4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" customHeight="1" x14ac:dyDescent="0.4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" customHeight="1" x14ac:dyDescent="0.4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" customHeight="1" x14ac:dyDescent="0.4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" customHeight="1" x14ac:dyDescent="0.4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" customHeight="1" x14ac:dyDescent="0.4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" customHeight="1" x14ac:dyDescent="0.4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" customHeight="1" x14ac:dyDescent="0.4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" customHeight="1" x14ac:dyDescent="0.4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" customHeight="1" x14ac:dyDescent="0.4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" customHeight="1" x14ac:dyDescent="0.4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" customHeight="1" x14ac:dyDescent="0.4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" customHeight="1" x14ac:dyDescent="0.4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" customHeight="1" x14ac:dyDescent="0.4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" customHeight="1" x14ac:dyDescent="0.4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" customHeight="1" x14ac:dyDescent="0.4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" customHeight="1" x14ac:dyDescent="0.4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" customHeight="1" x14ac:dyDescent="0.4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" customHeight="1" x14ac:dyDescent="0.4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" customHeight="1" x14ac:dyDescent="0.4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" customHeight="1" x14ac:dyDescent="0.4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" customHeight="1" x14ac:dyDescent="0.4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" customHeight="1" x14ac:dyDescent="0.4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" customHeight="1" x14ac:dyDescent="0.4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" customHeight="1" x14ac:dyDescent="0.4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" customHeight="1" x14ac:dyDescent="0.4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" customHeight="1" x14ac:dyDescent="0.4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" customHeight="1" x14ac:dyDescent="0.4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" customHeight="1" x14ac:dyDescent="0.4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" customHeight="1" x14ac:dyDescent="0.4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" customHeight="1" x14ac:dyDescent="0.4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" customHeight="1" x14ac:dyDescent="0.4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" customHeight="1" x14ac:dyDescent="0.4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" customHeight="1" x14ac:dyDescent="0.4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" customHeight="1" x14ac:dyDescent="0.4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" customHeight="1" x14ac:dyDescent="0.4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" customHeight="1" x14ac:dyDescent="0.4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" customHeight="1" x14ac:dyDescent="0.4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" customHeight="1" x14ac:dyDescent="0.4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" customHeight="1" x14ac:dyDescent="0.4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" customHeight="1" x14ac:dyDescent="0.4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" customHeight="1" x14ac:dyDescent="0.4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" customHeight="1" x14ac:dyDescent="0.4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" customHeight="1" x14ac:dyDescent="0.4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" customHeight="1" x14ac:dyDescent="0.4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" customHeight="1" x14ac:dyDescent="0.4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" customHeight="1" x14ac:dyDescent="0.4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" customHeight="1" x14ac:dyDescent="0.4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" customHeight="1" x14ac:dyDescent="0.4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" customHeight="1" x14ac:dyDescent="0.4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" customHeight="1" x14ac:dyDescent="0.4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" customHeight="1" x14ac:dyDescent="0.4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" customHeight="1" x14ac:dyDescent="0.4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" customHeight="1" x14ac:dyDescent="0.4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" customHeight="1" x14ac:dyDescent="0.4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" customHeight="1" x14ac:dyDescent="0.4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" customHeight="1" x14ac:dyDescent="0.4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" customHeight="1" x14ac:dyDescent="0.4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" customHeight="1" x14ac:dyDescent="0.4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" customHeight="1" x14ac:dyDescent="0.4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" customHeight="1" x14ac:dyDescent="0.4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" customHeight="1" x14ac:dyDescent="0.4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" customHeight="1" x14ac:dyDescent="0.4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" customHeight="1" x14ac:dyDescent="0.4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" customHeight="1" x14ac:dyDescent="0.4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" customHeight="1" x14ac:dyDescent="0.4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" customHeight="1" x14ac:dyDescent="0.4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" customHeight="1" x14ac:dyDescent="0.4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" customHeight="1" x14ac:dyDescent="0.4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" customHeight="1" x14ac:dyDescent="0.4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" customHeight="1" x14ac:dyDescent="0.4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" customHeight="1" x14ac:dyDescent="0.4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" customHeight="1" x14ac:dyDescent="0.4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" customHeight="1" x14ac:dyDescent="0.4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" customHeight="1" x14ac:dyDescent="0.4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" customHeight="1" x14ac:dyDescent="0.4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" customHeight="1" x14ac:dyDescent="0.4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" customHeight="1" x14ac:dyDescent="0.4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" customHeight="1" x14ac:dyDescent="0.4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" customHeight="1" x14ac:dyDescent="0.4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" customHeight="1" x14ac:dyDescent="0.4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" customHeight="1" x14ac:dyDescent="0.4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" customHeight="1" x14ac:dyDescent="0.4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" customHeight="1" x14ac:dyDescent="0.4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" customHeight="1" x14ac:dyDescent="0.4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" customHeight="1" x14ac:dyDescent="0.4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" customHeight="1" x14ac:dyDescent="0.4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" customHeight="1" x14ac:dyDescent="0.4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" customHeight="1" x14ac:dyDescent="0.4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" customHeight="1" x14ac:dyDescent="0.4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" customHeight="1" x14ac:dyDescent="0.4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" customHeight="1" x14ac:dyDescent="0.4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" customHeight="1" x14ac:dyDescent="0.4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" customHeight="1" x14ac:dyDescent="0.4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" customHeight="1" x14ac:dyDescent="0.4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" customHeight="1" x14ac:dyDescent="0.4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" customHeight="1" x14ac:dyDescent="0.4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" customHeight="1" x14ac:dyDescent="0.4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" customHeight="1" x14ac:dyDescent="0.4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" customHeight="1" x14ac:dyDescent="0.4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" customHeight="1" x14ac:dyDescent="0.4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" customHeight="1" x14ac:dyDescent="0.4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" customHeight="1" x14ac:dyDescent="0.4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" customHeight="1" x14ac:dyDescent="0.4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" customHeight="1" x14ac:dyDescent="0.4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" customHeight="1" x14ac:dyDescent="0.4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" customHeight="1" x14ac:dyDescent="0.4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" customHeight="1" x14ac:dyDescent="0.4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" customHeight="1" x14ac:dyDescent="0.4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" customHeight="1" x14ac:dyDescent="0.4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" customHeight="1" x14ac:dyDescent="0.4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" customHeight="1" x14ac:dyDescent="0.4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" customHeight="1" x14ac:dyDescent="0.4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" customHeight="1" x14ac:dyDescent="0.4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" customHeight="1" x14ac:dyDescent="0.4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" customHeight="1" x14ac:dyDescent="0.4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" customHeight="1" x14ac:dyDescent="0.4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" customHeight="1" x14ac:dyDescent="0.4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" customHeight="1" x14ac:dyDescent="0.4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" customHeight="1" x14ac:dyDescent="0.4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" customHeight="1" x14ac:dyDescent="0.4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" customHeight="1" x14ac:dyDescent="0.4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" customHeight="1" x14ac:dyDescent="0.4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" customHeight="1" x14ac:dyDescent="0.4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" customHeight="1" x14ac:dyDescent="0.4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" customHeight="1" x14ac:dyDescent="0.4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" customHeight="1" x14ac:dyDescent="0.4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" customHeight="1" x14ac:dyDescent="0.4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" customHeight="1" x14ac:dyDescent="0.4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" customHeight="1" x14ac:dyDescent="0.4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" customHeight="1" x14ac:dyDescent="0.4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" customHeight="1" x14ac:dyDescent="0.4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" customHeight="1" x14ac:dyDescent="0.4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" customHeight="1" x14ac:dyDescent="0.4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" customHeight="1" x14ac:dyDescent="0.4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" customHeight="1" x14ac:dyDescent="0.4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" customHeight="1" x14ac:dyDescent="0.4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" customHeight="1" x14ac:dyDescent="0.4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" customHeight="1" x14ac:dyDescent="0.4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" customHeight="1" x14ac:dyDescent="0.4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" customHeight="1" x14ac:dyDescent="0.4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" customHeight="1" x14ac:dyDescent="0.4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" customHeight="1" x14ac:dyDescent="0.4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" customHeight="1" x14ac:dyDescent="0.4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" customHeight="1" x14ac:dyDescent="0.4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" customHeight="1" x14ac:dyDescent="0.4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" customHeight="1" x14ac:dyDescent="0.4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" customHeight="1" x14ac:dyDescent="0.4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" customHeight="1" x14ac:dyDescent="0.4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" customHeight="1" x14ac:dyDescent="0.4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" customHeight="1" x14ac:dyDescent="0.4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" customHeight="1" x14ac:dyDescent="0.4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" customHeight="1" x14ac:dyDescent="0.4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" customHeight="1" x14ac:dyDescent="0.4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" customHeight="1" x14ac:dyDescent="0.4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" customHeight="1" x14ac:dyDescent="0.4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" customHeight="1" x14ac:dyDescent="0.4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" customHeight="1" x14ac:dyDescent="0.4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" customHeight="1" x14ac:dyDescent="0.4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" customHeight="1" x14ac:dyDescent="0.4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" customHeight="1" x14ac:dyDescent="0.4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" customHeight="1" x14ac:dyDescent="0.4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" customHeight="1" x14ac:dyDescent="0.4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" customHeight="1" x14ac:dyDescent="0.4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" customHeight="1" x14ac:dyDescent="0.4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" customHeight="1" x14ac:dyDescent="0.4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" customHeight="1" x14ac:dyDescent="0.4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" customHeight="1" x14ac:dyDescent="0.4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" customHeight="1" x14ac:dyDescent="0.4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" customHeight="1" x14ac:dyDescent="0.4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" customHeight="1" x14ac:dyDescent="0.4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" customHeight="1" x14ac:dyDescent="0.4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" customHeight="1" x14ac:dyDescent="0.4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" customHeight="1" x14ac:dyDescent="0.4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" customHeight="1" x14ac:dyDescent="0.4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" customHeight="1" x14ac:dyDescent="0.4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" customHeight="1" x14ac:dyDescent="0.4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" customHeight="1" x14ac:dyDescent="0.4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" customHeight="1" x14ac:dyDescent="0.4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" customHeight="1" x14ac:dyDescent="0.4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" customHeight="1" x14ac:dyDescent="0.4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" customHeight="1" x14ac:dyDescent="0.4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" customHeight="1" x14ac:dyDescent="0.4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" customHeight="1" x14ac:dyDescent="0.4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" customHeight="1" x14ac:dyDescent="0.4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" customHeight="1" x14ac:dyDescent="0.4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" customHeight="1" x14ac:dyDescent="0.4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" customHeight="1" x14ac:dyDescent="0.4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" customHeight="1" x14ac:dyDescent="0.4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" customHeight="1" x14ac:dyDescent="0.4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" customHeight="1" x14ac:dyDescent="0.4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" customHeight="1" x14ac:dyDescent="0.4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" customHeight="1" x14ac:dyDescent="0.4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" customHeight="1" x14ac:dyDescent="0.4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" customHeight="1" x14ac:dyDescent="0.4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" customHeight="1" x14ac:dyDescent="0.4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" customHeight="1" x14ac:dyDescent="0.4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" customHeight="1" x14ac:dyDescent="0.4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" customHeight="1" x14ac:dyDescent="0.4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" customHeight="1" x14ac:dyDescent="0.4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" customHeight="1" x14ac:dyDescent="0.4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" customHeight="1" x14ac:dyDescent="0.4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" customHeight="1" x14ac:dyDescent="0.4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" customHeight="1" x14ac:dyDescent="0.4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" customHeight="1" x14ac:dyDescent="0.4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" customHeight="1" x14ac:dyDescent="0.4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" customHeight="1" x14ac:dyDescent="0.4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" customHeight="1" x14ac:dyDescent="0.4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" customHeight="1" x14ac:dyDescent="0.4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" customHeight="1" x14ac:dyDescent="0.4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" customHeight="1" x14ac:dyDescent="0.4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" customHeight="1" x14ac:dyDescent="0.4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" customHeight="1" x14ac:dyDescent="0.4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" customHeight="1" x14ac:dyDescent="0.4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" customHeight="1" x14ac:dyDescent="0.4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" customHeight="1" x14ac:dyDescent="0.4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" customHeight="1" x14ac:dyDescent="0.4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" customHeight="1" x14ac:dyDescent="0.4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" customHeight="1" x14ac:dyDescent="0.4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" customHeight="1" x14ac:dyDescent="0.4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" customHeight="1" x14ac:dyDescent="0.4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" customHeight="1" x14ac:dyDescent="0.4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" customHeight="1" x14ac:dyDescent="0.4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" customHeight="1" x14ac:dyDescent="0.4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" customHeight="1" x14ac:dyDescent="0.4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" customHeight="1" x14ac:dyDescent="0.4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" customHeight="1" x14ac:dyDescent="0.4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" customHeight="1" x14ac:dyDescent="0.4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" customHeight="1" x14ac:dyDescent="0.4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" customHeight="1" x14ac:dyDescent="0.4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" customHeight="1" x14ac:dyDescent="0.4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" customHeight="1" x14ac:dyDescent="0.4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" customHeight="1" x14ac:dyDescent="0.4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" customHeight="1" x14ac:dyDescent="0.4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" customHeight="1" x14ac:dyDescent="0.4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" customHeight="1" x14ac:dyDescent="0.4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" customHeight="1" x14ac:dyDescent="0.4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" customHeight="1" x14ac:dyDescent="0.4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" customHeight="1" x14ac:dyDescent="0.4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" customHeight="1" x14ac:dyDescent="0.4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" customHeight="1" x14ac:dyDescent="0.4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" customHeight="1" x14ac:dyDescent="0.4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" customHeight="1" x14ac:dyDescent="0.4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" customHeight="1" x14ac:dyDescent="0.4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" customHeight="1" x14ac:dyDescent="0.4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" customHeight="1" x14ac:dyDescent="0.4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" customHeight="1" x14ac:dyDescent="0.4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" customHeight="1" x14ac:dyDescent="0.4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" customHeight="1" x14ac:dyDescent="0.4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" customHeight="1" x14ac:dyDescent="0.4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" customHeight="1" x14ac:dyDescent="0.4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" customHeight="1" x14ac:dyDescent="0.4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" customHeight="1" x14ac:dyDescent="0.4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" customHeight="1" x14ac:dyDescent="0.4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" customHeight="1" x14ac:dyDescent="0.4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" customHeight="1" x14ac:dyDescent="0.4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" customHeight="1" x14ac:dyDescent="0.4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" customHeight="1" x14ac:dyDescent="0.4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" customHeight="1" x14ac:dyDescent="0.4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" customHeight="1" x14ac:dyDescent="0.4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" customHeight="1" x14ac:dyDescent="0.4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" customHeight="1" x14ac:dyDescent="0.4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" customHeight="1" x14ac:dyDescent="0.4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" customHeight="1" x14ac:dyDescent="0.4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" customHeight="1" x14ac:dyDescent="0.4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" customHeight="1" x14ac:dyDescent="0.4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" customHeight="1" x14ac:dyDescent="0.4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" customHeight="1" x14ac:dyDescent="0.4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" customHeight="1" x14ac:dyDescent="0.4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" customHeight="1" x14ac:dyDescent="0.4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" customHeight="1" x14ac:dyDescent="0.4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" customHeight="1" x14ac:dyDescent="0.4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" customHeight="1" x14ac:dyDescent="0.4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" customHeight="1" x14ac:dyDescent="0.4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" customHeight="1" x14ac:dyDescent="0.4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" customHeight="1" x14ac:dyDescent="0.4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" customHeight="1" x14ac:dyDescent="0.4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" customHeight="1" x14ac:dyDescent="0.4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" customHeight="1" x14ac:dyDescent="0.4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" customHeight="1" x14ac:dyDescent="0.4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" customHeight="1" x14ac:dyDescent="0.4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" customHeight="1" x14ac:dyDescent="0.4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" customHeight="1" x14ac:dyDescent="0.4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" customHeight="1" x14ac:dyDescent="0.4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" customHeight="1" x14ac:dyDescent="0.4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" customHeight="1" x14ac:dyDescent="0.4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" customHeight="1" x14ac:dyDescent="0.4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" customHeight="1" x14ac:dyDescent="0.4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" customHeight="1" x14ac:dyDescent="0.4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" customHeight="1" x14ac:dyDescent="0.4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" customHeight="1" x14ac:dyDescent="0.4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" customHeight="1" x14ac:dyDescent="0.4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" customHeight="1" x14ac:dyDescent="0.4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" customHeight="1" x14ac:dyDescent="0.4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" customHeight="1" x14ac:dyDescent="0.4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" customHeight="1" x14ac:dyDescent="0.4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" customHeight="1" x14ac:dyDescent="0.4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" customHeight="1" x14ac:dyDescent="0.4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" customHeight="1" x14ac:dyDescent="0.4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" customHeight="1" x14ac:dyDescent="0.4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" customHeight="1" x14ac:dyDescent="0.4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" customHeight="1" x14ac:dyDescent="0.4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" customHeight="1" x14ac:dyDescent="0.4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" customHeight="1" x14ac:dyDescent="0.4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" customHeight="1" x14ac:dyDescent="0.4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" customHeight="1" x14ac:dyDescent="0.4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" customHeight="1" x14ac:dyDescent="0.4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" customHeight="1" x14ac:dyDescent="0.4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" customHeight="1" x14ac:dyDescent="0.4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" customHeight="1" x14ac:dyDescent="0.4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" customHeight="1" x14ac:dyDescent="0.4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" customHeight="1" x14ac:dyDescent="0.4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" customHeight="1" x14ac:dyDescent="0.4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" customHeight="1" x14ac:dyDescent="0.4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" customHeight="1" x14ac:dyDescent="0.4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" customHeight="1" x14ac:dyDescent="0.4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" customHeight="1" x14ac:dyDescent="0.4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" customHeight="1" x14ac:dyDescent="0.4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" customHeight="1" x14ac:dyDescent="0.4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" customHeight="1" x14ac:dyDescent="0.4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" customHeight="1" x14ac:dyDescent="0.4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" customHeight="1" x14ac:dyDescent="0.4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" customHeight="1" x14ac:dyDescent="0.4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" customHeight="1" x14ac:dyDescent="0.4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" customHeight="1" x14ac:dyDescent="0.4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" customHeight="1" x14ac:dyDescent="0.4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" customHeight="1" x14ac:dyDescent="0.4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" customHeight="1" x14ac:dyDescent="0.4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" customHeight="1" x14ac:dyDescent="0.4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" customHeight="1" x14ac:dyDescent="0.4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" customHeight="1" x14ac:dyDescent="0.4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" customHeight="1" x14ac:dyDescent="0.4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" customHeight="1" x14ac:dyDescent="0.4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" customHeight="1" x14ac:dyDescent="0.4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" customHeight="1" x14ac:dyDescent="0.4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" customHeight="1" x14ac:dyDescent="0.4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" customHeight="1" x14ac:dyDescent="0.4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" customHeight="1" x14ac:dyDescent="0.4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" customHeight="1" x14ac:dyDescent="0.4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" customHeight="1" x14ac:dyDescent="0.4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" customHeight="1" x14ac:dyDescent="0.4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" customHeight="1" x14ac:dyDescent="0.4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" customHeight="1" x14ac:dyDescent="0.4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" customHeight="1" x14ac:dyDescent="0.4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" customHeight="1" x14ac:dyDescent="0.4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" customHeight="1" x14ac:dyDescent="0.4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" customHeight="1" x14ac:dyDescent="0.4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" customHeight="1" x14ac:dyDescent="0.4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" customHeight="1" x14ac:dyDescent="0.4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" customHeight="1" x14ac:dyDescent="0.4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" customHeight="1" x14ac:dyDescent="0.4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" customHeight="1" x14ac:dyDescent="0.4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" customHeight="1" x14ac:dyDescent="0.4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" customHeight="1" x14ac:dyDescent="0.4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" customHeight="1" x14ac:dyDescent="0.4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" customHeight="1" x14ac:dyDescent="0.4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" customHeight="1" x14ac:dyDescent="0.4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" customHeight="1" x14ac:dyDescent="0.4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" customHeight="1" x14ac:dyDescent="0.4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" customHeight="1" x14ac:dyDescent="0.4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" customHeight="1" x14ac:dyDescent="0.4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" customHeight="1" x14ac:dyDescent="0.4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" customHeight="1" x14ac:dyDescent="0.4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" customHeight="1" x14ac:dyDescent="0.4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" customHeight="1" x14ac:dyDescent="0.4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" customHeight="1" x14ac:dyDescent="0.4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" customHeight="1" x14ac:dyDescent="0.4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" customHeight="1" x14ac:dyDescent="0.4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" customHeight="1" x14ac:dyDescent="0.4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" customHeight="1" x14ac:dyDescent="0.4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" customHeight="1" x14ac:dyDescent="0.4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" customHeight="1" x14ac:dyDescent="0.4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" customHeight="1" x14ac:dyDescent="0.4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" customHeight="1" x14ac:dyDescent="0.4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" customHeight="1" x14ac:dyDescent="0.4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" customHeight="1" x14ac:dyDescent="0.4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" customHeight="1" x14ac:dyDescent="0.4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" customHeight="1" x14ac:dyDescent="0.4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" customHeight="1" x14ac:dyDescent="0.4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" customHeight="1" x14ac:dyDescent="0.4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" customHeight="1" x14ac:dyDescent="0.4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" customHeight="1" x14ac:dyDescent="0.4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" customHeight="1" x14ac:dyDescent="0.4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" customHeight="1" x14ac:dyDescent="0.4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" customHeight="1" x14ac:dyDescent="0.4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" customHeight="1" x14ac:dyDescent="0.4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" customHeight="1" x14ac:dyDescent="0.4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" customHeight="1" x14ac:dyDescent="0.4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" customHeight="1" x14ac:dyDescent="0.4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" customHeight="1" x14ac:dyDescent="0.4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" customHeight="1" x14ac:dyDescent="0.4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" customHeight="1" x14ac:dyDescent="0.4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" customHeight="1" x14ac:dyDescent="0.4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" customHeight="1" x14ac:dyDescent="0.4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" customHeight="1" x14ac:dyDescent="0.4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" customHeight="1" x14ac:dyDescent="0.4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" customHeight="1" x14ac:dyDescent="0.4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" customHeight="1" x14ac:dyDescent="0.4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" customHeight="1" x14ac:dyDescent="0.4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" customHeight="1" x14ac:dyDescent="0.4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" customHeight="1" x14ac:dyDescent="0.4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" customHeight="1" x14ac:dyDescent="0.4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" customHeight="1" x14ac:dyDescent="0.4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" customHeight="1" x14ac:dyDescent="0.4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" customHeight="1" x14ac:dyDescent="0.4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" customHeight="1" x14ac:dyDescent="0.4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" customHeight="1" x14ac:dyDescent="0.4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" customHeight="1" x14ac:dyDescent="0.4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" customHeight="1" x14ac:dyDescent="0.4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" customHeight="1" x14ac:dyDescent="0.4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" customHeight="1" x14ac:dyDescent="0.4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" customHeight="1" x14ac:dyDescent="0.4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" customHeight="1" x14ac:dyDescent="0.4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" customHeight="1" x14ac:dyDescent="0.4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" customHeight="1" x14ac:dyDescent="0.4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" customHeight="1" x14ac:dyDescent="0.4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" customHeight="1" x14ac:dyDescent="0.4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" customHeight="1" x14ac:dyDescent="0.4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" customHeight="1" x14ac:dyDescent="0.4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" customHeight="1" x14ac:dyDescent="0.4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" customHeight="1" x14ac:dyDescent="0.4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" customHeight="1" x14ac:dyDescent="0.4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" customHeight="1" x14ac:dyDescent="0.4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" customHeight="1" x14ac:dyDescent="0.4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" customHeight="1" x14ac:dyDescent="0.4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" customHeight="1" x14ac:dyDescent="0.4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" customHeight="1" x14ac:dyDescent="0.4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" customHeight="1" x14ac:dyDescent="0.4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" customHeight="1" x14ac:dyDescent="0.4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" customHeight="1" x14ac:dyDescent="0.4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" customHeight="1" x14ac:dyDescent="0.4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" customHeight="1" x14ac:dyDescent="0.4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" customHeight="1" x14ac:dyDescent="0.4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" customHeight="1" x14ac:dyDescent="0.4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" customHeight="1" x14ac:dyDescent="0.4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" customHeight="1" x14ac:dyDescent="0.4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" customHeight="1" x14ac:dyDescent="0.4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" customHeight="1" x14ac:dyDescent="0.4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" customHeight="1" x14ac:dyDescent="0.4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" customHeight="1" x14ac:dyDescent="0.4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" customHeight="1" x14ac:dyDescent="0.4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" customHeight="1" x14ac:dyDescent="0.4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" customHeight="1" x14ac:dyDescent="0.4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" customHeight="1" x14ac:dyDescent="0.4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" customHeight="1" x14ac:dyDescent="0.4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" customHeight="1" x14ac:dyDescent="0.4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" customHeight="1" x14ac:dyDescent="0.4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" customHeight="1" x14ac:dyDescent="0.4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" customHeight="1" x14ac:dyDescent="0.4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" customHeight="1" x14ac:dyDescent="0.4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" customHeight="1" x14ac:dyDescent="0.4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" customHeight="1" x14ac:dyDescent="0.4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" customHeight="1" x14ac:dyDescent="0.4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" customHeight="1" x14ac:dyDescent="0.4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" customHeight="1" x14ac:dyDescent="0.4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" customHeight="1" x14ac:dyDescent="0.4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" customHeight="1" x14ac:dyDescent="0.4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" customHeight="1" x14ac:dyDescent="0.4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" customHeight="1" x14ac:dyDescent="0.4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" customHeight="1" x14ac:dyDescent="0.4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" customHeight="1" x14ac:dyDescent="0.4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" customHeight="1" x14ac:dyDescent="0.4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" customHeight="1" x14ac:dyDescent="0.4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" customHeight="1" x14ac:dyDescent="0.4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" customHeight="1" x14ac:dyDescent="0.4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" customHeight="1" x14ac:dyDescent="0.4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" customHeight="1" x14ac:dyDescent="0.4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" customHeight="1" x14ac:dyDescent="0.4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" customHeight="1" x14ac:dyDescent="0.4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" customHeight="1" x14ac:dyDescent="0.4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" customHeight="1" x14ac:dyDescent="0.4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" customHeight="1" x14ac:dyDescent="0.4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" customHeight="1" x14ac:dyDescent="0.4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" customHeight="1" x14ac:dyDescent="0.4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" customHeight="1" x14ac:dyDescent="0.4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" customHeight="1" x14ac:dyDescent="0.4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" customHeight="1" x14ac:dyDescent="0.4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" customHeight="1" x14ac:dyDescent="0.4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" customHeight="1" x14ac:dyDescent="0.4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" customHeight="1" x14ac:dyDescent="0.4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" customHeight="1" x14ac:dyDescent="0.4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" customHeight="1" x14ac:dyDescent="0.4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" customHeight="1" x14ac:dyDescent="0.4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" customHeight="1" x14ac:dyDescent="0.4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" customHeight="1" x14ac:dyDescent="0.4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" customHeight="1" x14ac:dyDescent="0.4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" customHeight="1" x14ac:dyDescent="0.4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" customHeight="1" x14ac:dyDescent="0.4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" customHeight="1" x14ac:dyDescent="0.4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" customHeight="1" x14ac:dyDescent="0.4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" customHeight="1" x14ac:dyDescent="0.4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" customHeight="1" x14ac:dyDescent="0.4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" customHeight="1" x14ac:dyDescent="0.4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" customHeight="1" x14ac:dyDescent="0.4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" customHeight="1" x14ac:dyDescent="0.4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" customHeight="1" x14ac:dyDescent="0.4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" customHeight="1" x14ac:dyDescent="0.4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" customHeight="1" x14ac:dyDescent="0.4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" customHeight="1" x14ac:dyDescent="0.4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" customHeight="1" x14ac:dyDescent="0.4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" customHeight="1" x14ac:dyDescent="0.4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" customHeight="1" x14ac:dyDescent="0.4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" customHeight="1" x14ac:dyDescent="0.4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" customHeight="1" x14ac:dyDescent="0.4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" customHeight="1" x14ac:dyDescent="0.4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" customHeight="1" x14ac:dyDescent="0.4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" customHeight="1" x14ac:dyDescent="0.4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" customHeight="1" x14ac:dyDescent="0.4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" customHeight="1" x14ac:dyDescent="0.4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" customHeight="1" x14ac:dyDescent="0.4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" customHeight="1" x14ac:dyDescent="0.4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" customHeight="1" x14ac:dyDescent="0.4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" customHeight="1" x14ac:dyDescent="0.4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" customHeight="1" x14ac:dyDescent="0.4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" customHeight="1" x14ac:dyDescent="0.4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" customHeight="1" x14ac:dyDescent="0.4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" customHeight="1" x14ac:dyDescent="0.4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" customHeight="1" x14ac:dyDescent="0.4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" customHeight="1" x14ac:dyDescent="0.4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" customHeight="1" x14ac:dyDescent="0.4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" customHeight="1" x14ac:dyDescent="0.4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" customHeight="1" x14ac:dyDescent="0.4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" customHeight="1" x14ac:dyDescent="0.4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" customHeight="1" x14ac:dyDescent="0.4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" customHeight="1" x14ac:dyDescent="0.4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" customHeight="1" x14ac:dyDescent="0.4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" customHeight="1" x14ac:dyDescent="0.4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" customHeight="1" x14ac:dyDescent="0.4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" customHeight="1" x14ac:dyDescent="0.4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" customHeight="1" x14ac:dyDescent="0.4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" customHeight="1" x14ac:dyDescent="0.4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" customHeight="1" x14ac:dyDescent="0.4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" customHeight="1" x14ac:dyDescent="0.4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" customHeight="1" x14ac:dyDescent="0.4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" customHeight="1" x14ac:dyDescent="0.4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" customHeight="1" x14ac:dyDescent="0.4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" customHeight="1" x14ac:dyDescent="0.4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" customHeight="1" x14ac:dyDescent="0.4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" customHeight="1" x14ac:dyDescent="0.4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" customHeight="1" x14ac:dyDescent="0.4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" customHeight="1" x14ac:dyDescent="0.4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" customHeight="1" x14ac:dyDescent="0.4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" customHeight="1" x14ac:dyDescent="0.4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" customHeight="1" x14ac:dyDescent="0.4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" customHeight="1" x14ac:dyDescent="0.4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" customHeight="1" x14ac:dyDescent="0.4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" customHeight="1" x14ac:dyDescent="0.4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" customHeight="1" x14ac:dyDescent="0.4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" customHeight="1" x14ac:dyDescent="0.4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" customHeight="1" x14ac:dyDescent="0.4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" customHeight="1" x14ac:dyDescent="0.4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" customHeight="1" x14ac:dyDescent="0.4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" customHeight="1" x14ac:dyDescent="0.4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" customHeight="1" x14ac:dyDescent="0.4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" customHeight="1" x14ac:dyDescent="0.4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" customHeight="1" x14ac:dyDescent="0.4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" customHeight="1" x14ac:dyDescent="0.4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" customHeight="1" x14ac:dyDescent="0.4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" customHeight="1" x14ac:dyDescent="0.4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" customHeight="1" x14ac:dyDescent="0.4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" customHeight="1" x14ac:dyDescent="0.4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" customHeight="1" x14ac:dyDescent="0.4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" customHeight="1" x14ac:dyDescent="0.4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" customHeight="1" x14ac:dyDescent="0.4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" customHeight="1" x14ac:dyDescent="0.4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" customHeight="1" x14ac:dyDescent="0.4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" customHeight="1" x14ac:dyDescent="0.4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" customHeight="1" x14ac:dyDescent="0.4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" customHeight="1" x14ac:dyDescent="0.4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" customHeight="1" x14ac:dyDescent="0.4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" customHeight="1" x14ac:dyDescent="0.4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" customHeight="1" x14ac:dyDescent="0.4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" customHeight="1" x14ac:dyDescent="0.4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" customHeight="1" x14ac:dyDescent="0.4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" customHeight="1" x14ac:dyDescent="0.4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" customHeight="1" x14ac:dyDescent="0.4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" customHeight="1" x14ac:dyDescent="0.4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" customHeight="1" x14ac:dyDescent="0.4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" customHeight="1" x14ac:dyDescent="0.4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" customHeight="1" x14ac:dyDescent="0.4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" customHeight="1" x14ac:dyDescent="0.4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" customHeight="1" x14ac:dyDescent="0.4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" customHeight="1" x14ac:dyDescent="0.4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" customHeight="1" x14ac:dyDescent="0.4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" customHeight="1" x14ac:dyDescent="0.4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" customHeight="1" x14ac:dyDescent="0.4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" customHeight="1" x14ac:dyDescent="0.4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" customHeight="1" x14ac:dyDescent="0.4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" customHeight="1" x14ac:dyDescent="0.4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" customHeight="1" x14ac:dyDescent="0.4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" customHeight="1" x14ac:dyDescent="0.4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" customHeight="1" x14ac:dyDescent="0.4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" customHeight="1" x14ac:dyDescent="0.4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" customHeight="1" x14ac:dyDescent="0.4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" customHeight="1" x14ac:dyDescent="0.4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" customHeight="1" x14ac:dyDescent="0.4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" customHeight="1" x14ac:dyDescent="0.4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" customHeight="1" x14ac:dyDescent="0.4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" customHeight="1" x14ac:dyDescent="0.4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" customHeight="1" x14ac:dyDescent="0.4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" customHeight="1" x14ac:dyDescent="0.4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" customHeight="1" x14ac:dyDescent="0.4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" customHeight="1" x14ac:dyDescent="0.4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" customHeight="1" x14ac:dyDescent="0.4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" customHeight="1" x14ac:dyDescent="0.4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" customHeight="1" x14ac:dyDescent="0.4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" customHeight="1" x14ac:dyDescent="0.4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" customHeight="1" x14ac:dyDescent="0.4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" customHeight="1" x14ac:dyDescent="0.4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" customHeight="1" x14ac:dyDescent="0.4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" customHeight="1" x14ac:dyDescent="0.4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" customHeight="1" x14ac:dyDescent="0.4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" customHeight="1" x14ac:dyDescent="0.4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" customHeight="1" x14ac:dyDescent="0.4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" customHeight="1" x14ac:dyDescent="0.4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" customHeight="1" x14ac:dyDescent="0.4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" customHeight="1" x14ac:dyDescent="0.4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" customHeight="1" x14ac:dyDescent="0.4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" customHeight="1" x14ac:dyDescent="0.4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" customHeight="1" x14ac:dyDescent="0.4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" customHeight="1" x14ac:dyDescent="0.4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" customHeight="1" x14ac:dyDescent="0.4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" customHeight="1" x14ac:dyDescent="0.4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" customHeight="1" x14ac:dyDescent="0.4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" customHeight="1" x14ac:dyDescent="0.4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" customHeight="1" x14ac:dyDescent="0.4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" customHeight="1" x14ac:dyDescent="0.4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" customHeight="1" x14ac:dyDescent="0.4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" customHeight="1" x14ac:dyDescent="0.4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" customHeight="1" x14ac:dyDescent="0.4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" customHeight="1" x14ac:dyDescent="0.4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" customHeight="1" x14ac:dyDescent="0.4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" customHeight="1" x14ac:dyDescent="0.4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" customHeight="1" x14ac:dyDescent="0.4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" customHeight="1" x14ac:dyDescent="0.4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" customHeight="1" x14ac:dyDescent="0.4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" customHeight="1" x14ac:dyDescent="0.4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" customHeight="1" x14ac:dyDescent="0.4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" customHeight="1" x14ac:dyDescent="0.4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" customHeight="1" x14ac:dyDescent="0.4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" customHeight="1" x14ac:dyDescent="0.4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" customHeight="1" x14ac:dyDescent="0.4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" customHeight="1" x14ac:dyDescent="0.4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" customHeight="1" x14ac:dyDescent="0.4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" customHeight="1" x14ac:dyDescent="0.4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" customHeight="1" x14ac:dyDescent="0.4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" customHeight="1" x14ac:dyDescent="0.4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" customHeight="1" x14ac:dyDescent="0.4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" customHeight="1" x14ac:dyDescent="0.4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" customHeight="1" x14ac:dyDescent="0.4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" customHeight="1" x14ac:dyDescent="0.4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" customHeight="1" x14ac:dyDescent="0.4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" customHeight="1" x14ac:dyDescent="0.4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" customHeight="1" x14ac:dyDescent="0.4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" customHeight="1" x14ac:dyDescent="0.4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" customHeight="1" x14ac:dyDescent="0.4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" customHeight="1" x14ac:dyDescent="0.4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" customHeight="1" x14ac:dyDescent="0.4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" customHeight="1" x14ac:dyDescent="0.4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" customHeight="1" x14ac:dyDescent="0.4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" customHeight="1" x14ac:dyDescent="0.4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" customHeight="1" x14ac:dyDescent="0.4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" customHeight="1" x14ac:dyDescent="0.4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" customHeight="1" x14ac:dyDescent="0.4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" customHeight="1" x14ac:dyDescent="0.4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" customHeight="1" x14ac:dyDescent="0.4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" customHeight="1" x14ac:dyDescent="0.4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" customHeight="1" x14ac:dyDescent="0.4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" customHeight="1" x14ac:dyDescent="0.4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" customHeight="1" x14ac:dyDescent="0.4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" customHeight="1" x14ac:dyDescent="0.4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" customHeight="1" x14ac:dyDescent="0.4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" customHeight="1" x14ac:dyDescent="0.4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" customHeight="1" x14ac:dyDescent="0.4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" customHeight="1" x14ac:dyDescent="0.4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" customHeight="1" x14ac:dyDescent="0.4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" customHeight="1" x14ac:dyDescent="0.4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" customHeight="1" x14ac:dyDescent="0.4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" customHeight="1" x14ac:dyDescent="0.4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" customHeight="1" x14ac:dyDescent="0.4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" customHeight="1" x14ac:dyDescent="0.4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" customHeight="1" x14ac:dyDescent="0.4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" customHeight="1" x14ac:dyDescent="0.4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" customHeight="1" x14ac:dyDescent="0.4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" customHeight="1" x14ac:dyDescent="0.4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" customHeight="1" x14ac:dyDescent="0.4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" customHeight="1" x14ac:dyDescent="0.4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" customHeight="1" x14ac:dyDescent="0.4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" customHeight="1" x14ac:dyDescent="0.4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" customHeight="1" x14ac:dyDescent="0.4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" customHeight="1" x14ac:dyDescent="0.4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" customHeight="1" x14ac:dyDescent="0.4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" customHeight="1" x14ac:dyDescent="0.4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" customHeight="1" x14ac:dyDescent="0.4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" customHeight="1" x14ac:dyDescent="0.4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" customHeight="1" x14ac:dyDescent="0.4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" customHeight="1" x14ac:dyDescent="0.4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" customHeight="1" x14ac:dyDescent="0.4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" customHeight="1" x14ac:dyDescent="0.4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" customHeight="1" x14ac:dyDescent="0.4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" customHeight="1" x14ac:dyDescent="0.4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" customHeight="1" x14ac:dyDescent="0.4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" customHeight="1" x14ac:dyDescent="0.4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" customHeight="1" x14ac:dyDescent="0.4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" customHeight="1" x14ac:dyDescent="0.4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" customHeight="1" x14ac:dyDescent="0.4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" customHeight="1" x14ac:dyDescent="0.4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" customHeight="1" x14ac:dyDescent="0.4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" customHeight="1" x14ac:dyDescent="0.4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" customHeight="1" x14ac:dyDescent="0.4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" customHeight="1" x14ac:dyDescent="0.4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" customHeight="1" x14ac:dyDescent="0.4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" customHeight="1" x14ac:dyDescent="0.4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" customHeight="1" x14ac:dyDescent="0.4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" customHeight="1" x14ac:dyDescent="0.4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" customHeight="1" x14ac:dyDescent="0.4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" customHeight="1" x14ac:dyDescent="0.4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" customHeight="1" x14ac:dyDescent="0.4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" customHeight="1" x14ac:dyDescent="0.4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" customHeight="1" x14ac:dyDescent="0.4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" customHeight="1" x14ac:dyDescent="0.4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" customHeight="1" x14ac:dyDescent="0.4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" customHeight="1" x14ac:dyDescent="0.4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" customHeight="1" x14ac:dyDescent="0.4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" customHeight="1" x14ac:dyDescent="0.4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" customHeight="1" x14ac:dyDescent="0.4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" customHeight="1" x14ac:dyDescent="0.4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" customHeight="1" x14ac:dyDescent="0.4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" customHeight="1" x14ac:dyDescent="0.4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" customHeight="1" x14ac:dyDescent="0.4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" customHeight="1" x14ac:dyDescent="0.4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" customHeight="1" x14ac:dyDescent="0.4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" customHeight="1" x14ac:dyDescent="0.4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" customHeight="1" x14ac:dyDescent="0.4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" customHeight="1" x14ac:dyDescent="0.4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" customHeight="1" x14ac:dyDescent="0.4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" customHeight="1" x14ac:dyDescent="0.4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" customHeight="1" x14ac:dyDescent="0.4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" customHeight="1" x14ac:dyDescent="0.4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" customHeight="1" x14ac:dyDescent="0.4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" customHeight="1" x14ac:dyDescent="0.4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" customHeight="1" x14ac:dyDescent="0.4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" customHeight="1" x14ac:dyDescent="0.4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" customHeight="1" x14ac:dyDescent="0.4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" customHeight="1" x14ac:dyDescent="0.4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" customHeight="1" x14ac:dyDescent="0.4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" customHeight="1" x14ac:dyDescent="0.4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" customHeight="1" x14ac:dyDescent="0.4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" customHeight="1" x14ac:dyDescent="0.4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" customHeight="1" x14ac:dyDescent="0.4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" customHeight="1" x14ac:dyDescent="0.4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" customHeight="1" x14ac:dyDescent="0.4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" customHeight="1" x14ac:dyDescent="0.4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" customHeight="1" x14ac:dyDescent="0.4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" customHeight="1" x14ac:dyDescent="0.4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" customHeight="1" x14ac:dyDescent="0.4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" customHeight="1" x14ac:dyDescent="0.4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" customHeight="1" x14ac:dyDescent="0.4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" customHeight="1" x14ac:dyDescent="0.4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" customHeight="1" x14ac:dyDescent="0.4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" customHeight="1" x14ac:dyDescent="0.4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" customHeight="1" x14ac:dyDescent="0.4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" customHeight="1" x14ac:dyDescent="0.4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" customHeight="1" x14ac:dyDescent="0.4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" customHeight="1" x14ac:dyDescent="0.4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" customHeight="1" x14ac:dyDescent="0.4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" customHeight="1" x14ac:dyDescent="0.4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" customHeight="1" x14ac:dyDescent="0.4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" customHeight="1" x14ac:dyDescent="0.4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" customHeight="1" x14ac:dyDescent="0.4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" customHeight="1" x14ac:dyDescent="0.4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" customHeight="1" x14ac:dyDescent="0.4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" customHeight="1" x14ac:dyDescent="0.4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" customHeight="1" x14ac:dyDescent="0.4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" customHeight="1" x14ac:dyDescent="0.4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" customHeight="1" x14ac:dyDescent="0.4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" customHeight="1" x14ac:dyDescent="0.4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" customHeight="1" x14ac:dyDescent="0.4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" customHeight="1" x14ac:dyDescent="0.4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" customHeight="1" x14ac:dyDescent="0.4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" customHeight="1" x14ac:dyDescent="0.4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" customHeight="1" x14ac:dyDescent="0.4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" customHeight="1" x14ac:dyDescent="0.4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" customHeight="1" x14ac:dyDescent="0.4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" customHeight="1" x14ac:dyDescent="0.4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" customHeight="1" x14ac:dyDescent="0.4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" customHeight="1" x14ac:dyDescent="0.4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" customHeight="1" x14ac:dyDescent="0.4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" customHeight="1" x14ac:dyDescent="0.4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" customHeight="1" x14ac:dyDescent="0.4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" customHeight="1" x14ac:dyDescent="0.4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" customHeight="1" x14ac:dyDescent="0.4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" customHeight="1" x14ac:dyDescent="0.4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" customHeight="1" x14ac:dyDescent="0.4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" customHeight="1" x14ac:dyDescent="0.4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" customHeight="1" x14ac:dyDescent="0.4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" customHeight="1" x14ac:dyDescent="0.4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" customHeight="1" x14ac:dyDescent="0.4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" customHeight="1" x14ac:dyDescent="0.4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" customHeight="1" x14ac:dyDescent="0.4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" customHeight="1" x14ac:dyDescent="0.4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" customHeight="1" x14ac:dyDescent="0.4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" customHeight="1" x14ac:dyDescent="0.4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" customHeight="1" x14ac:dyDescent="0.4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" customHeight="1" x14ac:dyDescent="0.4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" customHeight="1" x14ac:dyDescent="0.4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" customHeight="1" x14ac:dyDescent="0.4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" customHeight="1" x14ac:dyDescent="0.4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" customHeight="1" x14ac:dyDescent="0.4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" customHeight="1" x14ac:dyDescent="0.4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" customHeight="1" x14ac:dyDescent="0.4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" customHeight="1" x14ac:dyDescent="0.4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" customHeight="1" x14ac:dyDescent="0.4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" customHeight="1" x14ac:dyDescent="0.4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" customHeight="1" x14ac:dyDescent="0.4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" customHeight="1" x14ac:dyDescent="0.4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" customHeight="1" x14ac:dyDescent="0.4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" customHeight="1" x14ac:dyDescent="0.4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" customHeight="1" x14ac:dyDescent="0.4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" customHeight="1" x14ac:dyDescent="0.4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" customHeight="1" x14ac:dyDescent="0.4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" customHeight="1" x14ac:dyDescent="0.4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" customHeight="1" x14ac:dyDescent="0.4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" customHeight="1" x14ac:dyDescent="0.4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" customHeight="1" x14ac:dyDescent="0.4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" customHeight="1" x14ac:dyDescent="0.4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" customHeight="1" x14ac:dyDescent="0.4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" customHeight="1" x14ac:dyDescent="0.4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" customHeight="1" x14ac:dyDescent="0.4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" customHeight="1" x14ac:dyDescent="0.4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" customHeight="1" x14ac:dyDescent="0.4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" customHeight="1" x14ac:dyDescent="0.4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" customHeight="1" x14ac:dyDescent="0.4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" customHeight="1" x14ac:dyDescent="0.4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" customHeight="1" x14ac:dyDescent="0.4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" customHeight="1" x14ac:dyDescent="0.4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" customHeight="1" x14ac:dyDescent="0.4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" customHeight="1" x14ac:dyDescent="0.4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" customHeight="1" x14ac:dyDescent="0.4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" customHeight="1" x14ac:dyDescent="0.4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" customHeight="1" x14ac:dyDescent="0.4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" customHeight="1" x14ac:dyDescent="0.4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" customHeight="1" x14ac:dyDescent="0.4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" customHeight="1" x14ac:dyDescent="0.4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" customHeight="1" x14ac:dyDescent="0.4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" customHeight="1" x14ac:dyDescent="0.4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" customHeight="1" x14ac:dyDescent="0.4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" customHeight="1" x14ac:dyDescent="0.4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" customHeight="1" x14ac:dyDescent="0.4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" customHeight="1" x14ac:dyDescent="0.4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" customHeight="1" x14ac:dyDescent="0.4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" customHeight="1" x14ac:dyDescent="0.4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" customHeight="1" x14ac:dyDescent="0.4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" customHeight="1" x14ac:dyDescent="0.4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" customHeight="1" x14ac:dyDescent="0.4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" customHeight="1" x14ac:dyDescent="0.4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" customHeight="1" x14ac:dyDescent="0.4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" customHeight="1" x14ac:dyDescent="0.4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" customHeight="1" x14ac:dyDescent="0.4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" customHeight="1" x14ac:dyDescent="0.4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" customHeight="1" x14ac:dyDescent="0.4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" customHeight="1" x14ac:dyDescent="0.4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" customHeight="1" x14ac:dyDescent="0.4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" customHeight="1" x14ac:dyDescent="0.4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" customHeight="1" x14ac:dyDescent="0.4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" customHeight="1" x14ac:dyDescent="0.4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" customHeight="1" x14ac:dyDescent="0.4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" customHeight="1" x14ac:dyDescent="0.4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" customHeight="1" x14ac:dyDescent="0.4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" customHeight="1" x14ac:dyDescent="0.4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" customHeight="1" x14ac:dyDescent="0.4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" customHeight="1" x14ac:dyDescent="0.4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" customHeight="1" x14ac:dyDescent="0.4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" customHeight="1" x14ac:dyDescent="0.4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" customHeight="1" x14ac:dyDescent="0.4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" customHeight="1" x14ac:dyDescent="0.4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" customHeight="1" x14ac:dyDescent="0.4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" customHeight="1" x14ac:dyDescent="0.4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" customHeight="1" x14ac:dyDescent="0.4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" customHeight="1" x14ac:dyDescent="0.4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" customHeight="1" x14ac:dyDescent="0.4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" customHeight="1" x14ac:dyDescent="0.4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" customHeight="1" x14ac:dyDescent="0.4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" customHeight="1" x14ac:dyDescent="0.4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" customHeight="1" x14ac:dyDescent="0.4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" customHeight="1" x14ac:dyDescent="0.4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" customHeight="1" x14ac:dyDescent="0.4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" customHeight="1" x14ac:dyDescent="0.4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" customHeight="1" x14ac:dyDescent="0.4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" customHeight="1" x14ac:dyDescent="0.4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" customHeight="1" x14ac:dyDescent="0.4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" customHeight="1" x14ac:dyDescent="0.4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" customHeight="1" x14ac:dyDescent="0.4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" customHeight="1" x14ac:dyDescent="0.4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" customHeight="1" x14ac:dyDescent="0.4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" customHeight="1" x14ac:dyDescent="0.4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" customHeight="1" x14ac:dyDescent="0.4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" customHeight="1" x14ac:dyDescent="0.4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" customHeight="1" x14ac:dyDescent="0.4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" customHeight="1" x14ac:dyDescent="0.4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" customHeight="1" x14ac:dyDescent="0.4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" customHeight="1" x14ac:dyDescent="0.4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" customHeight="1" x14ac:dyDescent="0.4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" customHeight="1" x14ac:dyDescent="0.4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" customHeight="1" x14ac:dyDescent="0.4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" customHeight="1" x14ac:dyDescent="0.4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" customHeight="1" x14ac:dyDescent="0.4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" customHeight="1" x14ac:dyDescent="0.4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" customHeight="1" x14ac:dyDescent="0.4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" customHeight="1" x14ac:dyDescent="0.4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" customHeight="1" x14ac:dyDescent="0.4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" customHeight="1" x14ac:dyDescent="0.4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" customHeight="1" x14ac:dyDescent="0.4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" customHeight="1" x14ac:dyDescent="0.4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" customHeight="1" x14ac:dyDescent="0.4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" customHeight="1" x14ac:dyDescent="0.4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" customHeight="1" x14ac:dyDescent="0.4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" customHeight="1" x14ac:dyDescent="0.4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" customHeight="1" x14ac:dyDescent="0.4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" customHeight="1" x14ac:dyDescent="0.4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" customHeight="1" x14ac:dyDescent="0.4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" customHeight="1" x14ac:dyDescent="0.4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" customHeight="1" x14ac:dyDescent="0.4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" customHeight="1" x14ac:dyDescent="0.4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" customHeight="1" x14ac:dyDescent="0.4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" customHeight="1" x14ac:dyDescent="0.4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" customHeight="1" x14ac:dyDescent="0.4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" customHeight="1" x14ac:dyDescent="0.4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" customHeight="1" x14ac:dyDescent="0.4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" customHeight="1" x14ac:dyDescent="0.4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" customHeight="1" x14ac:dyDescent="0.4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" customHeight="1" x14ac:dyDescent="0.4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" customHeight="1" x14ac:dyDescent="0.4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" customHeight="1" x14ac:dyDescent="0.4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" customHeight="1" x14ac:dyDescent="0.4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" customHeight="1" x14ac:dyDescent="0.4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" customHeight="1" x14ac:dyDescent="0.4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" customHeight="1" x14ac:dyDescent="0.4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" customHeight="1" x14ac:dyDescent="0.4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" customHeight="1" x14ac:dyDescent="0.4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" customHeight="1" x14ac:dyDescent="0.4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" customHeight="1" x14ac:dyDescent="0.4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" customHeight="1" x14ac:dyDescent="0.4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" customHeight="1" x14ac:dyDescent="0.4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" customHeight="1" x14ac:dyDescent="0.4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" customHeight="1" x14ac:dyDescent="0.4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" customHeight="1" x14ac:dyDescent="0.4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" customHeight="1" x14ac:dyDescent="0.4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" customHeight="1" x14ac:dyDescent="0.4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" customHeight="1" x14ac:dyDescent="0.4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" customHeight="1" x14ac:dyDescent="0.4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" customHeight="1" x14ac:dyDescent="0.4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" customHeight="1" x14ac:dyDescent="0.4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" customHeight="1" x14ac:dyDescent="0.4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" customHeight="1" x14ac:dyDescent="0.4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" customHeight="1" x14ac:dyDescent="0.4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" customHeight="1" x14ac:dyDescent="0.4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" customHeight="1" x14ac:dyDescent="0.4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" customHeight="1" x14ac:dyDescent="0.4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" customHeight="1" x14ac:dyDescent="0.4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" customHeight="1" x14ac:dyDescent="0.4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" customHeight="1" x14ac:dyDescent="0.4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" customHeight="1" x14ac:dyDescent="0.4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" customHeight="1" x14ac:dyDescent="0.4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" customHeight="1" x14ac:dyDescent="0.4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" customHeight="1" x14ac:dyDescent="0.4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" customHeight="1" x14ac:dyDescent="0.4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" customHeight="1" x14ac:dyDescent="0.4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" customHeight="1" x14ac:dyDescent="0.4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" customHeight="1" x14ac:dyDescent="0.4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" customHeight="1" x14ac:dyDescent="0.4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" customHeight="1" x14ac:dyDescent="0.4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" customHeight="1" x14ac:dyDescent="0.4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" customHeight="1" x14ac:dyDescent="0.4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" customHeight="1" x14ac:dyDescent="0.4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" customHeight="1" x14ac:dyDescent="0.4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" customHeight="1" x14ac:dyDescent="0.4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" customHeight="1" x14ac:dyDescent="0.4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" customHeight="1" x14ac:dyDescent="0.4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" customHeight="1" x14ac:dyDescent="0.4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" customHeight="1" x14ac:dyDescent="0.4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" customHeight="1" x14ac:dyDescent="0.4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" customHeight="1" x14ac:dyDescent="0.4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" customHeight="1" x14ac:dyDescent="0.4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" customHeight="1" x14ac:dyDescent="0.4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" customHeight="1" x14ac:dyDescent="0.4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" customHeight="1" x14ac:dyDescent="0.4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" customHeight="1" x14ac:dyDescent="0.4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" customHeight="1" x14ac:dyDescent="0.4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" customHeight="1" x14ac:dyDescent="0.4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" customHeight="1" x14ac:dyDescent="0.4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" customHeight="1" x14ac:dyDescent="0.4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" customHeight="1" x14ac:dyDescent="0.4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" customHeight="1" x14ac:dyDescent="0.4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" customHeight="1" x14ac:dyDescent="0.4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" customHeight="1" x14ac:dyDescent="0.4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" customHeight="1" x14ac:dyDescent="0.4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" customHeight="1" x14ac:dyDescent="0.4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" customHeight="1" x14ac:dyDescent="0.4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" customHeight="1" x14ac:dyDescent="0.4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" customHeight="1" x14ac:dyDescent="0.4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" customHeight="1" x14ac:dyDescent="0.4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" customHeight="1" x14ac:dyDescent="0.4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" customHeight="1" x14ac:dyDescent="0.4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" customHeight="1" x14ac:dyDescent="0.4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" customHeight="1" x14ac:dyDescent="0.4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" customHeight="1" x14ac:dyDescent="0.4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" customHeight="1" x14ac:dyDescent="0.4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" customHeight="1" x14ac:dyDescent="0.4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" customHeight="1" x14ac:dyDescent="0.4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" customHeight="1" x14ac:dyDescent="0.4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" customHeight="1" x14ac:dyDescent="0.4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" customHeight="1" x14ac:dyDescent="0.4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" customHeight="1" x14ac:dyDescent="0.4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" customHeight="1" x14ac:dyDescent="0.4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" customHeight="1" x14ac:dyDescent="0.4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" customHeight="1" x14ac:dyDescent="0.4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" customHeight="1" x14ac:dyDescent="0.4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" customHeight="1" x14ac:dyDescent="0.4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" customHeight="1" x14ac:dyDescent="0.4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" customHeight="1" x14ac:dyDescent="0.4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" customHeight="1" x14ac:dyDescent="0.4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" customHeight="1" x14ac:dyDescent="0.4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" customHeight="1" x14ac:dyDescent="0.4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" customHeight="1" x14ac:dyDescent="0.4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" customHeight="1" x14ac:dyDescent="0.4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" customHeight="1" x14ac:dyDescent="0.4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" customHeight="1" x14ac:dyDescent="0.4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" customHeight="1" x14ac:dyDescent="0.4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" customHeight="1" x14ac:dyDescent="0.4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" customHeight="1" x14ac:dyDescent="0.4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" customHeight="1" x14ac:dyDescent="0.4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" customHeight="1" x14ac:dyDescent="0.4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" customHeight="1" x14ac:dyDescent="0.4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" customHeight="1" x14ac:dyDescent="0.4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" customHeight="1" x14ac:dyDescent="0.4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" customHeight="1" x14ac:dyDescent="0.4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" customHeight="1" x14ac:dyDescent="0.4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" customHeight="1" x14ac:dyDescent="0.4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" customHeight="1" x14ac:dyDescent="0.4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" customHeight="1" x14ac:dyDescent="0.4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" customHeight="1" x14ac:dyDescent="0.4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" customHeight="1" x14ac:dyDescent="0.4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" customHeight="1" x14ac:dyDescent="0.4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" customHeight="1" x14ac:dyDescent="0.4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" customHeight="1" x14ac:dyDescent="0.4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" customHeight="1" x14ac:dyDescent="0.4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" customHeight="1" x14ac:dyDescent="0.4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" customHeight="1" x14ac:dyDescent="0.4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" customHeight="1" x14ac:dyDescent="0.4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" customHeight="1" x14ac:dyDescent="0.4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" customHeight="1" x14ac:dyDescent="0.4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" customHeight="1" x14ac:dyDescent="0.4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" customHeight="1" x14ac:dyDescent="0.4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" customHeight="1" x14ac:dyDescent="0.4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" customHeight="1" x14ac:dyDescent="0.4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" customHeight="1" x14ac:dyDescent="0.4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" customHeight="1" x14ac:dyDescent="0.4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" customHeight="1" x14ac:dyDescent="0.4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" customHeight="1" x14ac:dyDescent="0.4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" customHeight="1" x14ac:dyDescent="0.4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" customHeight="1" x14ac:dyDescent="0.4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" customHeight="1" x14ac:dyDescent="0.4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" customHeight="1" x14ac:dyDescent="0.4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" customHeight="1" x14ac:dyDescent="0.4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" customHeight="1" x14ac:dyDescent="0.4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" customHeight="1" x14ac:dyDescent="0.4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" customHeight="1" x14ac:dyDescent="0.4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" customHeight="1" x14ac:dyDescent="0.4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" customHeight="1" x14ac:dyDescent="0.4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" customHeight="1" x14ac:dyDescent="0.4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" customHeight="1" x14ac:dyDescent="0.4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" customHeight="1" x14ac:dyDescent="0.4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" customHeight="1" x14ac:dyDescent="0.4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" customHeight="1" x14ac:dyDescent="0.4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" customHeight="1" x14ac:dyDescent="0.4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" customHeight="1" x14ac:dyDescent="0.4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" customHeight="1" x14ac:dyDescent="0.4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" customHeight="1" x14ac:dyDescent="0.4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" customHeight="1" x14ac:dyDescent="0.4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" customHeight="1" x14ac:dyDescent="0.4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" customHeight="1" x14ac:dyDescent="0.4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" customHeight="1" x14ac:dyDescent="0.4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" customHeight="1" x14ac:dyDescent="0.4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" customHeight="1" x14ac:dyDescent="0.4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" customHeight="1" x14ac:dyDescent="0.4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" customHeight="1" x14ac:dyDescent="0.4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" customHeight="1" x14ac:dyDescent="0.4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" customHeight="1" x14ac:dyDescent="0.4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" customHeight="1" x14ac:dyDescent="0.4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" customHeight="1" x14ac:dyDescent="0.4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" customHeight="1" x14ac:dyDescent="0.4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" customHeight="1" x14ac:dyDescent="0.4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" customHeight="1" x14ac:dyDescent="0.4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" customHeight="1" x14ac:dyDescent="0.4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" customHeight="1" x14ac:dyDescent="0.4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" customHeight="1" x14ac:dyDescent="0.4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" customHeight="1" x14ac:dyDescent="0.4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" customHeight="1" x14ac:dyDescent="0.4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" customHeight="1" x14ac:dyDescent="0.4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" customHeight="1" x14ac:dyDescent="0.4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" customHeight="1" x14ac:dyDescent="0.4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" customHeight="1" x14ac:dyDescent="0.4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" customHeight="1" x14ac:dyDescent="0.4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" customHeight="1" x14ac:dyDescent="0.4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" customHeight="1" x14ac:dyDescent="0.4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" customHeight="1" x14ac:dyDescent="0.4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" customHeight="1" x14ac:dyDescent="0.4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" customHeight="1" x14ac:dyDescent="0.4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" customHeight="1" x14ac:dyDescent="0.4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" customHeight="1" x14ac:dyDescent="0.4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" customHeight="1" x14ac:dyDescent="0.4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" customHeight="1" x14ac:dyDescent="0.4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" customHeight="1" x14ac:dyDescent="0.4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" customHeight="1" x14ac:dyDescent="0.4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" customHeight="1" x14ac:dyDescent="0.4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" customHeight="1" x14ac:dyDescent="0.4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" customHeight="1" x14ac:dyDescent="0.4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" customHeight="1" x14ac:dyDescent="0.4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" customHeight="1" x14ac:dyDescent="0.4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" customHeight="1" x14ac:dyDescent="0.4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" customHeight="1" x14ac:dyDescent="0.4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" customHeight="1" x14ac:dyDescent="0.4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" customHeight="1" x14ac:dyDescent="0.4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" customHeight="1" x14ac:dyDescent="0.4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" customHeight="1" x14ac:dyDescent="0.4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" customHeight="1" x14ac:dyDescent="0.4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" customHeight="1" x14ac:dyDescent="0.4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" customHeight="1" x14ac:dyDescent="0.4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" customHeight="1" x14ac:dyDescent="0.4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" customHeight="1" x14ac:dyDescent="0.4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" customHeight="1" x14ac:dyDescent="0.4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" customHeight="1" x14ac:dyDescent="0.4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" customHeight="1" x14ac:dyDescent="0.4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" customHeight="1" x14ac:dyDescent="0.4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" customHeight="1" x14ac:dyDescent="0.4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" customHeight="1" x14ac:dyDescent="0.4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" customHeight="1" x14ac:dyDescent="0.4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" customHeight="1" x14ac:dyDescent="0.4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" customHeight="1" x14ac:dyDescent="0.4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" customHeight="1" x14ac:dyDescent="0.4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" customHeight="1" x14ac:dyDescent="0.4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" customHeight="1" x14ac:dyDescent="0.4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" customHeight="1" x14ac:dyDescent="0.4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" customHeight="1" x14ac:dyDescent="0.4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" customHeight="1" x14ac:dyDescent="0.4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" customHeight="1" x14ac:dyDescent="0.4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" customHeight="1" x14ac:dyDescent="0.4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" customHeight="1" x14ac:dyDescent="0.4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" customHeight="1" x14ac:dyDescent="0.4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" customHeight="1" x14ac:dyDescent="0.4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" customHeight="1" x14ac:dyDescent="0.4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" customHeight="1" x14ac:dyDescent="0.4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" customHeight="1" x14ac:dyDescent="0.4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" customHeight="1" x14ac:dyDescent="0.4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" customHeight="1" x14ac:dyDescent="0.4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" customHeight="1" x14ac:dyDescent="0.4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" customHeight="1" x14ac:dyDescent="0.4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" customHeight="1" x14ac:dyDescent="0.4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" customHeight="1" x14ac:dyDescent="0.4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" customHeight="1" x14ac:dyDescent="0.4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" customHeight="1" x14ac:dyDescent="0.4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" customHeight="1" x14ac:dyDescent="0.4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" customHeight="1" x14ac:dyDescent="0.4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" customHeight="1" x14ac:dyDescent="0.4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" customHeight="1" x14ac:dyDescent="0.4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" customHeight="1" x14ac:dyDescent="0.4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" customHeight="1" x14ac:dyDescent="0.4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" customHeight="1" x14ac:dyDescent="0.4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" customHeight="1" x14ac:dyDescent="0.4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" customHeight="1" x14ac:dyDescent="0.4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" customHeight="1" x14ac:dyDescent="0.4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" customHeight="1" x14ac:dyDescent="0.4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" customHeight="1" x14ac:dyDescent="0.4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" customHeight="1" x14ac:dyDescent="0.4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" customHeight="1" x14ac:dyDescent="0.4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" customHeight="1" x14ac:dyDescent="0.4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" customHeight="1" x14ac:dyDescent="0.4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" customHeight="1" x14ac:dyDescent="0.4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" customHeight="1" x14ac:dyDescent="0.4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" customHeight="1" x14ac:dyDescent="0.4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" customHeight="1" x14ac:dyDescent="0.4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" customHeight="1" x14ac:dyDescent="0.4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" customHeight="1" x14ac:dyDescent="0.4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" customHeight="1" x14ac:dyDescent="0.4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" customHeight="1" x14ac:dyDescent="0.4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" customHeight="1" x14ac:dyDescent="0.4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" customHeight="1" x14ac:dyDescent="0.4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" customHeight="1" x14ac:dyDescent="0.4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" customHeight="1" x14ac:dyDescent="0.4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" customHeight="1" x14ac:dyDescent="0.4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" customHeight="1" x14ac:dyDescent="0.4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" customHeight="1" x14ac:dyDescent="0.4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" customHeight="1" x14ac:dyDescent="0.4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" customHeight="1" x14ac:dyDescent="0.4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" customHeight="1" x14ac:dyDescent="0.4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" customHeight="1" x14ac:dyDescent="0.4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" customHeight="1" x14ac:dyDescent="0.4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" customHeight="1" x14ac:dyDescent="0.4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" customHeight="1" x14ac:dyDescent="0.4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" customHeight="1" x14ac:dyDescent="0.4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" customHeight="1" x14ac:dyDescent="0.4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" customHeight="1" x14ac:dyDescent="0.4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" customHeight="1" x14ac:dyDescent="0.4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" customHeight="1" x14ac:dyDescent="0.4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" customHeight="1" x14ac:dyDescent="0.4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" customHeight="1" x14ac:dyDescent="0.4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" customHeight="1" x14ac:dyDescent="0.4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" customHeight="1" x14ac:dyDescent="0.4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" customHeight="1" x14ac:dyDescent="0.4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" customHeight="1" x14ac:dyDescent="0.4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" customHeight="1" x14ac:dyDescent="0.4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" customHeight="1" x14ac:dyDescent="0.4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" customHeight="1" x14ac:dyDescent="0.4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" customHeight="1" x14ac:dyDescent="0.4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" customHeight="1" x14ac:dyDescent="0.4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" customHeight="1" x14ac:dyDescent="0.4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" customHeight="1" x14ac:dyDescent="0.4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" customHeight="1" x14ac:dyDescent="0.4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" customHeight="1" x14ac:dyDescent="0.4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" customHeight="1" x14ac:dyDescent="0.4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" customHeight="1" x14ac:dyDescent="0.4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" customHeight="1" x14ac:dyDescent="0.4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" customHeight="1" x14ac:dyDescent="0.4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" customHeight="1" x14ac:dyDescent="0.4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" customHeight="1" x14ac:dyDescent="0.4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" customHeight="1" x14ac:dyDescent="0.4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" customHeight="1" x14ac:dyDescent="0.4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" customHeight="1" x14ac:dyDescent="0.4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" customHeight="1" x14ac:dyDescent="0.4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" customHeight="1" x14ac:dyDescent="0.4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" customHeight="1" x14ac:dyDescent="0.4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" customHeight="1" x14ac:dyDescent="0.4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" customHeight="1" x14ac:dyDescent="0.4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" customHeight="1" x14ac:dyDescent="0.4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" customHeight="1" x14ac:dyDescent="0.4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" customHeight="1" x14ac:dyDescent="0.4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" customHeight="1" x14ac:dyDescent="0.4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" customHeight="1" x14ac:dyDescent="0.4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" customHeight="1" x14ac:dyDescent="0.4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" customHeight="1" x14ac:dyDescent="0.4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" customHeight="1" x14ac:dyDescent="0.4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" customHeight="1" x14ac:dyDescent="0.4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" customHeight="1" x14ac:dyDescent="0.4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" customHeight="1" x14ac:dyDescent="0.4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" customHeight="1" x14ac:dyDescent="0.4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" customHeight="1" x14ac:dyDescent="0.4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" customHeight="1" x14ac:dyDescent="0.4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" customHeight="1" x14ac:dyDescent="0.4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" customHeight="1" x14ac:dyDescent="0.4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" customHeight="1" x14ac:dyDescent="0.4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" customHeight="1" x14ac:dyDescent="0.4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" customHeight="1" x14ac:dyDescent="0.4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" customHeight="1" x14ac:dyDescent="0.4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" customHeight="1" x14ac:dyDescent="0.4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" customHeight="1" x14ac:dyDescent="0.4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" customHeight="1" x14ac:dyDescent="0.4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" customHeight="1" x14ac:dyDescent="0.4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" customHeight="1" x14ac:dyDescent="0.4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" customHeight="1" x14ac:dyDescent="0.4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" customHeight="1" x14ac:dyDescent="0.4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" customHeight="1" x14ac:dyDescent="0.4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" customHeight="1" x14ac:dyDescent="0.4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" customHeight="1" x14ac:dyDescent="0.4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" customHeight="1" x14ac:dyDescent="0.4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" customHeight="1" x14ac:dyDescent="0.4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" customHeight="1" x14ac:dyDescent="0.4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" customHeight="1" x14ac:dyDescent="0.4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" customHeight="1" x14ac:dyDescent="0.4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" customHeight="1" x14ac:dyDescent="0.4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" customHeight="1" x14ac:dyDescent="0.4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" customHeight="1" x14ac:dyDescent="0.4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" customHeight="1" x14ac:dyDescent="0.4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" customHeight="1" x14ac:dyDescent="0.4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" customHeight="1" x14ac:dyDescent="0.4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" customHeight="1" x14ac:dyDescent="0.4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" customHeight="1" x14ac:dyDescent="0.4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" customHeight="1" x14ac:dyDescent="0.4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" customHeight="1" x14ac:dyDescent="0.4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" customHeight="1" x14ac:dyDescent="0.4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" customHeight="1" x14ac:dyDescent="0.4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" customHeight="1" x14ac:dyDescent="0.4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" customHeight="1" x14ac:dyDescent="0.4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" customHeight="1" x14ac:dyDescent="0.4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" customHeight="1" x14ac:dyDescent="0.4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" customHeight="1" x14ac:dyDescent="0.4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" customHeight="1" x14ac:dyDescent="0.4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" customHeight="1" x14ac:dyDescent="0.4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" customHeight="1" x14ac:dyDescent="0.4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" customHeight="1" x14ac:dyDescent="0.4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" customHeight="1" x14ac:dyDescent="0.4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" customHeight="1" x14ac:dyDescent="0.4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" customHeight="1" x14ac:dyDescent="0.4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" customHeight="1" x14ac:dyDescent="0.4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" customHeight="1" x14ac:dyDescent="0.4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" customHeight="1" x14ac:dyDescent="0.4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" customHeight="1" x14ac:dyDescent="0.4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" customHeight="1" x14ac:dyDescent="0.4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" customHeight="1" x14ac:dyDescent="0.4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" customHeight="1" x14ac:dyDescent="0.4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" customHeight="1" x14ac:dyDescent="0.4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" customHeight="1" x14ac:dyDescent="0.4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" customHeight="1" x14ac:dyDescent="0.4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" customHeight="1" x14ac:dyDescent="0.4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" customHeight="1" x14ac:dyDescent="0.4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" customHeight="1" x14ac:dyDescent="0.4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" customHeight="1" x14ac:dyDescent="0.4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" customHeight="1" x14ac:dyDescent="0.4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" customHeight="1" x14ac:dyDescent="0.4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" customHeight="1" x14ac:dyDescent="0.4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" customHeight="1" x14ac:dyDescent="0.4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" customHeight="1" x14ac:dyDescent="0.4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" customHeight="1" x14ac:dyDescent="0.4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" customHeight="1" x14ac:dyDescent="0.4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" customHeight="1" x14ac:dyDescent="0.4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" customHeight="1" x14ac:dyDescent="0.4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" customHeight="1" x14ac:dyDescent="0.4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" customHeight="1" x14ac:dyDescent="0.4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" customHeight="1" x14ac:dyDescent="0.4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" customHeight="1" x14ac:dyDescent="0.4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" customHeight="1" x14ac:dyDescent="0.4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" customHeight="1" x14ac:dyDescent="0.4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" customHeight="1" x14ac:dyDescent="0.4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" customHeight="1" x14ac:dyDescent="0.4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" customHeight="1" x14ac:dyDescent="0.4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" customHeight="1" x14ac:dyDescent="0.4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" customHeight="1" x14ac:dyDescent="0.4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" customHeight="1" x14ac:dyDescent="0.4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" customHeight="1" x14ac:dyDescent="0.4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" customHeight="1" x14ac:dyDescent="0.4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" customHeight="1" x14ac:dyDescent="0.4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" customHeight="1" x14ac:dyDescent="0.4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" customHeight="1" x14ac:dyDescent="0.4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" customHeight="1" x14ac:dyDescent="0.4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" customHeight="1" x14ac:dyDescent="0.4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" customHeight="1" x14ac:dyDescent="0.4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" customHeight="1" x14ac:dyDescent="0.4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" customHeight="1" x14ac:dyDescent="0.4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" customHeight="1" x14ac:dyDescent="0.4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" customHeight="1" x14ac:dyDescent="0.4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" customHeight="1" x14ac:dyDescent="0.4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" customHeight="1" x14ac:dyDescent="0.4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" customHeight="1" x14ac:dyDescent="0.4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" customHeight="1" x14ac:dyDescent="0.4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" customHeight="1" x14ac:dyDescent="0.4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" customHeight="1" x14ac:dyDescent="0.4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" customHeight="1" x14ac:dyDescent="0.4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" customHeight="1" x14ac:dyDescent="0.4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" customHeight="1" x14ac:dyDescent="0.4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" customHeight="1" x14ac:dyDescent="0.4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" customHeight="1" x14ac:dyDescent="0.4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" customHeight="1" x14ac:dyDescent="0.4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" customHeight="1" x14ac:dyDescent="0.4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" customHeight="1" x14ac:dyDescent="0.4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" customHeight="1" x14ac:dyDescent="0.4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" customHeight="1" x14ac:dyDescent="0.4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" customHeight="1" x14ac:dyDescent="0.4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" customHeight="1" x14ac:dyDescent="0.4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" customHeight="1" x14ac:dyDescent="0.4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" customHeight="1" x14ac:dyDescent="0.4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" customHeight="1" x14ac:dyDescent="0.4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" customHeight="1" x14ac:dyDescent="0.4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" customHeight="1" x14ac:dyDescent="0.4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" customHeight="1" x14ac:dyDescent="0.4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" customHeight="1" x14ac:dyDescent="0.4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" customHeight="1" x14ac:dyDescent="0.4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" customHeight="1" x14ac:dyDescent="0.4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" customHeight="1" x14ac:dyDescent="0.4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" customHeight="1" x14ac:dyDescent="0.4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" customHeight="1" x14ac:dyDescent="0.4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" customHeight="1" x14ac:dyDescent="0.4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" customHeight="1" x14ac:dyDescent="0.4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" customHeight="1" x14ac:dyDescent="0.4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" customHeight="1" x14ac:dyDescent="0.4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" customHeight="1" x14ac:dyDescent="0.4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" customHeight="1" x14ac:dyDescent="0.4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" customHeight="1" x14ac:dyDescent="0.4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" customHeight="1" x14ac:dyDescent="0.4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" customHeight="1" x14ac:dyDescent="0.4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" customHeight="1" x14ac:dyDescent="0.4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" customHeight="1" x14ac:dyDescent="0.4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" customHeight="1" x14ac:dyDescent="0.4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" customHeight="1" x14ac:dyDescent="0.4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" customHeight="1" x14ac:dyDescent="0.4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" customHeight="1" x14ac:dyDescent="0.4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" customHeight="1" x14ac:dyDescent="0.4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" customHeight="1" x14ac:dyDescent="0.4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" customHeight="1" x14ac:dyDescent="0.4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" customHeight="1" x14ac:dyDescent="0.4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" customHeight="1" x14ac:dyDescent="0.4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" customHeight="1" x14ac:dyDescent="0.4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" customHeight="1" x14ac:dyDescent="0.4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" customHeight="1" x14ac:dyDescent="0.4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" customHeight="1" x14ac:dyDescent="0.4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" customHeight="1" x14ac:dyDescent="0.4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" customHeight="1" x14ac:dyDescent="0.4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" customHeight="1" x14ac:dyDescent="0.4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" customHeight="1" x14ac:dyDescent="0.4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" customHeight="1" x14ac:dyDescent="0.4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" customHeight="1" x14ac:dyDescent="0.4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" customHeight="1" x14ac:dyDescent="0.4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" customHeight="1" x14ac:dyDescent="0.4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" customHeight="1" x14ac:dyDescent="0.4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" customHeight="1" x14ac:dyDescent="0.4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" customHeight="1" x14ac:dyDescent="0.4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" customHeight="1" x14ac:dyDescent="0.4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" customHeight="1" x14ac:dyDescent="0.4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" customHeight="1" x14ac:dyDescent="0.4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" customHeight="1" x14ac:dyDescent="0.4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" customHeight="1" x14ac:dyDescent="0.4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" customHeight="1" x14ac:dyDescent="0.4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" customHeight="1" x14ac:dyDescent="0.4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" customHeight="1" x14ac:dyDescent="0.4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" customHeight="1" x14ac:dyDescent="0.4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" customHeight="1" x14ac:dyDescent="0.4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" customHeight="1" x14ac:dyDescent="0.4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" customHeight="1" x14ac:dyDescent="0.4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" customHeight="1" x14ac:dyDescent="0.4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" customHeight="1" x14ac:dyDescent="0.4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" customHeight="1" x14ac:dyDescent="0.4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" customHeight="1" x14ac:dyDescent="0.4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" customHeight="1" x14ac:dyDescent="0.4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" customHeight="1" x14ac:dyDescent="0.4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" customHeight="1" x14ac:dyDescent="0.4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" customHeight="1" x14ac:dyDescent="0.4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" customHeight="1" x14ac:dyDescent="0.4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" customHeight="1" x14ac:dyDescent="0.4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" customHeight="1" x14ac:dyDescent="0.4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" customHeight="1" x14ac:dyDescent="0.4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" customHeight="1" x14ac:dyDescent="0.4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" customHeight="1" x14ac:dyDescent="0.4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" customHeight="1" x14ac:dyDescent="0.4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" customHeight="1" x14ac:dyDescent="0.4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" customHeight="1" x14ac:dyDescent="0.4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" customHeight="1" x14ac:dyDescent="0.4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" customHeight="1" x14ac:dyDescent="0.4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" customHeight="1" x14ac:dyDescent="0.4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" customHeight="1" x14ac:dyDescent="0.4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" customHeight="1" x14ac:dyDescent="0.4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" customHeight="1" x14ac:dyDescent="0.4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" customHeight="1" x14ac:dyDescent="0.4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" customHeight="1" x14ac:dyDescent="0.4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" customHeight="1" x14ac:dyDescent="0.4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" customHeight="1" x14ac:dyDescent="0.4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" customHeight="1" x14ac:dyDescent="0.4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" customHeight="1" x14ac:dyDescent="0.4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" customHeight="1" x14ac:dyDescent="0.4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" customHeight="1" x14ac:dyDescent="0.4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" customHeight="1" x14ac:dyDescent="0.4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" customHeight="1" x14ac:dyDescent="0.4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" customHeight="1" x14ac:dyDescent="0.4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" customHeight="1" x14ac:dyDescent="0.4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" customHeight="1" x14ac:dyDescent="0.4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" customHeight="1" x14ac:dyDescent="0.4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" customHeight="1" x14ac:dyDescent="0.4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" customHeight="1" x14ac:dyDescent="0.4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" customHeight="1" x14ac:dyDescent="0.4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" customHeight="1" x14ac:dyDescent="0.4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" customHeight="1" x14ac:dyDescent="0.4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" customHeight="1" x14ac:dyDescent="0.4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" customHeight="1" x14ac:dyDescent="0.4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" customHeight="1" x14ac:dyDescent="0.4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" customHeight="1" x14ac:dyDescent="0.4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" customHeight="1" x14ac:dyDescent="0.4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" customHeight="1" x14ac:dyDescent="0.4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" customHeight="1" x14ac:dyDescent="0.4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" customHeight="1" x14ac:dyDescent="0.4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" customHeight="1" x14ac:dyDescent="0.4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" customHeight="1" x14ac:dyDescent="0.4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" customHeight="1" x14ac:dyDescent="0.4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" customHeight="1" x14ac:dyDescent="0.4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" customHeight="1" x14ac:dyDescent="0.4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" customHeight="1" x14ac:dyDescent="0.4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" customHeight="1" x14ac:dyDescent="0.4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" customHeight="1" x14ac:dyDescent="0.4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" customHeight="1" x14ac:dyDescent="0.4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" customHeight="1" x14ac:dyDescent="0.4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" customHeight="1" x14ac:dyDescent="0.4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" customHeight="1" x14ac:dyDescent="0.4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" customHeight="1" x14ac:dyDescent="0.4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" customHeight="1" x14ac:dyDescent="0.4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" customHeight="1" x14ac:dyDescent="0.4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" customHeight="1" x14ac:dyDescent="0.4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" customHeight="1" x14ac:dyDescent="0.4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" customHeight="1" x14ac:dyDescent="0.4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" customHeight="1" x14ac:dyDescent="0.4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" customHeight="1" x14ac:dyDescent="0.4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" customHeight="1" x14ac:dyDescent="0.4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" customHeight="1" x14ac:dyDescent="0.4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" customHeight="1" x14ac:dyDescent="0.4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" customHeight="1" x14ac:dyDescent="0.4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" customHeight="1" x14ac:dyDescent="0.4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" customHeight="1" x14ac:dyDescent="0.4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" customHeight="1" x14ac:dyDescent="0.4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" customHeight="1" x14ac:dyDescent="0.4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" customHeight="1" x14ac:dyDescent="0.4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" customHeight="1" x14ac:dyDescent="0.4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" customHeight="1" x14ac:dyDescent="0.4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" customHeight="1" x14ac:dyDescent="0.4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" customHeight="1" x14ac:dyDescent="0.4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" customHeight="1" x14ac:dyDescent="0.4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" customHeight="1" x14ac:dyDescent="0.4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" customHeight="1" x14ac:dyDescent="0.4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" customHeight="1" x14ac:dyDescent="0.4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" customHeight="1" x14ac:dyDescent="0.4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" customHeight="1" x14ac:dyDescent="0.4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" customHeight="1" x14ac:dyDescent="0.4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" customHeight="1" x14ac:dyDescent="0.4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" customHeight="1" x14ac:dyDescent="0.4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" customHeight="1" x14ac:dyDescent="0.4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" customHeight="1" x14ac:dyDescent="0.4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" customHeight="1" x14ac:dyDescent="0.4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" customHeight="1" x14ac:dyDescent="0.4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" customHeight="1" x14ac:dyDescent="0.4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" customHeight="1" x14ac:dyDescent="0.4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" customHeight="1" x14ac:dyDescent="0.4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" customHeight="1" x14ac:dyDescent="0.4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" customHeight="1" x14ac:dyDescent="0.4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" customHeight="1" x14ac:dyDescent="0.4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" customHeight="1" x14ac:dyDescent="0.4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" customHeight="1" x14ac:dyDescent="0.4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" customHeight="1" x14ac:dyDescent="0.4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" customHeight="1" x14ac:dyDescent="0.4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" customHeight="1" x14ac:dyDescent="0.4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" customHeight="1" x14ac:dyDescent="0.4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" customHeight="1" x14ac:dyDescent="0.4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" customHeight="1" x14ac:dyDescent="0.4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" customHeight="1" x14ac:dyDescent="0.4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" customHeight="1" x14ac:dyDescent="0.4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" customHeight="1" x14ac:dyDescent="0.4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" customHeight="1" x14ac:dyDescent="0.4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" customHeight="1" x14ac:dyDescent="0.4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" customHeight="1" x14ac:dyDescent="0.4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" customHeight="1" x14ac:dyDescent="0.4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" customHeight="1" x14ac:dyDescent="0.4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" customHeight="1" x14ac:dyDescent="0.4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" customHeight="1" x14ac:dyDescent="0.4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" customHeight="1" x14ac:dyDescent="0.4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" customHeight="1" x14ac:dyDescent="0.4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" customHeight="1" x14ac:dyDescent="0.4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" customHeight="1" x14ac:dyDescent="0.4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" customHeight="1" x14ac:dyDescent="0.4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" customHeight="1" x14ac:dyDescent="0.4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" customHeight="1" x14ac:dyDescent="0.4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" customHeight="1" x14ac:dyDescent="0.4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" customHeight="1" x14ac:dyDescent="0.4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" customHeight="1" x14ac:dyDescent="0.4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" customHeight="1" x14ac:dyDescent="0.4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" customHeight="1" x14ac:dyDescent="0.4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" customHeight="1" x14ac:dyDescent="0.4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" customHeight="1" x14ac:dyDescent="0.4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" customHeight="1" x14ac:dyDescent="0.4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" customHeight="1" x14ac:dyDescent="0.4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" customHeight="1" x14ac:dyDescent="0.4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" customHeight="1" x14ac:dyDescent="0.4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" customHeight="1" x14ac:dyDescent="0.4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" customHeight="1" x14ac:dyDescent="0.4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" customHeight="1" x14ac:dyDescent="0.4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" customHeight="1" x14ac:dyDescent="0.4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" customHeight="1" x14ac:dyDescent="0.4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" customHeight="1" x14ac:dyDescent="0.4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" customHeight="1" x14ac:dyDescent="0.4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" customHeight="1" x14ac:dyDescent="0.4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" customHeight="1" x14ac:dyDescent="0.4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" customHeight="1" x14ac:dyDescent="0.4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" customHeight="1" x14ac:dyDescent="0.4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" customHeight="1" x14ac:dyDescent="0.4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" customHeight="1" x14ac:dyDescent="0.4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" customHeight="1" x14ac:dyDescent="0.4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" customHeight="1" x14ac:dyDescent="0.4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" customHeight="1" x14ac:dyDescent="0.4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" customHeight="1" x14ac:dyDescent="0.4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" customHeight="1" x14ac:dyDescent="0.4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" customHeight="1" x14ac:dyDescent="0.4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" customHeight="1" x14ac:dyDescent="0.4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" customHeight="1" x14ac:dyDescent="0.4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" customHeight="1" x14ac:dyDescent="0.4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" customHeight="1" x14ac:dyDescent="0.4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" customHeight="1" x14ac:dyDescent="0.4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" customHeight="1" x14ac:dyDescent="0.4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" customHeight="1" x14ac:dyDescent="0.4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" customHeight="1" x14ac:dyDescent="0.4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" customHeight="1" x14ac:dyDescent="0.4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" customHeight="1" x14ac:dyDescent="0.4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" customHeight="1" x14ac:dyDescent="0.4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" customHeight="1" x14ac:dyDescent="0.4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" customHeight="1" x14ac:dyDescent="0.4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" customHeight="1" x14ac:dyDescent="0.4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" customHeight="1" x14ac:dyDescent="0.4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" customHeight="1" x14ac:dyDescent="0.4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" customHeight="1" x14ac:dyDescent="0.4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" customHeight="1" x14ac:dyDescent="0.4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" customHeight="1" x14ac:dyDescent="0.4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" customHeight="1" x14ac:dyDescent="0.4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" customHeight="1" x14ac:dyDescent="0.4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" customHeight="1" x14ac:dyDescent="0.4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" customHeight="1" x14ac:dyDescent="0.4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" customHeight="1" x14ac:dyDescent="0.4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" customHeight="1" x14ac:dyDescent="0.4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" customHeight="1" x14ac:dyDescent="0.4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" customHeight="1" x14ac:dyDescent="0.4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" customHeight="1" x14ac:dyDescent="0.4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" customHeight="1" x14ac:dyDescent="0.4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" customHeight="1" x14ac:dyDescent="0.4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" customHeight="1" x14ac:dyDescent="0.4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" customHeight="1" x14ac:dyDescent="0.4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" customHeight="1" x14ac:dyDescent="0.4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" customHeight="1" x14ac:dyDescent="0.4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" customHeight="1" x14ac:dyDescent="0.4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" customHeight="1" x14ac:dyDescent="0.4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" customHeight="1" x14ac:dyDescent="0.4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" customHeight="1" x14ac:dyDescent="0.4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" customHeight="1" x14ac:dyDescent="0.4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" customHeight="1" x14ac:dyDescent="0.4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" customHeight="1" x14ac:dyDescent="0.4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" customHeight="1" x14ac:dyDescent="0.4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" customHeight="1" x14ac:dyDescent="0.4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" customHeight="1" x14ac:dyDescent="0.4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" customHeight="1" x14ac:dyDescent="0.4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" customHeight="1" x14ac:dyDescent="0.4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" customHeight="1" x14ac:dyDescent="0.4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" customHeight="1" x14ac:dyDescent="0.4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" customHeight="1" x14ac:dyDescent="0.4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" customHeight="1" x14ac:dyDescent="0.4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" customHeight="1" x14ac:dyDescent="0.4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" customHeight="1" x14ac:dyDescent="0.4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" customHeight="1" x14ac:dyDescent="0.4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" customHeight="1" x14ac:dyDescent="0.4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" customHeight="1" x14ac:dyDescent="0.4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" customHeight="1" x14ac:dyDescent="0.4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" customHeight="1" x14ac:dyDescent="0.4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" customHeight="1" x14ac:dyDescent="0.4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" customHeight="1" x14ac:dyDescent="0.4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" customHeight="1" x14ac:dyDescent="0.4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" customHeight="1" x14ac:dyDescent="0.4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" customHeight="1" x14ac:dyDescent="0.4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" customHeight="1" x14ac:dyDescent="0.4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" customHeight="1" x14ac:dyDescent="0.4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" customHeight="1" x14ac:dyDescent="0.4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" customHeight="1" x14ac:dyDescent="0.4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" customHeight="1" x14ac:dyDescent="0.4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" customHeight="1" x14ac:dyDescent="0.4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" customHeight="1" x14ac:dyDescent="0.4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" customHeight="1" x14ac:dyDescent="0.4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" customHeight="1" x14ac:dyDescent="0.4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" customHeight="1" x14ac:dyDescent="0.4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" customHeight="1" x14ac:dyDescent="0.4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" customHeight="1" x14ac:dyDescent="0.4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" customHeight="1" x14ac:dyDescent="0.4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" customHeight="1" x14ac:dyDescent="0.4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" customHeight="1" x14ac:dyDescent="0.4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" customHeight="1" x14ac:dyDescent="0.4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" customHeight="1" x14ac:dyDescent="0.4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" customHeight="1" x14ac:dyDescent="0.4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" customHeight="1" x14ac:dyDescent="0.4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" customHeight="1" x14ac:dyDescent="0.4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" customHeight="1" x14ac:dyDescent="0.4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" customHeight="1" x14ac:dyDescent="0.4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" customHeight="1" x14ac:dyDescent="0.4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" customHeight="1" x14ac:dyDescent="0.4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" customHeight="1" x14ac:dyDescent="0.4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" customHeight="1" x14ac:dyDescent="0.4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" customHeight="1" x14ac:dyDescent="0.4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" customHeight="1" x14ac:dyDescent="0.4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" customHeight="1" x14ac:dyDescent="0.4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" customHeight="1" x14ac:dyDescent="0.4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" customHeight="1" x14ac:dyDescent="0.4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" customHeight="1" x14ac:dyDescent="0.4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" customHeight="1" x14ac:dyDescent="0.4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" customHeight="1" x14ac:dyDescent="0.4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" customHeight="1" x14ac:dyDescent="0.4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" customHeight="1" x14ac:dyDescent="0.4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" customHeight="1" x14ac:dyDescent="0.4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" customHeight="1" x14ac:dyDescent="0.4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" customHeight="1" x14ac:dyDescent="0.4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" customHeight="1" x14ac:dyDescent="0.4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" customHeight="1" x14ac:dyDescent="0.4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" customHeight="1" x14ac:dyDescent="0.4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" customHeight="1" x14ac:dyDescent="0.4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" customHeight="1" x14ac:dyDescent="0.4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" customHeight="1" x14ac:dyDescent="0.4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" customHeight="1" x14ac:dyDescent="0.4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" customHeight="1" x14ac:dyDescent="0.4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" customHeight="1" x14ac:dyDescent="0.4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" customHeight="1" x14ac:dyDescent="0.4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" customHeight="1" x14ac:dyDescent="0.4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" customHeight="1" x14ac:dyDescent="0.4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" customHeight="1" x14ac:dyDescent="0.4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" customHeight="1" x14ac:dyDescent="0.4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" customHeight="1" x14ac:dyDescent="0.4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" customHeight="1" x14ac:dyDescent="0.4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" customHeight="1" x14ac:dyDescent="0.4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" customHeight="1" x14ac:dyDescent="0.4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" customHeight="1" x14ac:dyDescent="0.4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" customHeight="1" x14ac:dyDescent="0.4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" customHeight="1" x14ac:dyDescent="0.4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" customHeight="1" x14ac:dyDescent="0.4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" customHeight="1" x14ac:dyDescent="0.4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" customHeight="1" x14ac:dyDescent="0.4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" customHeight="1" x14ac:dyDescent="0.4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" customHeight="1" x14ac:dyDescent="0.4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" customHeight="1" x14ac:dyDescent="0.4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" customHeight="1" x14ac:dyDescent="0.4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" customHeight="1" x14ac:dyDescent="0.4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" customHeight="1" x14ac:dyDescent="0.4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" customHeight="1" x14ac:dyDescent="0.4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" customHeight="1" x14ac:dyDescent="0.4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" customHeight="1" x14ac:dyDescent="0.4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" customHeight="1" x14ac:dyDescent="0.4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" customHeight="1" x14ac:dyDescent="0.4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" customHeight="1" x14ac:dyDescent="0.4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" customHeight="1" x14ac:dyDescent="0.4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" customHeight="1" x14ac:dyDescent="0.4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" customHeight="1" x14ac:dyDescent="0.4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" customHeight="1" x14ac:dyDescent="0.4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" customHeight="1" x14ac:dyDescent="0.4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" customHeight="1" x14ac:dyDescent="0.4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" customHeight="1" x14ac:dyDescent="0.4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" customHeight="1" x14ac:dyDescent="0.4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" customHeight="1" x14ac:dyDescent="0.4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" customHeight="1" x14ac:dyDescent="0.4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" customHeight="1" x14ac:dyDescent="0.4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" customHeight="1" x14ac:dyDescent="0.4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" customHeight="1" x14ac:dyDescent="0.4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" customHeight="1" x14ac:dyDescent="0.4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" customHeight="1" x14ac:dyDescent="0.4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" customHeight="1" x14ac:dyDescent="0.4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" customHeight="1" x14ac:dyDescent="0.4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" customHeight="1" x14ac:dyDescent="0.4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" customHeight="1" x14ac:dyDescent="0.4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" customHeight="1" x14ac:dyDescent="0.4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" customHeight="1" x14ac:dyDescent="0.4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" customHeight="1" x14ac:dyDescent="0.4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" customHeight="1" x14ac:dyDescent="0.4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" customHeight="1" x14ac:dyDescent="0.4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" customHeight="1" x14ac:dyDescent="0.4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" customHeight="1" x14ac:dyDescent="0.4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" customHeight="1" x14ac:dyDescent="0.4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" customHeight="1" x14ac:dyDescent="0.4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" customHeight="1" x14ac:dyDescent="0.4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" customHeight="1" x14ac:dyDescent="0.4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" customHeight="1" x14ac:dyDescent="0.4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" customHeight="1" x14ac:dyDescent="0.4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" customHeight="1" x14ac:dyDescent="0.4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" customHeight="1" x14ac:dyDescent="0.4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" customHeight="1" x14ac:dyDescent="0.4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" customHeight="1" x14ac:dyDescent="0.4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" customHeight="1" x14ac:dyDescent="0.4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" customHeight="1" x14ac:dyDescent="0.4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" customHeight="1" x14ac:dyDescent="0.4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" customHeight="1" x14ac:dyDescent="0.4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" customHeight="1" x14ac:dyDescent="0.4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" customHeight="1" x14ac:dyDescent="0.4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" customHeight="1" x14ac:dyDescent="0.4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" customHeight="1" x14ac:dyDescent="0.4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" customHeight="1" x14ac:dyDescent="0.4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" customHeight="1" x14ac:dyDescent="0.4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" customHeight="1" x14ac:dyDescent="0.4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" customHeight="1" x14ac:dyDescent="0.4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" customHeight="1" x14ac:dyDescent="0.4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" customHeight="1" x14ac:dyDescent="0.4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" customHeight="1" x14ac:dyDescent="0.4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" customHeight="1" x14ac:dyDescent="0.4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" customHeight="1" x14ac:dyDescent="0.4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" customHeight="1" x14ac:dyDescent="0.4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" customHeight="1" x14ac:dyDescent="0.4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" customHeight="1" x14ac:dyDescent="0.4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" customHeight="1" x14ac:dyDescent="0.4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" customHeight="1" x14ac:dyDescent="0.4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" customHeight="1" x14ac:dyDescent="0.4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" customHeight="1" x14ac:dyDescent="0.4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" customHeight="1" x14ac:dyDescent="0.4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" customHeight="1" x14ac:dyDescent="0.4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" customHeight="1" x14ac:dyDescent="0.4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" customHeight="1" x14ac:dyDescent="0.4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" customHeight="1" x14ac:dyDescent="0.4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" customHeight="1" x14ac:dyDescent="0.4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" customHeight="1" x14ac:dyDescent="0.4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" customHeight="1" x14ac:dyDescent="0.4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" customHeight="1" x14ac:dyDescent="0.4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" customHeight="1" x14ac:dyDescent="0.4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" customHeight="1" x14ac:dyDescent="0.4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" customHeight="1" x14ac:dyDescent="0.4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" customHeight="1" x14ac:dyDescent="0.4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" customHeight="1" x14ac:dyDescent="0.4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" customHeight="1" x14ac:dyDescent="0.4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" customHeight="1" x14ac:dyDescent="0.4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" customHeight="1" x14ac:dyDescent="0.4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" customHeight="1" x14ac:dyDescent="0.4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" customHeight="1" x14ac:dyDescent="0.4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" customHeight="1" x14ac:dyDescent="0.4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" customHeight="1" x14ac:dyDescent="0.4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" customHeight="1" x14ac:dyDescent="0.4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" customHeight="1" x14ac:dyDescent="0.4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" customHeight="1" x14ac:dyDescent="0.4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" customHeight="1" x14ac:dyDescent="0.4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" customHeight="1" x14ac:dyDescent="0.4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" customHeight="1" x14ac:dyDescent="0.4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" customHeight="1" x14ac:dyDescent="0.4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" customHeight="1" x14ac:dyDescent="0.4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" customHeight="1" x14ac:dyDescent="0.4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" customHeight="1" x14ac:dyDescent="0.4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" customHeight="1" x14ac:dyDescent="0.4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" customHeight="1" x14ac:dyDescent="0.4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" customHeight="1" x14ac:dyDescent="0.4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" customHeight="1" x14ac:dyDescent="0.4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" customHeight="1" x14ac:dyDescent="0.4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" customHeight="1" x14ac:dyDescent="0.4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" customHeight="1" x14ac:dyDescent="0.4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" customHeight="1" x14ac:dyDescent="0.4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" customHeight="1" x14ac:dyDescent="0.4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" customHeight="1" x14ac:dyDescent="0.4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" customHeight="1" x14ac:dyDescent="0.4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" customHeight="1" x14ac:dyDescent="0.4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" customHeight="1" x14ac:dyDescent="0.4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" customHeight="1" x14ac:dyDescent="0.4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" customHeight="1" x14ac:dyDescent="0.4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" customHeight="1" x14ac:dyDescent="0.4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" customHeight="1" x14ac:dyDescent="0.4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" customHeight="1" x14ac:dyDescent="0.4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" customHeight="1" x14ac:dyDescent="0.4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" customHeight="1" x14ac:dyDescent="0.4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" customHeight="1" x14ac:dyDescent="0.4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" customHeight="1" x14ac:dyDescent="0.4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" customHeight="1" x14ac:dyDescent="0.4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" customHeight="1" x14ac:dyDescent="0.4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" customHeight="1" x14ac:dyDescent="0.4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" customHeight="1" x14ac:dyDescent="0.4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" customHeight="1" x14ac:dyDescent="0.4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" customHeight="1" x14ac:dyDescent="0.4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" customHeight="1" x14ac:dyDescent="0.4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" customHeight="1" x14ac:dyDescent="0.4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" customHeight="1" x14ac:dyDescent="0.4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" customHeight="1" x14ac:dyDescent="0.4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" customHeight="1" x14ac:dyDescent="0.4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" customHeight="1" x14ac:dyDescent="0.4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" customHeight="1" x14ac:dyDescent="0.4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" customHeight="1" x14ac:dyDescent="0.4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" customHeight="1" x14ac:dyDescent="0.4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" customHeight="1" x14ac:dyDescent="0.4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" customHeight="1" x14ac:dyDescent="0.4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" customHeight="1" x14ac:dyDescent="0.4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" customHeight="1" x14ac:dyDescent="0.4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" customHeight="1" x14ac:dyDescent="0.4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" customHeight="1" x14ac:dyDescent="0.4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" customHeight="1" x14ac:dyDescent="0.4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" customHeight="1" x14ac:dyDescent="0.4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" customHeight="1" x14ac:dyDescent="0.4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" customHeight="1" x14ac:dyDescent="0.4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" customHeight="1" x14ac:dyDescent="0.4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" customHeight="1" x14ac:dyDescent="0.4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" customHeight="1" x14ac:dyDescent="0.4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" customHeight="1" x14ac:dyDescent="0.4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" customHeight="1" x14ac:dyDescent="0.4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" customHeight="1" x14ac:dyDescent="0.4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" customHeight="1" x14ac:dyDescent="0.4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" customHeight="1" x14ac:dyDescent="0.4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" customHeight="1" x14ac:dyDescent="0.4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" customHeight="1" x14ac:dyDescent="0.4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" customHeight="1" x14ac:dyDescent="0.4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" customHeight="1" x14ac:dyDescent="0.4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" customHeight="1" x14ac:dyDescent="0.4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" customHeight="1" x14ac:dyDescent="0.4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" customHeight="1" x14ac:dyDescent="0.4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" customHeight="1" x14ac:dyDescent="0.4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" customHeight="1" x14ac:dyDescent="0.4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" customHeight="1" x14ac:dyDescent="0.4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" customHeight="1" x14ac:dyDescent="0.4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" customHeight="1" x14ac:dyDescent="0.4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" customHeight="1" x14ac:dyDescent="0.4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" customHeight="1" x14ac:dyDescent="0.4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" customHeight="1" x14ac:dyDescent="0.4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" customHeight="1" x14ac:dyDescent="0.4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" customHeight="1" x14ac:dyDescent="0.4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" customHeight="1" x14ac:dyDescent="0.4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" customHeight="1" x14ac:dyDescent="0.4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" customHeight="1" x14ac:dyDescent="0.4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" customHeight="1" x14ac:dyDescent="0.4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" customHeight="1" x14ac:dyDescent="0.4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" customHeight="1" x14ac:dyDescent="0.4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" customHeight="1" x14ac:dyDescent="0.4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" customHeight="1" x14ac:dyDescent="0.4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" customHeight="1" x14ac:dyDescent="0.4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" customHeight="1" x14ac:dyDescent="0.4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" customHeight="1" x14ac:dyDescent="0.4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" customHeight="1" x14ac:dyDescent="0.4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" customHeight="1" x14ac:dyDescent="0.4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" customHeight="1" x14ac:dyDescent="0.4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" customHeight="1" x14ac:dyDescent="0.4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" customHeight="1" x14ac:dyDescent="0.4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" customHeight="1" x14ac:dyDescent="0.4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" customHeight="1" x14ac:dyDescent="0.4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" customHeight="1" x14ac:dyDescent="0.4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" customHeight="1" x14ac:dyDescent="0.4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" customHeight="1" x14ac:dyDescent="0.4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" customHeight="1" x14ac:dyDescent="0.4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" customHeight="1" x14ac:dyDescent="0.4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" customHeight="1" x14ac:dyDescent="0.4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" customHeight="1" x14ac:dyDescent="0.4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" customHeight="1" x14ac:dyDescent="0.4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" customHeight="1" x14ac:dyDescent="0.4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" customHeight="1" x14ac:dyDescent="0.4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" customHeight="1" x14ac:dyDescent="0.4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" customHeight="1" x14ac:dyDescent="0.4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" customHeight="1" x14ac:dyDescent="0.4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" customHeight="1" x14ac:dyDescent="0.4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" customHeight="1" x14ac:dyDescent="0.4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" customHeight="1" x14ac:dyDescent="0.4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" customHeight="1" x14ac:dyDescent="0.4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" customHeight="1" x14ac:dyDescent="0.4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" customHeight="1" x14ac:dyDescent="0.4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" customHeight="1" x14ac:dyDescent="0.4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" customHeight="1" x14ac:dyDescent="0.4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" customHeight="1" x14ac:dyDescent="0.4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" customHeight="1" x14ac:dyDescent="0.4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" customHeight="1" x14ac:dyDescent="0.4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" customHeight="1" x14ac:dyDescent="0.4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" customHeight="1" x14ac:dyDescent="0.4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" customHeight="1" x14ac:dyDescent="0.4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" customHeight="1" x14ac:dyDescent="0.4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" customHeight="1" x14ac:dyDescent="0.4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" customHeight="1" x14ac:dyDescent="0.4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" customHeight="1" x14ac:dyDescent="0.4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" customHeight="1" x14ac:dyDescent="0.4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" customHeight="1" x14ac:dyDescent="0.4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" customHeight="1" x14ac:dyDescent="0.4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" customHeight="1" x14ac:dyDescent="0.4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" customHeight="1" x14ac:dyDescent="0.4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" customHeight="1" x14ac:dyDescent="0.4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" customHeight="1" x14ac:dyDescent="0.4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" customHeight="1" x14ac:dyDescent="0.4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" customHeight="1" x14ac:dyDescent="0.4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" customHeight="1" x14ac:dyDescent="0.4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" customHeight="1" x14ac:dyDescent="0.4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" customHeight="1" x14ac:dyDescent="0.4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" customHeight="1" x14ac:dyDescent="0.4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" customHeight="1" x14ac:dyDescent="0.4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" customHeight="1" x14ac:dyDescent="0.4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" customHeight="1" x14ac:dyDescent="0.4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" customHeight="1" x14ac:dyDescent="0.4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" customHeight="1" x14ac:dyDescent="0.4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" customHeight="1" x14ac:dyDescent="0.4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" customHeight="1" x14ac:dyDescent="0.4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" customHeight="1" x14ac:dyDescent="0.4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" customHeight="1" x14ac:dyDescent="0.4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" customHeight="1" x14ac:dyDescent="0.4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" customHeight="1" x14ac:dyDescent="0.4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" customHeight="1" x14ac:dyDescent="0.4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" customHeight="1" x14ac:dyDescent="0.4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" customHeight="1" x14ac:dyDescent="0.4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" customHeight="1" x14ac:dyDescent="0.4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" customHeight="1" x14ac:dyDescent="0.4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" customHeight="1" x14ac:dyDescent="0.4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" customHeight="1" x14ac:dyDescent="0.4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" customHeight="1" x14ac:dyDescent="0.4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" customHeight="1" x14ac:dyDescent="0.4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" customHeight="1" x14ac:dyDescent="0.4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" customHeight="1" x14ac:dyDescent="0.4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" customHeight="1" x14ac:dyDescent="0.4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" customHeight="1" x14ac:dyDescent="0.4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" customHeight="1" x14ac:dyDescent="0.4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" customHeight="1" x14ac:dyDescent="0.4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" customHeight="1" x14ac:dyDescent="0.4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" customHeight="1" x14ac:dyDescent="0.4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" customHeight="1" x14ac:dyDescent="0.4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" customHeight="1" x14ac:dyDescent="0.4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" customHeight="1" x14ac:dyDescent="0.4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" customHeight="1" x14ac:dyDescent="0.4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" customHeight="1" x14ac:dyDescent="0.4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" customHeight="1" x14ac:dyDescent="0.4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" customHeight="1" x14ac:dyDescent="0.4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" customHeight="1" x14ac:dyDescent="0.4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" customHeight="1" x14ac:dyDescent="0.4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" customHeight="1" x14ac:dyDescent="0.4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" customHeight="1" x14ac:dyDescent="0.4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" customHeight="1" x14ac:dyDescent="0.4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" customHeight="1" x14ac:dyDescent="0.4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" customHeight="1" x14ac:dyDescent="0.4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" customHeight="1" x14ac:dyDescent="0.4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" customHeight="1" x14ac:dyDescent="0.4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" customHeight="1" x14ac:dyDescent="0.4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" customHeight="1" x14ac:dyDescent="0.4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" customHeight="1" x14ac:dyDescent="0.4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" customHeight="1" x14ac:dyDescent="0.4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" customHeight="1" x14ac:dyDescent="0.4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" customHeight="1" x14ac:dyDescent="0.4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" customHeight="1" x14ac:dyDescent="0.4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" customHeight="1" x14ac:dyDescent="0.4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" customHeight="1" x14ac:dyDescent="0.4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" customHeight="1" x14ac:dyDescent="0.4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" customHeight="1" x14ac:dyDescent="0.4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" customHeight="1" x14ac:dyDescent="0.4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" customHeight="1" x14ac:dyDescent="0.4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" customHeight="1" x14ac:dyDescent="0.4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" customHeight="1" x14ac:dyDescent="0.4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" customHeight="1" x14ac:dyDescent="0.4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" customHeight="1" x14ac:dyDescent="0.4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" customHeight="1" x14ac:dyDescent="0.4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" customHeight="1" x14ac:dyDescent="0.4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" customHeight="1" x14ac:dyDescent="0.4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" customHeight="1" x14ac:dyDescent="0.4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" customHeight="1" x14ac:dyDescent="0.4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" customHeight="1" x14ac:dyDescent="0.4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" customHeight="1" x14ac:dyDescent="0.4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" customHeight="1" x14ac:dyDescent="0.4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" customHeight="1" x14ac:dyDescent="0.4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" customHeight="1" x14ac:dyDescent="0.4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" customHeight="1" x14ac:dyDescent="0.4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" customHeight="1" x14ac:dyDescent="0.4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" customHeight="1" x14ac:dyDescent="0.4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" customHeight="1" x14ac:dyDescent="0.4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" customHeight="1" x14ac:dyDescent="0.4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" customHeight="1" x14ac:dyDescent="0.4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" customHeight="1" x14ac:dyDescent="0.4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" customHeight="1" x14ac:dyDescent="0.4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" customHeight="1" x14ac:dyDescent="0.4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" customHeight="1" x14ac:dyDescent="0.4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" customHeight="1" x14ac:dyDescent="0.4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" customHeight="1" x14ac:dyDescent="0.4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" customHeight="1" x14ac:dyDescent="0.4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" customHeight="1" x14ac:dyDescent="0.4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" customHeight="1" x14ac:dyDescent="0.4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" customHeight="1" x14ac:dyDescent="0.4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" customHeight="1" x14ac:dyDescent="0.4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" customHeight="1" x14ac:dyDescent="0.4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" customHeight="1" x14ac:dyDescent="0.4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" customHeight="1" x14ac:dyDescent="0.4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" customHeight="1" x14ac:dyDescent="0.4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" customHeight="1" x14ac:dyDescent="0.4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" customHeight="1" x14ac:dyDescent="0.4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" customHeight="1" x14ac:dyDescent="0.4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" customHeight="1" x14ac:dyDescent="0.4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" customHeight="1" x14ac:dyDescent="0.4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" customHeight="1" x14ac:dyDescent="0.4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" customHeight="1" x14ac:dyDescent="0.4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" customHeight="1" x14ac:dyDescent="0.4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" customHeight="1" x14ac:dyDescent="0.4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" customHeight="1" x14ac:dyDescent="0.4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" customHeight="1" x14ac:dyDescent="0.4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" customHeight="1" x14ac:dyDescent="0.4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" customHeight="1" x14ac:dyDescent="0.4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" customHeight="1" x14ac:dyDescent="0.4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" customHeight="1" x14ac:dyDescent="0.4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" customHeight="1" x14ac:dyDescent="0.4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" customHeight="1" x14ac:dyDescent="0.4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" customHeight="1" x14ac:dyDescent="0.4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" customHeight="1" x14ac:dyDescent="0.4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" customHeight="1" x14ac:dyDescent="0.4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" customHeight="1" x14ac:dyDescent="0.4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" customHeight="1" x14ac:dyDescent="0.4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" customHeight="1" x14ac:dyDescent="0.4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" customHeight="1" x14ac:dyDescent="0.4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" customHeight="1" x14ac:dyDescent="0.4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" customHeight="1" x14ac:dyDescent="0.4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" customHeight="1" x14ac:dyDescent="0.4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" customHeight="1" x14ac:dyDescent="0.4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" customHeight="1" x14ac:dyDescent="0.4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" customHeight="1" x14ac:dyDescent="0.4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" customHeight="1" x14ac:dyDescent="0.4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" customHeight="1" x14ac:dyDescent="0.4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" customHeight="1" x14ac:dyDescent="0.4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" customHeight="1" x14ac:dyDescent="0.4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" customHeight="1" x14ac:dyDescent="0.4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" customHeight="1" x14ac:dyDescent="0.4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" customHeight="1" x14ac:dyDescent="0.4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" customHeight="1" x14ac:dyDescent="0.4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" customHeight="1" x14ac:dyDescent="0.4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" customHeight="1" x14ac:dyDescent="0.4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" customHeight="1" x14ac:dyDescent="0.4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" customHeight="1" x14ac:dyDescent="0.4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" customHeight="1" x14ac:dyDescent="0.4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" customHeight="1" x14ac:dyDescent="0.4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" customHeight="1" x14ac:dyDescent="0.4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" customHeight="1" x14ac:dyDescent="0.4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" customHeight="1" x14ac:dyDescent="0.4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" customHeight="1" x14ac:dyDescent="0.4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" customHeight="1" x14ac:dyDescent="0.4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" customHeight="1" x14ac:dyDescent="0.4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" customHeight="1" x14ac:dyDescent="0.4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" customHeight="1" x14ac:dyDescent="0.4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" customHeight="1" x14ac:dyDescent="0.4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" customHeight="1" x14ac:dyDescent="0.4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" customHeight="1" x14ac:dyDescent="0.4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" customHeight="1" x14ac:dyDescent="0.4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" customHeight="1" x14ac:dyDescent="0.4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" customHeight="1" x14ac:dyDescent="0.4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" customHeight="1" x14ac:dyDescent="0.4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" customHeight="1" x14ac:dyDescent="0.4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" customHeight="1" x14ac:dyDescent="0.4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" customHeight="1" x14ac:dyDescent="0.4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" customHeight="1" x14ac:dyDescent="0.4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" customHeight="1" x14ac:dyDescent="0.4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" customHeight="1" x14ac:dyDescent="0.4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" customHeight="1" x14ac:dyDescent="0.4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" customHeight="1" x14ac:dyDescent="0.4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" customHeight="1" x14ac:dyDescent="0.4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" customHeight="1" x14ac:dyDescent="0.4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" customHeight="1" x14ac:dyDescent="0.4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" customHeight="1" x14ac:dyDescent="0.4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" customHeight="1" x14ac:dyDescent="0.4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" customHeight="1" x14ac:dyDescent="0.4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" customHeight="1" x14ac:dyDescent="0.4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" customHeight="1" x14ac:dyDescent="0.4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" customHeight="1" x14ac:dyDescent="0.4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" customHeight="1" x14ac:dyDescent="0.4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" customHeight="1" x14ac:dyDescent="0.4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" customHeight="1" x14ac:dyDescent="0.4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" customHeight="1" x14ac:dyDescent="0.4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" customHeight="1" x14ac:dyDescent="0.4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" customHeight="1" x14ac:dyDescent="0.4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" customHeight="1" x14ac:dyDescent="0.4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" customHeight="1" x14ac:dyDescent="0.4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" customHeight="1" x14ac:dyDescent="0.4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" customHeight="1" x14ac:dyDescent="0.4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" customHeight="1" x14ac:dyDescent="0.4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" customHeight="1" x14ac:dyDescent="0.4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" customHeight="1" x14ac:dyDescent="0.4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" customHeight="1" x14ac:dyDescent="0.4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" customHeight="1" x14ac:dyDescent="0.4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" customHeight="1" x14ac:dyDescent="0.4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" customHeight="1" x14ac:dyDescent="0.4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" customHeight="1" x14ac:dyDescent="0.4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" customHeight="1" x14ac:dyDescent="0.4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" customHeight="1" x14ac:dyDescent="0.4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" customHeight="1" x14ac:dyDescent="0.4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" customHeight="1" x14ac:dyDescent="0.4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" customHeight="1" x14ac:dyDescent="0.4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" customHeight="1" x14ac:dyDescent="0.4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" customHeight="1" x14ac:dyDescent="0.4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" customHeight="1" x14ac:dyDescent="0.4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" customHeight="1" x14ac:dyDescent="0.4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" customHeight="1" x14ac:dyDescent="0.4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" customHeight="1" x14ac:dyDescent="0.4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" customHeight="1" x14ac:dyDescent="0.4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" customHeight="1" x14ac:dyDescent="0.4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" customHeight="1" x14ac:dyDescent="0.4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" customHeight="1" x14ac:dyDescent="0.4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" customHeight="1" x14ac:dyDescent="0.4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" customHeight="1" x14ac:dyDescent="0.4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" customHeight="1" x14ac:dyDescent="0.4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" customHeight="1" x14ac:dyDescent="0.4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" customHeight="1" x14ac:dyDescent="0.4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" customHeight="1" x14ac:dyDescent="0.4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" customHeight="1" x14ac:dyDescent="0.4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" customHeight="1" x14ac:dyDescent="0.4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" customHeight="1" x14ac:dyDescent="0.4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" customHeight="1" x14ac:dyDescent="0.4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" customHeight="1" x14ac:dyDescent="0.4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" customHeight="1" x14ac:dyDescent="0.4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" customHeight="1" x14ac:dyDescent="0.4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" customHeight="1" x14ac:dyDescent="0.4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" customHeight="1" x14ac:dyDescent="0.4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" customHeight="1" x14ac:dyDescent="0.4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" customHeight="1" x14ac:dyDescent="0.4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" customHeight="1" x14ac:dyDescent="0.4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" customHeight="1" x14ac:dyDescent="0.4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" customHeight="1" x14ac:dyDescent="0.4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" customHeight="1" x14ac:dyDescent="0.4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" customHeight="1" x14ac:dyDescent="0.4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" customHeight="1" x14ac:dyDescent="0.4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" customHeight="1" x14ac:dyDescent="0.4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" customHeight="1" x14ac:dyDescent="0.4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" customHeight="1" x14ac:dyDescent="0.4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" customHeight="1" x14ac:dyDescent="0.4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" customHeight="1" x14ac:dyDescent="0.4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" customHeight="1" x14ac:dyDescent="0.4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" customHeight="1" x14ac:dyDescent="0.4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" customHeight="1" x14ac:dyDescent="0.4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" customHeight="1" x14ac:dyDescent="0.4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" customHeight="1" x14ac:dyDescent="0.4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" customHeight="1" x14ac:dyDescent="0.4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" customHeight="1" x14ac:dyDescent="0.4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" customHeight="1" x14ac:dyDescent="0.4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" customHeight="1" x14ac:dyDescent="0.4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" customHeight="1" x14ac:dyDescent="0.4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" customHeight="1" x14ac:dyDescent="0.4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" customHeight="1" x14ac:dyDescent="0.4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" customHeight="1" x14ac:dyDescent="0.4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" customHeight="1" x14ac:dyDescent="0.4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" customHeight="1" x14ac:dyDescent="0.4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" customHeight="1" x14ac:dyDescent="0.4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" customHeight="1" x14ac:dyDescent="0.4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" customHeight="1" x14ac:dyDescent="0.4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" customHeight="1" x14ac:dyDescent="0.4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" customHeight="1" x14ac:dyDescent="0.4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" customHeight="1" x14ac:dyDescent="0.4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" customHeight="1" x14ac:dyDescent="0.4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" customHeight="1" x14ac:dyDescent="0.4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" customHeight="1" x14ac:dyDescent="0.4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" customHeight="1" x14ac:dyDescent="0.4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" customHeight="1" x14ac:dyDescent="0.4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" customHeight="1" x14ac:dyDescent="0.4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" customHeight="1" x14ac:dyDescent="0.4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" customHeight="1" x14ac:dyDescent="0.4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" customHeight="1" x14ac:dyDescent="0.4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" customHeight="1" x14ac:dyDescent="0.4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" customHeight="1" x14ac:dyDescent="0.4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" customHeight="1" x14ac:dyDescent="0.4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" customHeight="1" x14ac:dyDescent="0.4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" customHeight="1" x14ac:dyDescent="0.4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" customHeight="1" x14ac:dyDescent="0.4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" customHeight="1" x14ac:dyDescent="0.4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" customHeight="1" x14ac:dyDescent="0.4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" customHeight="1" x14ac:dyDescent="0.4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" customHeight="1" x14ac:dyDescent="0.4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" customHeight="1" x14ac:dyDescent="0.4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" customHeight="1" x14ac:dyDescent="0.4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" customHeight="1" x14ac:dyDescent="0.4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" customHeight="1" x14ac:dyDescent="0.4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" customHeight="1" x14ac:dyDescent="0.4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" customHeight="1" x14ac:dyDescent="0.4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" customHeight="1" x14ac:dyDescent="0.4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" customHeight="1" x14ac:dyDescent="0.4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" customHeight="1" x14ac:dyDescent="0.4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" customHeight="1" x14ac:dyDescent="0.4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" customHeight="1" x14ac:dyDescent="0.4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" customHeight="1" x14ac:dyDescent="0.4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" customHeight="1" x14ac:dyDescent="0.4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" customHeight="1" x14ac:dyDescent="0.4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" customHeight="1" x14ac:dyDescent="0.4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" customHeight="1" x14ac:dyDescent="0.4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" customHeight="1" x14ac:dyDescent="0.4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" customHeight="1" x14ac:dyDescent="0.4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" customHeight="1" x14ac:dyDescent="0.4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" customHeight="1" x14ac:dyDescent="0.4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" customHeight="1" x14ac:dyDescent="0.4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" customHeight="1" x14ac:dyDescent="0.4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" customHeight="1" x14ac:dyDescent="0.4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" customHeight="1" x14ac:dyDescent="0.4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" customHeight="1" x14ac:dyDescent="0.4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" customHeight="1" x14ac:dyDescent="0.4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" customHeight="1" x14ac:dyDescent="0.4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" customHeight="1" x14ac:dyDescent="0.4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" customHeight="1" x14ac:dyDescent="0.4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" customHeight="1" x14ac:dyDescent="0.4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" customHeight="1" x14ac:dyDescent="0.4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" customHeight="1" x14ac:dyDescent="0.4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" customHeight="1" x14ac:dyDescent="0.4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" customHeight="1" x14ac:dyDescent="0.4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" customHeight="1" x14ac:dyDescent="0.4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" customHeight="1" x14ac:dyDescent="0.4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" customHeight="1" x14ac:dyDescent="0.4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" customHeight="1" x14ac:dyDescent="0.4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" customHeight="1" x14ac:dyDescent="0.4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" customHeight="1" x14ac:dyDescent="0.4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" customHeight="1" x14ac:dyDescent="0.4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" customHeight="1" x14ac:dyDescent="0.4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" customHeight="1" x14ac:dyDescent="0.4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" customHeight="1" x14ac:dyDescent="0.4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" customHeight="1" x14ac:dyDescent="0.4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" customHeight="1" x14ac:dyDescent="0.4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" customHeight="1" x14ac:dyDescent="0.4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" customHeight="1" x14ac:dyDescent="0.4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" customHeight="1" x14ac:dyDescent="0.4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" customHeight="1" x14ac:dyDescent="0.4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" customHeight="1" x14ac:dyDescent="0.4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" customHeight="1" x14ac:dyDescent="0.4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" customHeight="1" x14ac:dyDescent="0.4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" customHeight="1" x14ac:dyDescent="0.4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" customHeight="1" x14ac:dyDescent="0.4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" customHeight="1" x14ac:dyDescent="0.4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" customHeight="1" x14ac:dyDescent="0.4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" customHeight="1" x14ac:dyDescent="0.4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" customHeight="1" x14ac:dyDescent="0.4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" customHeight="1" x14ac:dyDescent="0.4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" customHeight="1" x14ac:dyDescent="0.4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" customHeight="1" x14ac:dyDescent="0.4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" customHeight="1" x14ac:dyDescent="0.4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" customHeight="1" x14ac:dyDescent="0.4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" customHeight="1" x14ac:dyDescent="0.4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" customHeight="1" x14ac:dyDescent="0.4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" customHeight="1" x14ac:dyDescent="0.4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" customHeight="1" x14ac:dyDescent="0.4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" customHeight="1" x14ac:dyDescent="0.4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" customHeight="1" x14ac:dyDescent="0.4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" customHeight="1" x14ac:dyDescent="0.4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" customHeight="1" x14ac:dyDescent="0.4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" customHeight="1" x14ac:dyDescent="0.4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" customHeight="1" x14ac:dyDescent="0.4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" customHeight="1" x14ac:dyDescent="0.4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" customHeight="1" x14ac:dyDescent="0.4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" customHeight="1" x14ac:dyDescent="0.4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" customHeight="1" x14ac:dyDescent="0.4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" customHeight="1" x14ac:dyDescent="0.4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" customHeight="1" x14ac:dyDescent="0.4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" customHeight="1" x14ac:dyDescent="0.4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" customHeight="1" x14ac:dyDescent="0.4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" customHeight="1" x14ac:dyDescent="0.4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" customHeight="1" x14ac:dyDescent="0.4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" customHeight="1" x14ac:dyDescent="0.4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" customHeight="1" x14ac:dyDescent="0.4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" customHeight="1" x14ac:dyDescent="0.4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" customHeight="1" x14ac:dyDescent="0.4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" customHeight="1" x14ac:dyDescent="0.4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" customHeight="1" x14ac:dyDescent="0.4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" customHeight="1" x14ac:dyDescent="0.4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" customHeight="1" x14ac:dyDescent="0.4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" customHeight="1" x14ac:dyDescent="0.4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" customHeight="1" x14ac:dyDescent="0.4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" customHeight="1" x14ac:dyDescent="0.4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" customHeight="1" x14ac:dyDescent="0.4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" customHeight="1" x14ac:dyDescent="0.4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" customHeight="1" x14ac:dyDescent="0.4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" customHeight="1" x14ac:dyDescent="0.4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" customHeight="1" x14ac:dyDescent="0.4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" customHeight="1" x14ac:dyDescent="0.4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" customHeight="1" x14ac:dyDescent="0.4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" customHeight="1" x14ac:dyDescent="0.4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" customHeight="1" x14ac:dyDescent="0.4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" customHeight="1" x14ac:dyDescent="0.4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" customHeight="1" x14ac:dyDescent="0.4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" customHeight="1" x14ac:dyDescent="0.4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" customHeight="1" x14ac:dyDescent="0.4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" customHeight="1" x14ac:dyDescent="0.4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" customHeight="1" x14ac:dyDescent="0.4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" customHeight="1" x14ac:dyDescent="0.4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" customHeight="1" x14ac:dyDescent="0.4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" customHeight="1" x14ac:dyDescent="0.4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" customHeight="1" x14ac:dyDescent="0.4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" customHeight="1" x14ac:dyDescent="0.4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" customHeight="1" x14ac:dyDescent="0.4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" customHeight="1" x14ac:dyDescent="0.4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" customHeight="1" x14ac:dyDescent="0.4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" customHeight="1" x14ac:dyDescent="0.4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" customHeight="1" x14ac:dyDescent="0.4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" customHeight="1" x14ac:dyDescent="0.4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" customHeight="1" x14ac:dyDescent="0.4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" customHeight="1" x14ac:dyDescent="0.4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" customHeight="1" x14ac:dyDescent="0.4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" customHeight="1" x14ac:dyDescent="0.4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" customHeight="1" x14ac:dyDescent="0.4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" customHeight="1" x14ac:dyDescent="0.4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" customHeight="1" x14ac:dyDescent="0.4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" customHeight="1" x14ac:dyDescent="0.4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" customHeight="1" x14ac:dyDescent="0.4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" customHeight="1" x14ac:dyDescent="0.4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" customHeight="1" x14ac:dyDescent="0.4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" customHeight="1" x14ac:dyDescent="0.4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" customHeight="1" x14ac:dyDescent="0.4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" customHeight="1" x14ac:dyDescent="0.4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" customHeight="1" x14ac:dyDescent="0.4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" customHeight="1" x14ac:dyDescent="0.4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" customHeight="1" x14ac:dyDescent="0.4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" customHeight="1" x14ac:dyDescent="0.4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" customHeight="1" x14ac:dyDescent="0.4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" customHeight="1" x14ac:dyDescent="0.4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" customHeight="1" x14ac:dyDescent="0.4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" customHeight="1" x14ac:dyDescent="0.4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" customHeight="1" x14ac:dyDescent="0.4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" customHeight="1" x14ac:dyDescent="0.4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" customHeight="1" x14ac:dyDescent="0.4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" customHeight="1" x14ac:dyDescent="0.4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" customHeight="1" x14ac:dyDescent="0.4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" customHeight="1" x14ac:dyDescent="0.4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" customHeight="1" x14ac:dyDescent="0.4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" customHeight="1" x14ac:dyDescent="0.4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" customHeight="1" x14ac:dyDescent="0.4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" customHeight="1" x14ac:dyDescent="0.4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" customHeight="1" x14ac:dyDescent="0.4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" customHeight="1" x14ac:dyDescent="0.4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" customHeight="1" x14ac:dyDescent="0.4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" customHeight="1" x14ac:dyDescent="0.4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" customHeight="1" x14ac:dyDescent="0.4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" customHeight="1" x14ac:dyDescent="0.4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" customHeight="1" x14ac:dyDescent="0.4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" customHeight="1" x14ac:dyDescent="0.4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" customHeight="1" x14ac:dyDescent="0.4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" customHeight="1" x14ac:dyDescent="0.4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" customHeight="1" x14ac:dyDescent="0.4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" customHeight="1" x14ac:dyDescent="0.4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" customHeight="1" x14ac:dyDescent="0.4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" customHeight="1" x14ac:dyDescent="0.4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" customHeight="1" x14ac:dyDescent="0.4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" customHeight="1" x14ac:dyDescent="0.4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" customHeight="1" x14ac:dyDescent="0.4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" customHeight="1" x14ac:dyDescent="0.4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" customHeight="1" x14ac:dyDescent="0.4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" customHeight="1" x14ac:dyDescent="0.4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" customHeight="1" x14ac:dyDescent="0.4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" customHeight="1" x14ac:dyDescent="0.4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" customHeight="1" x14ac:dyDescent="0.4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" customHeight="1" x14ac:dyDescent="0.4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" customHeight="1" x14ac:dyDescent="0.4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" customHeight="1" x14ac:dyDescent="0.4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" customHeight="1" x14ac:dyDescent="0.4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" customHeight="1" x14ac:dyDescent="0.4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" customHeight="1" x14ac:dyDescent="0.4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" customHeight="1" x14ac:dyDescent="0.4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" customHeight="1" x14ac:dyDescent="0.4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" customHeight="1" x14ac:dyDescent="0.4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" customHeight="1" x14ac:dyDescent="0.4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" customHeight="1" x14ac:dyDescent="0.4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" customHeight="1" x14ac:dyDescent="0.4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" customHeight="1" x14ac:dyDescent="0.4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" customHeight="1" x14ac:dyDescent="0.4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" customHeight="1" x14ac:dyDescent="0.4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" customHeight="1" x14ac:dyDescent="0.4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" customHeight="1" x14ac:dyDescent="0.4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" customHeight="1" x14ac:dyDescent="0.4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" customHeight="1" x14ac:dyDescent="0.4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" customHeight="1" x14ac:dyDescent="0.4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" customHeight="1" x14ac:dyDescent="0.4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" customHeight="1" x14ac:dyDescent="0.4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" customHeight="1" x14ac:dyDescent="0.4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" customHeight="1" x14ac:dyDescent="0.4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" customHeight="1" x14ac:dyDescent="0.4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" customHeight="1" x14ac:dyDescent="0.4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" customHeight="1" x14ac:dyDescent="0.4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" customHeight="1" x14ac:dyDescent="0.4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" customHeight="1" x14ac:dyDescent="0.4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" customHeight="1" x14ac:dyDescent="0.4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" customHeight="1" x14ac:dyDescent="0.4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" customHeight="1" x14ac:dyDescent="0.4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" customHeight="1" x14ac:dyDescent="0.4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" customHeight="1" x14ac:dyDescent="0.4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" customHeight="1" x14ac:dyDescent="0.4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" customHeight="1" x14ac:dyDescent="0.4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" customHeight="1" x14ac:dyDescent="0.4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" customHeight="1" x14ac:dyDescent="0.4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" customHeight="1" x14ac:dyDescent="0.4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" customHeight="1" x14ac:dyDescent="0.4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" customHeight="1" x14ac:dyDescent="0.4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" customHeight="1" x14ac:dyDescent="0.4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" customHeight="1" x14ac:dyDescent="0.4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" customHeight="1" x14ac:dyDescent="0.4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" customHeight="1" x14ac:dyDescent="0.4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" customHeight="1" x14ac:dyDescent="0.4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" customHeight="1" x14ac:dyDescent="0.4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" customHeight="1" x14ac:dyDescent="0.4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" customHeight="1" x14ac:dyDescent="0.4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" customHeight="1" x14ac:dyDescent="0.4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" customHeight="1" x14ac:dyDescent="0.4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" customHeight="1" x14ac:dyDescent="0.4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" customHeight="1" x14ac:dyDescent="0.4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" customHeight="1" x14ac:dyDescent="0.4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" customHeight="1" x14ac:dyDescent="0.4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" customHeight="1" x14ac:dyDescent="0.4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" customHeight="1" x14ac:dyDescent="0.4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" customHeight="1" x14ac:dyDescent="0.4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" customHeight="1" x14ac:dyDescent="0.4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" customHeight="1" x14ac:dyDescent="0.4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" customHeight="1" x14ac:dyDescent="0.4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" customHeight="1" x14ac:dyDescent="0.4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" customHeight="1" x14ac:dyDescent="0.4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" customHeight="1" x14ac:dyDescent="0.4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" customHeight="1" x14ac:dyDescent="0.4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" customHeight="1" x14ac:dyDescent="0.4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" customHeight="1" x14ac:dyDescent="0.4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" customHeight="1" x14ac:dyDescent="0.4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" customHeight="1" x14ac:dyDescent="0.4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" customHeight="1" x14ac:dyDescent="0.4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" customHeight="1" x14ac:dyDescent="0.4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" customHeight="1" x14ac:dyDescent="0.4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" customHeight="1" x14ac:dyDescent="0.4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" customHeight="1" x14ac:dyDescent="0.4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" customHeight="1" x14ac:dyDescent="0.4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" customHeight="1" x14ac:dyDescent="0.4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" customHeight="1" x14ac:dyDescent="0.4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" customHeight="1" x14ac:dyDescent="0.4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" customHeight="1" x14ac:dyDescent="0.4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" customHeight="1" x14ac:dyDescent="0.4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" customHeight="1" x14ac:dyDescent="0.4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" customHeight="1" x14ac:dyDescent="0.4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" customHeight="1" x14ac:dyDescent="0.4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" customHeight="1" x14ac:dyDescent="0.4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" customHeight="1" x14ac:dyDescent="0.4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" customHeight="1" x14ac:dyDescent="0.4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" customHeight="1" x14ac:dyDescent="0.4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" customHeight="1" x14ac:dyDescent="0.4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" customHeight="1" x14ac:dyDescent="0.4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" customHeight="1" x14ac:dyDescent="0.4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" customHeight="1" x14ac:dyDescent="0.4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" customHeight="1" x14ac:dyDescent="0.4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" customHeight="1" x14ac:dyDescent="0.4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" customHeight="1" x14ac:dyDescent="0.4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" customHeight="1" x14ac:dyDescent="0.4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" customHeight="1" x14ac:dyDescent="0.4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" customHeight="1" x14ac:dyDescent="0.4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" customHeight="1" x14ac:dyDescent="0.4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" customHeight="1" x14ac:dyDescent="0.4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" customHeight="1" x14ac:dyDescent="0.4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" customHeight="1" x14ac:dyDescent="0.4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" customHeight="1" x14ac:dyDescent="0.4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" customHeight="1" x14ac:dyDescent="0.4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" customHeight="1" x14ac:dyDescent="0.4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" customHeight="1" x14ac:dyDescent="0.4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" customHeight="1" x14ac:dyDescent="0.4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" customHeight="1" x14ac:dyDescent="0.4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" customHeight="1" x14ac:dyDescent="0.4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" customHeight="1" x14ac:dyDescent="0.4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" customHeight="1" x14ac:dyDescent="0.4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" customHeight="1" x14ac:dyDescent="0.4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" customHeight="1" x14ac:dyDescent="0.4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" customHeight="1" x14ac:dyDescent="0.4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" customHeight="1" x14ac:dyDescent="0.4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" customHeight="1" x14ac:dyDescent="0.4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" customHeight="1" x14ac:dyDescent="0.4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" customHeight="1" x14ac:dyDescent="0.4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" customHeight="1" x14ac:dyDescent="0.4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" customHeight="1" x14ac:dyDescent="0.4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" customHeight="1" x14ac:dyDescent="0.4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" customHeight="1" x14ac:dyDescent="0.4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" customHeight="1" x14ac:dyDescent="0.4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" customHeight="1" x14ac:dyDescent="0.4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" customHeight="1" x14ac:dyDescent="0.4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" customHeight="1" x14ac:dyDescent="0.4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" customHeight="1" x14ac:dyDescent="0.4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" customHeight="1" x14ac:dyDescent="0.4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" customHeight="1" x14ac:dyDescent="0.4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" customHeight="1" x14ac:dyDescent="0.4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" customHeight="1" x14ac:dyDescent="0.4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" customHeight="1" x14ac:dyDescent="0.4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" customHeight="1" x14ac:dyDescent="0.4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" customHeight="1" x14ac:dyDescent="0.4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" customHeight="1" x14ac:dyDescent="0.4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" customHeight="1" x14ac:dyDescent="0.4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" customHeight="1" x14ac:dyDescent="0.4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" customHeight="1" x14ac:dyDescent="0.4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" customHeight="1" x14ac:dyDescent="0.4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" customHeight="1" x14ac:dyDescent="0.4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" customHeight="1" x14ac:dyDescent="0.4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" customHeight="1" x14ac:dyDescent="0.4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" customHeight="1" x14ac:dyDescent="0.4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" customHeight="1" x14ac:dyDescent="0.4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" customHeight="1" x14ac:dyDescent="0.4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" customHeight="1" x14ac:dyDescent="0.4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" customHeight="1" x14ac:dyDescent="0.4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" customHeight="1" x14ac:dyDescent="0.4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" customHeight="1" x14ac:dyDescent="0.4">
      <c r="W3439" s="50"/>
      <c r="X3439" s="50"/>
      <c r="Y3439" s="50"/>
      <c r="AY3439" s="50"/>
      <c r="AZ3439" s="50"/>
      <c r="BA3439" s="50"/>
    </row>
    <row r="3440" spans="23:53" ht="16.2" customHeight="1" x14ac:dyDescent="0.4">
      <c r="W3440" s="50"/>
      <c r="X3440" s="50"/>
      <c r="Y3440" s="50"/>
      <c r="AY3440" s="50"/>
      <c r="AZ3440" s="50"/>
      <c r="BA3440" s="50"/>
    </row>
    <row r="3441" spans="23:53" ht="16.2" customHeight="1" x14ac:dyDescent="0.4">
      <c r="W3441" s="50"/>
      <c r="X3441" s="50"/>
      <c r="Y3441" s="50"/>
      <c r="AY3441" s="50"/>
      <c r="AZ3441" s="50"/>
      <c r="BA3441" s="50"/>
    </row>
  </sheetData>
  <mergeCells count="284"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5" bestFit="1" customWidth="1"/>
    <col min="17" max="17" width="9.8984375" style="56"/>
    <col min="18" max="18" width="9.8984375" style="55"/>
    <col min="19" max="19" width="9.8984375" style="56"/>
    <col min="20" max="20" width="9.8984375" style="55"/>
    <col min="21" max="21" width="9.8984375" style="56"/>
    <col min="22" max="22" width="9.8984375" style="55"/>
    <col min="23" max="23" width="9.8984375" style="56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76" t="s">
        <v>59</v>
      </c>
      <c r="B3" s="176"/>
      <c r="C3" s="176"/>
      <c r="D3" s="176"/>
      <c r="E3" s="176"/>
      <c r="G3" s="176" t="s">
        <v>82</v>
      </c>
      <c r="H3" s="176"/>
      <c r="I3" s="176"/>
      <c r="J3" s="176"/>
      <c r="K3" s="176"/>
      <c r="L3" s="21"/>
      <c r="M3" s="21"/>
      <c r="N3" s="21"/>
      <c r="P3" s="176" t="s">
        <v>83</v>
      </c>
      <c r="Q3" s="176"/>
      <c r="R3" s="176"/>
      <c r="S3" s="176"/>
      <c r="T3" s="176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4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4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4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4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4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4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4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4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4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4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4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4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4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4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4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4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4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4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4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4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4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4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4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4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4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4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4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4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4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4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4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4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4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4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4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4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4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4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4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4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4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4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4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4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4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4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4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4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4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4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4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4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4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4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4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4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4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4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4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4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4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4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4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4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4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4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4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4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4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4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4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4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4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4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4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4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4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4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4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4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4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4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4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4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4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4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4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4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4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4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4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4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4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4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4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4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4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4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4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4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4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4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4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4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4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4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4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4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4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4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4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4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4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4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4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4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4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4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4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4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4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4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4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4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4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4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4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4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4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4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4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4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4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4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4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4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4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4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4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4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4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4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4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4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4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4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4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4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4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4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4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4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4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4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4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4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4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4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4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4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4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4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4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4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4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4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4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4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4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4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4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4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4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4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4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4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4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4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4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4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4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4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4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4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4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4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4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4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4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4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4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4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4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4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4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4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4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4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4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4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4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4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4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4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4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4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4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4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4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4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4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4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4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4">
      <c r="G218" s="32"/>
      <c r="H218" s="37"/>
      <c r="I218" s="32"/>
      <c r="J218" s="37"/>
      <c r="K218" s="32"/>
      <c r="L218" s="37"/>
    </row>
    <row r="219" spans="7:12" ht="18" customHeight="1" x14ac:dyDescent="0.4">
      <c r="G219" s="32"/>
      <c r="H219" s="37"/>
      <c r="I219" s="32"/>
      <c r="J219" s="37"/>
      <c r="K219" s="32"/>
      <c r="L219" s="37"/>
    </row>
    <row r="220" spans="7:12" ht="18" customHeight="1" x14ac:dyDescent="0.4">
      <c r="G220" s="32"/>
      <c r="H220" s="37"/>
      <c r="I220" s="32"/>
      <c r="J220" s="37"/>
      <c r="K220" s="32"/>
      <c r="L220" s="37"/>
    </row>
    <row r="221" spans="7:12" ht="18" customHeight="1" x14ac:dyDescent="0.4">
      <c r="G221" s="32"/>
      <c r="H221" s="37"/>
      <c r="I221" s="32"/>
      <c r="J221" s="37"/>
      <c r="K221" s="32"/>
      <c r="L221" s="37"/>
    </row>
    <row r="222" spans="7:12" ht="18" customHeight="1" x14ac:dyDescent="0.4">
      <c r="G222" s="32"/>
      <c r="H222" s="37"/>
      <c r="I222" s="32"/>
      <c r="J222" s="37"/>
      <c r="K222" s="32"/>
      <c r="L222" s="37"/>
    </row>
    <row r="223" spans="7:12" ht="18" customHeight="1" x14ac:dyDescent="0.4">
      <c r="G223" s="32"/>
      <c r="H223" s="37"/>
      <c r="I223" s="32"/>
      <c r="J223" s="37"/>
      <c r="K223" s="32"/>
      <c r="L223" s="37"/>
    </row>
    <row r="224" spans="7:12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D5" sqref="D5:E5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57"/>
    <col min="3" max="5" width="13.8984375" style="58"/>
    <col min="6" max="8" width="13.8984375" style="59"/>
    <col min="9" max="9" width="13.8984375" style="57"/>
    <col min="10" max="12" width="13.8984375" style="58"/>
    <col min="13" max="15" width="13.8984375" style="59"/>
    <col min="16" max="16384" width="13.8984375" style="21"/>
  </cols>
  <sheetData>
    <row r="1" spans="1:15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4">
      <c r="B4" s="178" t="s">
        <v>58</v>
      </c>
      <c r="C4" s="178"/>
      <c r="D4" s="179">
        <v>1000</v>
      </c>
      <c r="E4" s="179"/>
      <c r="F4" s="21"/>
      <c r="G4" s="180" t="s">
        <v>79</v>
      </c>
      <c r="H4" s="181"/>
      <c r="I4" s="182">
        <v>10147.088095849856</v>
      </c>
      <c r="J4" s="183"/>
      <c r="K4" s="21"/>
      <c r="L4" s="31">
        <v>44805.622812499998</v>
      </c>
      <c r="M4" s="1" t="s">
        <v>5</v>
      </c>
      <c r="N4" s="90" t="s">
        <v>6</v>
      </c>
      <c r="O4" s="90"/>
    </row>
    <row r="5" spans="1:15" x14ac:dyDescent="0.4">
      <c r="B5" s="178" t="s">
        <v>30</v>
      </c>
      <c r="C5" s="178"/>
      <c r="D5" s="179">
        <v>0</v>
      </c>
      <c r="E5" s="179"/>
      <c r="F5" s="21"/>
      <c r="G5" s="180" t="s">
        <v>80</v>
      </c>
      <c r="H5" s="181"/>
      <c r="I5" s="182">
        <v>9940.9949866927163</v>
      </c>
      <c r="J5" s="183"/>
      <c r="K5" s="21"/>
      <c r="L5" s="31">
        <v>44805.622812499998</v>
      </c>
      <c r="M5" s="21"/>
      <c r="N5" s="90"/>
      <c r="O5" s="90"/>
    </row>
    <row r="6" spans="1:15" x14ac:dyDescent="0.4">
      <c r="B6" s="21"/>
      <c r="C6" s="21"/>
      <c r="D6" s="21"/>
      <c r="E6" s="21"/>
      <c r="F6" s="21"/>
      <c r="G6" s="180" t="s">
        <v>64</v>
      </c>
      <c r="H6" s="181"/>
      <c r="I6" s="182">
        <v>72.206939595313401</v>
      </c>
      <c r="J6" s="183"/>
      <c r="K6" s="21"/>
      <c r="L6" s="31"/>
      <c r="M6" s="21"/>
      <c r="N6" s="90"/>
      <c r="O6" s="90"/>
    </row>
    <row r="7" spans="1:15" x14ac:dyDescent="0.4">
      <c r="B7" s="21"/>
      <c r="C7" s="21"/>
      <c r="D7" s="21">
        <v>1</v>
      </c>
      <c r="E7" s="21"/>
      <c r="F7" s="21"/>
      <c r="G7" s="180" t="s">
        <v>94</v>
      </c>
      <c r="H7" s="181"/>
      <c r="I7" s="182">
        <v>133.88616956182673</v>
      </c>
      <c r="J7" s="183"/>
      <c r="K7" s="21"/>
      <c r="L7" s="21"/>
      <c r="M7" s="21"/>
      <c r="N7" s="21"/>
      <c r="O7" s="21"/>
    </row>
    <row r="8" spans="1:15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4">
      <c r="A10" s="69"/>
      <c r="B10" s="177" t="s">
        <v>65</v>
      </c>
      <c r="C10" s="177"/>
      <c r="D10" s="177"/>
      <c r="E10" s="177"/>
      <c r="F10" s="177"/>
      <c r="G10" s="177"/>
      <c r="H10" s="177"/>
      <c r="I10" s="177" t="s">
        <v>68</v>
      </c>
      <c r="J10" s="177"/>
      <c r="K10" s="177"/>
      <c r="L10" s="177"/>
      <c r="M10" s="177"/>
      <c r="N10" s="177"/>
      <c r="O10" s="177"/>
    </row>
    <row r="11" spans="1:15" x14ac:dyDescent="0.4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4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4">
      <c r="B13" s="64">
        <v>44692</v>
      </c>
      <c r="C13" s="65">
        <v>1.6127890843945492E-2</v>
      </c>
      <c r="D13" s="65">
        <v>1.0770178977410342E-2</v>
      </c>
      <c r="E13" s="65"/>
      <c r="F13" s="66"/>
      <c r="G13" s="67">
        <v>157.97583810758505</v>
      </c>
      <c r="H13" s="66">
        <v>0.99213953276159073</v>
      </c>
      <c r="I13" s="64">
        <v>44692</v>
      </c>
      <c r="J13" s="65">
        <v>1.610447398652751E-2</v>
      </c>
      <c r="K13" s="65"/>
      <c r="L13" s="65"/>
      <c r="M13" s="66"/>
      <c r="N13" s="67">
        <v>48.767123287670181</v>
      </c>
      <c r="O13" s="66">
        <v>0.99213953276159073</v>
      </c>
    </row>
    <row r="14" spans="1:15" x14ac:dyDescent="0.4">
      <c r="B14" s="64">
        <v>44784</v>
      </c>
      <c r="C14" s="65">
        <v>1.8676749785088823E-2</v>
      </c>
      <c r="D14" s="65">
        <v>1.0883626045658056E-2</v>
      </c>
      <c r="E14" s="65"/>
      <c r="F14" s="66"/>
      <c r="G14" s="67">
        <v>118.48907303275382</v>
      </c>
      <c r="H14" s="66">
        <v>0.98738822422253059</v>
      </c>
      <c r="I14" s="64">
        <v>44784</v>
      </c>
      <c r="J14" s="65">
        <v>1.8686166292727541E-2</v>
      </c>
      <c r="K14" s="65"/>
      <c r="L14" s="65"/>
      <c r="M14" s="66"/>
      <c r="N14" s="67">
        <v>50.410958904109322</v>
      </c>
      <c r="O14" s="66">
        <v>0.98738822422253059</v>
      </c>
    </row>
    <row r="15" spans="1:15" x14ac:dyDescent="0.4">
      <c r="B15" s="64">
        <v>44876</v>
      </c>
      <c r="C15" s="65">
        <v>2.157378598490459E-2</v>
      </c>
      <c r="D15" s="65">
        <v>1.124904982977463E-2</v>
      </c>
      <c r="E15" s="65"/>
      <c r="F15" s="66"/>
      <c r="G15" s="67">
        <v>52.537583230830087</v>
      </c>
      <c r="H15" s="66">
        <v>0.981960772418629</v>
      </c>
      <c r="I15" s="64">
        <v>44876</v>
      </c>
      <c r="J15" s="65">
        <v>2.1584710358288964E-2</v>
      </c>
      <c r="K15" s="65"/>
      <c r="L15" s="65"/>
      <c r="M15" s="66"/>
      <c r="N15" s="67">
        <v>50.410958904109322</v>
      </c>
      <c r="O15" s="66">
        <v>0.981960772418629</v>
      </c>
    </row>
    <row r="16" spans="1:15" x14ac:dyDescent="0.4">
      <c r="B16" s="64">
        <v>44968</v>
      </c>
      <c r="C16" s="65">
        <v>2.1416584080123525E-2</v>
      </c>
      <c r="D16" s="65">
        <v>1.2295253053564905E-2</v>
      </c>
      <c r="E16" s="65"/>
      <c r="F16" s="66"/>
      <c r="G16" s="67">
        <v>60.227214915739523</v>
      </c>
      <c r="H16" s="66">
        <v>0.9765728307764967</v>
      </c>
      <c r="I16" s="64">
        <v>44968</v>
      </c>
      <c r="J16" s="65">
        <v>2.1423025781428913E-2</v>
      </c>
      <c r="K16" s="65"/>
      <c r="L16" s="65"/>
      <c r="M16" s="66"/>
      <c r="N16" s="67">
        <v>50.410958904109322</v>
      </c>
      <c r="O16" s="66">
        <v>0.9765728307764967</v>
      </c>
    </row>
    <row r="17" spans="2:15" x14ac:dyDescent="0.4">
      <c r="B17" s="64">
        <v>45057</v>
      </c>
      <c r="C17" s="65">
        <v>2.2988580455054867E-2</v>
      </c>
      <c r="D17" s="65">
        <v>1.2916061036608877E-2</v>
      </c>
      <c r="E17" s="65"/>
      <c r="F17" s="66"/>
      <c r="G17" s="67">
        <v>37.838194460155052</v>
      </c>
      <c r="H17" s="66">
        <v>0.97101180748264937</v>
      </c>
      <c r="I17" s="64">
        <v>45057</v>
      </c>
      <c r="J17" s="65">
        <v>2.2969021612533832E-2</v>
      </c>
      <c r="K17" s="65"/>
      <c r="L17" s="65"/>
      <c r="M17" s="66"/>
      <c r="N17" s="67">
        <v>48.767123287670181</v>
      </c>
      <c r="O17" s="66">
        <v>0.97101180748264937</v>
      </c>
    </row>
    <row r="18" spans="2:15" x14ac:dyDescent="0.4">
      <c r="B18" s="64">
        <v>45149</v>
      </c>
      <c r="C18" s="65">
        <v>2.4355954888292373E-2</v>
      </c>
      <c r="D18" s="65">
        <v>1.3327813400855759E-2</v>
      </c>
      <c r="E18" s="65"/>
      <c r="F18" s="66"/>
      <c r="G18" s="67">
        <v>27.553033183321844</v>
      </c>
      <c r="H18" s="66">
        <v>0.96497931244513779</v>
      </c>
      <c r="I18" s="64">
        <v>45149</v>
      </c>
      <c r="J18" s="65">
        <v>2.4362551132986084E-2</v>
      </c>
      <c r="K18" s="65"/>
      <c r="L18" s="65"/>
      <c r="M18" s="66"/>
      <c r="N18" s="67">
        <v>50.410958904109322</v>
      </c>
      <c r="O18" s="66">
        <v>0.96497931244513779</v>
      </c>
    </row>
    <row r="19" spans="2:15" x14ac:dyDescent="0.4">
      <c r="B19" s="64">
        <v>45241</v>
      </c>
      <c r="C19" s="65">
        <v>2.582893420865939E-2</v>
      </c>
      <c r="D19" s="65">
        <v>1.3948342607410581E-2</v>
      </c>
      <c r="E19" s="65"/>
      <c r="F19" s="66"/>
      <c r="G19" s="67">
        <v>19.582472681860022</v>
      </c>
      <c r="H19" s="66">
        <v>0.95873304405194681</v>
      </c>
      <c r="I19" s="64">
        <v>45241</v>
      </c>
      <c r="J19" s="65">
        <v>2.5835614326104987E-2</v>
      </c>
      <c r="K19" s="65"/>
      <c r="L19" s="65"/>
      <c r="M19" s="66"/>
      <c r="N19" s="67">
        <v>50.410958904109322</v>
      </c>
      <c r="O19" s="66">
        <v>0.95873304405194681</v>
      </c>
    </row>
    <row r="20" spans="2:15" x14ac:dyDescent="0.4">
      <c r="B20" s="64">
        <v>45333</v>
      </c>
      <c r="C20" s="65">
        <v>2.2965249118176136E-2</v>
      </c>
      <c r="D20" s="65">
        <v>1.47085913493358E-2</v>
      </c>
      <c r="E20" s="65"/>
      <c r="F20" s="66"/>
      <c r="G20" s="68">
        <v>45.519712515130472</v>
      </c>
      <c r="H20" s="66">
        <v>0.95313008674283184</v>
      </c>
      <c r="I20" s="64">
        <v>45333</v>
      </c>
      <c r="J20" s="65">
        <v>2.296787963624258E-2</v>
      </c>
      <c r="K20" s="65"/>
      <c r="L20" s="65"/>
      <c r="M20" s="66"/>
      <c r="N20" s="68">
        <v>50.410958904109322</v>
      </c>
      <c r="O20" s="66">
        <v>0.95313008674283184</v>
      </c>
    </row>
    <row r="21" spans="2:15" x14ac:dyDescent="0.4">
      <c r="B21" s="64">
        <v>45423</v>
      </c>
      <c r="C21" s="65">
        <v>2.3354374316687226E-2</v>
      </c>
      <c r="D21" s="65">
        <v>1.5359716570718385E-2</v>
      </c>
      <c r="E21" s="65"/>
      <c r="F21" s="66"/>
      <c r="G21" s="68">
        <v>42.573767223687135</v>
      </c>
      <c r="H21" s="66">
        <v>0.94757913340217992</v>
      </c>
      <c r="I21" s="64">
        <v>45423</v>
      </c>
      <c r="J21" s="65">
        <v>2.3349947263615896E-2</v>
      </c>
      <c r="K21" s="65"/>
      <c r="L21" s="65"/>
      <c r="M21" s="66"/>
      <c r="N21" s="68">
        <v>49.315068493150697</v>
      </c>
      <c r="O21" s="66">
        <v>0.94757913340217992</v>
      </c>
    </row>
    <row r="22" spans="2:15" x14ac:dyDescent="0.4">
      <c r="B22" s="64">
        <v>45515</v>
      </c>
      <c r="C22" s="65">
        <v>2.3813463770659675E-2</v>
      </c>
      <c r="D22" s="65">
        <v>1.6034735209500918E-2</v>
      </c>
      <c r="E22" s="65"/>
      <c r="F22" s="66"/>
      <c r="G22" s="68">
        <v>39.384059467488711</v>
      </c>
      <c r="H22" s="66">
        <v>0.94179922099017377</v>
      </c>
      <c r="I22" s="64">
        <v>45515</v>
      </c>
      <c r="J22" s="65">
        <v>2.3816148452893444E-2</v>
      </c>
      <c r="K22" s="65"/>
      <c r="L22" s="65"/>
      <c r="M22" s="66"/>
      <c r="N22" s="68">
        <v>50.410958904109322</v>
      </c>
      <c r="O22" s="66">
        <v>0.94179922099017377</v>
      </c>
    </row>
    <row r="23" spans="2:15" x14ac:dyDescent="0.4">
      <c r="B23" s="64">
        <v>45607</v>
      </c>
      <c r="C23" s="65">
        <v>2.4343068470135558E-2</v>
      </c>
      <c r="D23" s="65">
        <v>1.6705016863971068E-2</v>
      </c>
      <c r="E23" s="65"/>
      <c r="F23" s="66"/>
      <c r="G23" s="68">
        <v>38.804202885623575</v>
      </c>
      <c r="H23" s="66">
        <v>0.93601195435986895</v>
      </c>
      <c r="I23" s="64">
        <v>45607</v>
      </c>
      <c r="J23" s="65">
        <v>2.4329537896889328E-2</v>
      </c>
      <c r="K23" s="65"/>
      <c r="L23" s="65"/>
      <c r="M23" s="66"/>
      <c r="N23" s="68">
        <v>50.410958904109322</v>
      </c>
      <c r="O23" s="66">
        <v>0.93601195435986895</v>
      </c>
    </row>
    <row r="24" spans="2:15" x14ac:dyDescent="0.4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4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4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4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4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4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4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4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4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4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2022-09-04T13:51:38Z</dcterms:modified>
</cp:coreProperties>
</file>