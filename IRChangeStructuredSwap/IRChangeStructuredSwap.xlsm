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<sst xmlns="http://schemas.openxmlformats.org/spreadsheetml/2006/main" count="237" uniqueCount="106">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</sst>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H17" sqref="H17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94" t="s">
        <v>0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</row>
    <row r="3" spans="1:45" x14ac:dyDescent="0.4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</row>
    <row r="4" spans="1:45" x14ac:dyDescent="0.4">
      <c r="A4" s="14">
        <f>4</f>
        <v>4</v>
      </c>
      <c r="B4" s="82" t="s">
        <v>2</v>
      </c>
      <c r="C4" s="82"/>
      <c r="D4" s="83">
        <v>2</v>
      </c>
      <c r="E4" s="83"/>
    </row>
    <row r="5" spans="1:45" x14ac:dyDescent="0.4">
      <c r="A5" s="14">
        <f>A4+1</f>
        <v>5</v>
      </c>
      <c r="G5" s="87" t="s">
        <v>22</v>
      </c>
      <c r="H5" s="89" t="s">
        <v>21</v>
      </c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</row>
    <row r="6" spans="1:45" x14ac:dyDescent="0.4">
      <c r="A6" s="14">
        <f t="shared" ref="A6:A69" si="1">A5+1</f>
        <v>6</v>
      </c>
      <c r="B6" s="82" t="s">
        <v>3</v>
      </c>
      <c r="C6" s="82"/>
      <c r="D6" s="83">
        <v>1</v>
      </c>
      <c r="E6" s="83"/>
      <c r="G6" s="88"/>
      <c r="H6" s="90" t="s">
        <v>7</v>
      </c>
      <c r="I6" s="91"/>
      <c r="L6" s="86" t="s">
        <v>11</v>
      </c>
      <c r="M6" s="86"/>
      <c r="N6" s="86"/>
      <c r="Q6" s="86" t="s">
        <v>12</v>
      </c>
      <c r="R6" s="86"/>
      <c r="S6" s="86"/>
      <c r="V6" s="86" t="s">
        <v>13</v>
      </c>
      <c r="W6" s="86"/>
      <c r="X6" s="86"/>
    </row>
    <row r="7" spans="1:45" x14ac:dyDescent="0.4">
      <c r="A7" s="14">
        <f t="shared" si="1"/>
        <v>7</v>
      </c>
      <c r="B7" s="82" t="s">
        <v>4</v>
      </c>
      <c r="C7" s="82"/>
      <c r="D7" s="83">
        <v>1</v>
      </c>
      <c r="E7" s="83"/>
      <c r="G7" s="88"/>
      <c r="H7" s="92"/>
      <c r="I7" s="93"/>
      <c r="L7" s="86"/>
      <c r="M7" s="86"/>
      <c r="N7" s="86"/>
      <c r="Q7" s="86"/>
      <c r="R7" s="86"/>
      <c r="S7" s="86"/>
      <c r="V7" s="86"/>
      <c r="W7" s="86"/>
      <c r="X7" s="86"/>
    </row>
    <row r="8" spans="1:45" x14ac:dyDescent="0.4">
      <c r="A8" s="14">
        <f t="shared" si="1"/>
        <v>8</v>
      </c>
      <c r="B8" s="82" t="s">
        <v>1</v>
      </c>
      <c r="C8" s="82"/>
      <c r="D8" s="83">
        <v>0.01</v>
      </c>
      <c r="E8" s="83"/>
      <c r="G8" s="88"/>
      <c r="V8" s="86" t="s">
        <v>14</v>
      </c>
      <c r="W8" s="86"/>
      <c r="X8" s="5">
        <v>3</v>
      </c>
    </row>
    <row r="9" spans="1:45" x14ac:dyDescent="0.4">
      <c r="A9" s="14">
        <f t="shared" si="1"/>
        <v>9</v>
      </c>
      <c r="G9" s="88"/>
      <c r="H9" s="2" t="s">
        <v>8</v>
      </c>
      <c r="I9" s="3">
        <v>0.01</v>
      </c>
      <c r="Q9" s="86" t="s">
        <v>15</v>
      </c>
      <c r="R9" s="86"/>
      <c r="S9" s="5">
        <v>3</v>
      </c>
      <c r="V9" s="84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8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72</v>
      </c>
      <c r="Q10" s="8" t="s">
        <v>18</v>
      </c>
      <c r="R10" s="8" t="s">
        <v>19</v>
      </c>
      <c r="S10" s="2" t="s">
        <v>20</v>
      </c>
      <c r="V10" s="85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8"/>
      <c r="H11" s="1">
        <v>0.5</v>
      </c>
      <c r="I11" s="4">
        <v>1.3214591770750787E-2</v>
      </c>
      <c r="L11" s="10">
        <v>1</v>
      </c>
      <c r="M11" s="11">
        <v>2.7397260273972603E-3</v>
      </c>
      <c r="N11" s="12">
        <v>3.1519999999999999E-2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8"/>
      <c r="H12" s="1">
        <v>1</v>
      </c>
      <c r="I12" s="4">
        <v>1.3364126373876612E-2</v>
      </c>
      <c r="L12" s="10">
        <f>L11+1</f>
        <v>2</v>
      </c>
      <c r="M12" s="11">
        <v>0.25</v>
      </c>
      <c r="N12" s="12">
        <v>3.2599999999999997E-2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95" t="s">
        <v>6</v>
      </c>
      <c r="E13" s="95"/>
      <c r="G13" s="88"/>
      <c r="H13" s="1">
        <v>1.5</v>
      </c>
      <c r="I13" s="4">
        <v>1.2361440081950462E-2</v>
      </c>
      <c r="L13" s="10">
        <f t="shared" ref="L13:L40" si="2">L12+1</f>
        <v>3</v>
      </c>
      <c r="M13" s="11">
        <v>0.5</v>
      </c>
      <c r="N13" s="12">
        <v>3.3500000000000002E-2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95"/>
      <c r="E14" s="95"/>
      <c r="G14" s="88"/>
      <c r="H14" s="1">
        <v>2</v>
      </c>
      <c r="I14" s="4">
        <v>1.206523490094648E-2</v>
      </c>
      <c r="L14" s="10">
        <f t="shared" si="2"/>
        <v>4</v>
      </c>
      <c r="M14" s="11">
        <v>1</v>
      </c>
      <c r="N14" s="12">
        <v>3.4509999999999999E-2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95"/>
      <c r="E15" s="95"/>
      <c r="G15" s="88"/>
      <c r="H15" s="1">
        <v>3</v>
      </c>
      <c r="I15" s="4">
        <v>1.210176839786783E-2</v>
      </c>
      <c r="L15" s="10">
        <f t="shared" si="2"/>
        <v>5</v>
      </c>
      <c r="M15" s="11">
        <v>1.5</v>
      </c>
      <c r="N15" s="12">
        <v>0.04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8"/>
      <c r="H16" s="1">
        <v>4</v>
      </c>
      <c r="I16" s="4">
        <v>1.1806002332480374E-2</v>
      </c>
      <c r="L16" s="10">
        <f t="shared" si="2"/>
        <v>6</v>
      </c>
      <c r="M16" s="11">
        <v>2</v>
      </c>
      <c r="N16" s="12">
        <v>4.2229999999999997E-2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96">
        <v>44864.982349537036</v>
      </c>
      <c r="E17" s="96"/>
      <c r="G17" s="88"/>
      <c r="H17" s="1">
        <v>5</v>
      </c>
      <c r="I17" s="4">
        <v>1.2557043837608488E-2</v>
      </c>
      <c r="L17" s="10">
        <f t="shared" si="2"/>
        <v>7</v>
      </c>
      <c r="M17" s="11">
        <v>2</v>
      </c>
      <c r="N17" s="12">
        <v>4.2229999999999997E-2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96">
        <v>44864.982349537036</v>
      </c>
      <c r="E18" s="96"/>
      <c r="G18" s="88"/>
      <c r="H18" s="1">
        <v>7</v>
      </c>
      <c r="I18" s="4">
        <v>1.1463335026087158E-2</v>
      </c>
      <c r="L18" s="10">
        <f t="shared" si="2"/>
        <v>8</v>
      </c>
      <c r="M18" s="11">
        <v>3</v>
      </c>
      <c r="N18" s="12">
        <v>4.2500000000000003E-2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8"/>
      <c r="H19" s="1">
        <v>10</v>
      </c>
      <c r="I19" s="4">
        <v>1.0935665490745455E-2</v>
      </c>
      <c r="L19" s="10">
        <f t="shared" si="2"/>
        <v>9</v>
      </c>
      <c r="M19" s="11">
        <v>4</v>
      </c>
      <c r="N19" s="12">
        <v>4.3450000000000003E-2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8"/>
      <c r="H20" s="1"/>
      <c r="I20" s="4"/>
      <c r="L20" s="10">
        <f t="shared" si="2"/>
        <v>10</v>
      </c>
      <c r="M20" s="11">
        <v>5</v>
      </c>
      <c r="N20" s="12">
        <v>4.2889999999999998E-2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8"/>
      <c r="H21" s="1"/>
      <c r="I21" s="4"/>
      <c r="L21" s="10">
        <f t="shared" si="2"/>
        <v>11</v>
      </c>
      <c r="M21" s="11">
        <v>10</v>
      </c>
      <c r="N21" s="12">
        <v>4.274E-2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8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8"/>
      <c r="H23" s="1"/>
      <c r="I23" s="4"/>
      <c r="L23" s="10">
        <f t="shared" si="2"/>
        <v>13</v>
      </c>
      <c r="M23" s="11">
        <v>30</v>
      </c>
      <c r="N23" s="12">
        <v>4.0489999999999998E-2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8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8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8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8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8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8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8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8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8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8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8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8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8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8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8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8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8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7" t="s">
        <v>24</v>
      </c>
      <c r="H42" s="89" t="s">
        <v>23</v>
      </c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</row>
    <row r="43" spans="1:40" x14ac:dyDescent="0.4">
      <c r="A43" s="14">
        <f t="shared" si="1"/>
        <v>43</v>
      </c>
      <c r="B43" s="82" t="s">
        <v>3</v>
      </c>
      <c r="C43" s="82"/>
      <c r="D43" s="83">
        <v>1</v>
      </c>
      <c r="E43" s="83"/>
      <c r="G43" s="88"/>
      <c r="H43" s="90" t="s">
        <v>7</v>
      </c>
      <c r="I43" s="91"/>
      <c r="L43" s="86" t="s">
        <v>11</v>
      </c>
      <c r="M43" s="86"/>
      <c r="N43" s="86"/>
      <c r="Q43" s="86" t="s">
        <v>12</v>
      </c>
      <c r="R43" s="86"/>
      <c r="S43" s="86"/>
      <c r="V43" s="86" t="s">
        <v>13</v>
      </c>
      <c r="W43" s="86"/>
      <c r="X43" s="86"/>
    </row>
    <row r="44" spans="1:40" x14ac:dyDescent="0.4">
      <c r="A44" s="14">
        <f t="shared" si="1"/>
        <v>44</v>
      </c>
      <c r="B44" s="82" t="s">
        <v>4</v>
      </c>
      <c r="C44" s="82"/>
      <c r="D44" s="83">
        <v>1</v>
      </c>
      <c r="E44" s="83"/>
      <c r="G44" s="88"/>
      <c r="H44" s="92"/>
      <c r="I44" s="93"/>
      <c r="L44" s="86"/>
      <c r="M44" s="86"/>
      <c r="N44" s="86"/>
      <c r="Q44" s="86"/>
      <c r="R44" s="86"/>
      <c r="S44" s="86"/>
      <c r="V44" s="86"/>
      <c r="W44" s="86"/>
      <c r="X44" s="86"/>
    </row>
    <row r="45" spans="1:40" x14ac:dyDescent="0.4">
      <c r="A45" s="14">
        <f t="shared" si="1"/>
        <v>45</v>
      </c>
      <c r="B45" s="82" t="s">
        <v>1</v>
      </c>
      <c r="C45" s="82"/>
      <c r="D45" s="83">
        <v>0.01</v>
      </c>
      <c r="E45" s="83"/>
      <c r="G45" s="88"/>
      <c r="V45" s="86" t="s">
        <v>14</v>
      </c>
      <c r="W45" s="86"/>
      <c r="X45" s="5">
        <v>3</v>
      </c>
    </row>
    <row r="46" spans="1:40" x14ac:dyDescent="0.4">
      <c r="A46" s="14">
        <f t="shared" si="1"/>
        <v>46</v>
      </c>
      <c r="G46" s="88"/>
      <c r="H46" s="2" t="s">
        <v>8</v>
      </c>
      <c r="I46" s="3">
        <v>0.01</v>
      </c>
      <c r="Q46" s="86" t="s">
        <v>15</v>
      </c>
      <c r="R46" s="86"/>
      <c r="S46" s="5">
        <v>3</v>
      </c>
      <c r="V46" s="84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8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72</v>
      </c>
      <c r="Q47" s="8" t="s">
        <v>18</v>
      </c>
      <c r="R47" s="8" t="s">
        <v>19</v>
      </c>
      <c r="S47" s="2" t="s">
        <v>20</v>
      </c>
      <c r="V47" s="85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8"/>
      <c r="H48" s="1">
        <v>0.5</v>
      </c>
      <c r="I48" s="4">
        <v>1.2520004203042459E-2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0.29434168787402887</v>
      </c>
      <c r="X48" s="13">
        <v>0.30331660541725325</v>
      </c>
      <c r="Y48" s="13">
        <v>0.30058675746783731</v>
      </c>
      <c r="Z48" s="13">
        <v>0.29892354593785941</v>
      </c>
      <c r="AA48" s="13">
        <v>0.29900186783208377</v>
      </c>
      <c r="AB48" s="13">
        <v>0.29710065479911291</v>
      </c>
      <c r="AC48" s="13">
        <v>0.29499752732323348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8"/>
      <c r="H49" s="1">
        <v>1</v>
      </c>
      <c r="I49" s="4">
        <v>1.1948858772316008E-2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0.29711575189940853</v>
      </c>
      <c r="X49" s="13">
        <v>0.30223277511673557</v>
      </c>
      <c r="Y49" s="13">
        <v>0.29785690951842136</v>
      </c>
      <c r="Z49" s="13">
        <v>0.29726033440788158</v>
      </c>
      <c r="AA49" s="13">
        <v>0.29908018972630812</v>
      </c>
      <c r="AB49" s="13">
        <v>0.29519944176614205</v>
      </c>
      <c r="AC49" s="13">
        <v>0.29289439984735399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95" t="s">
        <v>6</v>
      </c>
      <c r="E50" s="95"/>
      <c r="G50" s="88"/>
      <c r="H50" s="1">
        <v>1.5</v>
      </c>
      <c r="I50" s="4">
        <v>1.179688898214578E-2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0.29748633070891495</v>
      </c>
      <c r="X50" s="13">
        <v>0.29785690951842136</v>
      </c>
      <c r="Y50" s="13">
        <v>0.29348104392010715</v>
      </c>
      <c r="Z50" s="13">
        <v>0.29666375929734184</v>
      </c>
      <c r="AA50" s="13">
        <v>0.30090004504473467</v>
      </c>
      <c r="AB50" s="13">
        <v>0.29131869380597597</v>
      </c>
      <c r="AC50" s="13">
        <v>0.29058935792856599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95"/>
      <c r="E51" s="95"/>
      <c r="G51" s="88"/>
      <c r="H51" s="1">
        <v>2</v>
      </c>
      <c r="I51" s="4">
        <v>1.1344545518992267E-2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0.29731816815825485</v>
      </c>
      <c r="X51" s="13">
        <v>0.29715000560759469</v>
      </c>
      <c r="Y51" s="13">
        <v>0.29644310169676802</v>
      </c>
      <c r="Z51" s="13">
        <v>0.29438544513377152</v>
      </c>
      <c r="AA51" s="13">
        <v>0.29541479871739407</v>
      </c>
      <c r="AB51" s="13">
        <v>0.28717613046935253</v>
      </c>
      <c r="AC51" s="13">
        <v>0.28649021678069087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95"/>
      <c r="E52" s="95"/>
      <c r="G52" s="88"/>
      <c r="H52" s="1">
        <v>3</v>
      </c>
      <c r="I52" s="4">
        <v>1.1146094425592522E-2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0.29724033204370953</v>
      </c>
      <c r="X52" s="13">
        <v>0.29716249592916422</v>
      </c>
      <c r="Y52" s="13">
        <v>0.29717498625073369</v>
      </c>
      <c r="Z52" s="13">
        <v>0.28937257030241842</v>
      </c>
      <c r="AA52" s="13">
        <v>0.29040069342335539</v>
      </c>
      <c r="AB52" s="13">
        <v>0.28492963240514568</v>
      </c>
      <c r="AC52" s="13">
        <v>0.28240863276377215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8"/>
      <c r="H53" s="1">
        <v>4</v>
      </c>
      <c r="I53" s="4">
        <v>1.118356988330255E-2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0.29598553031924729</v>
      </c>
      <c r="X53" s="13">
        <v>0.29473072859478505</v>
      </c>
      <c r="Y53" s="13">
        <v>0.29229896126040589</v>
      </c>
      <c r="Z53" s="13">
        <v>0.28636830666588853</v>
      </c>
      <c r="AA53" s="13">
        <v>0.2849370904526739</v>
      </c>
      <c r="AB53" s="13">
        <v>0.28379388192157057</v>
      </c>
      <c r="AC53" s="13">
        <v>0.2798070663699882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96">
        <v>44864.982349537036</v>
      </c>
      <c r="E54" s="96"/>
      <c r="G54" s="88"/>
      <c r="H54" s="1">
        <v>5</v>
      </c>
      <c r="I54" s="4">
        <v>1.1932254825068524E-2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0.29504729567195132</v>
      </c>
      <c r="X54" s="13">
        <v>0.29410906102465528</v>
      </c>
      <c r="Y54" s="13">
        <v>0.29348739345452551</v>
      </c>
      <c r="Z54" s="13">
        <v>0.29064634905996189</v>
      </c>
      <c r="AA54" s="13">
        <v>0.28762985175765876</v>
      </c>
      <c r="AB54" s="13">
        <v>0.2824484379257759</v>
      </c>
      <c r="AC54" s="13">
        <v>0.28044120852128707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96">
        <v>44864.982349537036</v>
      </c>
      <c r="E55" s="96"/>
      <c r="G55" s="88"/>
      <c r="H55" s="1">
        <v>7</v>
      </c>
      <c r="I55" s="4">
        <v>1.2411103695728348E-2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0.29334100811282815</v>
      </c>
      <c r="X55" s="13">
        <v>0.29163472055370498</v>
      </c>
      <c r="Y55" s="13">
        <v>0.28916038008275469</v>
      </c>
      <c r="Z55" s="13">
        <v>0.28763947086819353</v>
      </c>
      <c r="AA55" s="13">
        <v>0.28099732722068071</v>
      </c>
      <c r="AB55" s="13">
        <v>0.28156800987879538</v>
      </c>
      <c r="AC55" s="13">
        <v>0.27650085643237637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8"/>
      <c r="H56" s="1">
        <v>10</v>
      </c>
      <c r="I56" s="4">
        <v>1.4755560926329646E-2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0.29168249543038094</v>
      </c>
      <c r="X56" s="13">
        <v>0.29002398274793367</v>
      </c>
      <c r="Y56" s="13">
        <v>0.28841324494216236</v>
      </c>
      <c r="Z56" s="13">
        <v>0.28657200821606188</v>
      </c>
      <c r="AA56" s="13">
        <v>0.28293319162819597</v>
      </c>
      <c r="AB56" s="13">
        <v>0.27733549492199805</v>
      </c>
      <c r="AC56" s="13">
        <v>0.27242134733632339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8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8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8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8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8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8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8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8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8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8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8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8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8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8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8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8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8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8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8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8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8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7" t="s">
        <v>26</v>
      </c>
      <c r="H79" s="89" t="s">
        <v>25</v>
      </c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</row>
    <row r="80" spans="1:40" x14ac:dyDescent="0.4">
      <c r="A80" s="14">
        <f t="shared" si="6"/>
        <v>80</v>
      </c>
      <c r="B80" s="82" t="s">
        <v>3</v>
      </c>
      <c r="C80" s="82"/>
      <c r="D80" s="83">
        <v>1</v>
      </c>
      <c r="E80" s="83"/>
      <c r="G80" s="88"/>
      <c r="H80" s="90" t="s">
        <v>7</v>
      </c>
      <c r="I80" s="91"/>
      <c r="L80" s="86" t="s">
        <v>11</v>
      </c>
      <c r="M80" s="86"/>
      <c r="N80" s="86"/>
      <c r="Q80" s="86" t="s">
        <v>12</v>
      </c>
      <c r="R80" s="86"/>
      <c r="S80" s="86"/>
      <c r="V80" s="86" t="s">
        <v>13</v>
      </c>
      <c r="W80" s="86"/>
      <c r="X80" s="86"/>
    </row>
    <row r="81" spans="1:40" x14ac:dyDescent="0.4">
      <c r="A81" s="14">
        <f t="shared" si="6"/>
        <v>81</v>
      </c>
      <c r="B81" s="82" t="s">
        <v>4</v>
      </c>
      <c r="C81" s="82"/>
      <c r="D81" s="83">
        <v>0</v>
      </c>
      <c r="E81" s="83"/>
      <c r="G81" s="88"/>
      <c r="H81" s="92"/>
      <c r="I81" s="93"/>
      <c r="L81" s="86"/>
      <c r="M81" s="86"/>
      <c r="N81" s="86"/>
      <c r="Q81" s="86"/>
      <c r="R81" s="86"/>
      <c r="S81" s="86"/>
      <c r="V81" s="86"/>
      <c r="W81" s="86"/>
      <c r="X81" s="86"/>
    </row>
    <row r="82" spans="1:40" x14ac:dyDescent="0.4">
      <c r="A82" s="14">
        <f t="shared" si="6"/>
        <v>82</v>
      </c>
      <c r="B82" s="82" t="s">
        <v>1</v>
      </c>
      <c r="C82" s="82"/>
      <c r="D82" s="83">
        <v>0.01</v>
      </c>
      <c r="E82" s="83"/>
      <c r="G82" s="88"/>
      <c r="V82" s="86" t="s">
        <v>14</v>
      </c>
      <c r="W82" s="86"/>
      <c r="X82" s="5">
        <v>3</v>
      </c>
    </row>
    <row r="83" spans="1:40" x14ac:dyDescent="0.4">
      <c r="A83" s="14">
        <f t="shared" si="6"/>
        <v>83</v>
      </c>
      <c r="G83" s="88"/>
      <c r="H83" s="2" t="s">
        <v>8</v>
      </c>
      <c r="I83" s="3">
        <v>6.483333333333334E-3</v>
      </c>
      <c r="Q83" s="86" t="s">
        <v>15</v>
      </c>
      <c r="R83" s="86"/>
      <c r="S83" s="5">
        <v>3</v>
      </c>
      <c r="V83" s="84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8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72</v>
      </c>
      <c r="Q84" s="8" t="s">
        <v>18</v>
      </c>
      <c r="R84" s="8" t="s">
        <v>19</v>
      </c>
      <c r="S84" s="2" t="s">
        <v>20</v>
      </c>
      <c r="V84" s="85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8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8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95" t="s">
        <v>6</v>
      </c>
      <c r="E87" s="95"/>
      <c r="G87" s="88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95"/>
      <c r="E88" s="95"/>
      <c r="G88" s="88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95"/>
      <c r="E89" s="95"/>
      <c r="G89" s="88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8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96">
        <v>44803.697731481479</v>
      </c>
      <c r="E91" s="96"/>
      <c r="G91" s="88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96">
        <v>44803.697754629633</v>
      </c>
      <c r="E92" s="96"/>
      <c r="G92" s="88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8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8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8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8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8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8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8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8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8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8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8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8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8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8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8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8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8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8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8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8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8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8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7" t="s">
        <v>28</v>
      </c>
      <c r="H116" s="89" t="s">
        <v>27</v>
      </c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9"/>
    </row>
    <row r="117" spans="2:40" x14ac:dyDescent="0.4">
      <c r="B117" s="82" t="s">
        <v>3</v>
      </c>
      <c r="C117" s="82"/>
      <c r="D117" s="83">
        <v>1</v>
      </c>
      <c r="E117" s="83"/>
      <c r="G117" s="88"/>
      <c r="H117" s="90" t="s">
        <v>7</v>
      </c>
      <c r="I117" s="91"/>
      <c r="L117" s="86" t="s">
        <v>11</v>
      </c>
      <c r="M117" s="86"/>
      <c r="N117" s="86"/>
      <c r="Q117" s="86" t="s">
        <v>12</v>
      </c>
      <c r="R117" s="86"/>
      <c r="S117" s="86"/>
      <c r="V117" s="86" t="s">
        <v>13</v>
      </c>
      <c r="W117" s="86"/>
      <c r="X117" s="86"/>
    </row>
    <row r="118" spans="2:40" x14ac:dyDescent="0.4">
      <c r="B118" s="82" t="s">
        <v>4</v>
      </c>
      <c r="C118" s="82"/>
      <c r="D118" s="83">
        <v>0</v>
      </c>
      <c r="E118" s="83"/>
      <c r="G118" s="88"/>
      <c r="H118" s="92"/>
      <c r="I118" s="93"/>
      <c r="L118" s="86"/>
      <c r="M118" s="86"/>
      <c r="N118" s="86"/>
      <c r="Q118" s="86"/>
      <c r="R118" s="86"/>
      <c r="S118" s="86"/>
      <c r="V118" s="86"/>
      <c r="W118" s="86"/>
      <c r="X118" s="86"/>
    </row>
    <row r="119" spans="2:40" x14ac:dyDescent="0.4">
      <c r="B119" s="82" t="s">
        <v>1</v>
      </c>
      <c r="C119" s="82"/>
      <c r="D119" s="83">
        <v>0.01</v>
      </c>
      <c r="E119" s="83"/>
      <c r="G119" s="88"/>
      <c r="V119" s="86" t="s">
        <v>14</v>
      </c>
      <c r="W119" s="86"/>
      <c r="X119" s="5">
        <v>3</v>
      </c>
    </row>
    <row r="120" spans="2:40" x14ac:dyDescent="0.4">
      <c r="G120" s="88"/>
      <c r="H120" s="2" t="s">
        <v>8</v>
      </c>
      <c r="I120" s="3">
        <v>7.3000000000000009E-3</v>
      </c>
      <c r="Q120" s="86" t="s">
        <v>15</v>
      </c>
      <c r="R120" s="86"/>
      <c r="S120" s="5">
        <v>3</v>
      </c>
      <c r="V120" s="84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8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72</v>
      </c>
      <c r="Q121" s="8" t="s">
        <v>18</v>
      </c>
      <c r="R121" s="8" t="s">
        <v>19</v>
      </c>
      <c r="S121" s="2" t="s">
        <v>20</v>
      </c>
      <c r="V121" s="85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8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8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95" t="s">
        <v>6</v>
      </c>
      <c r="E124" s="95"/>
      <c r="G124" s="88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95"/>
      <c r="E125" s="95"/>
      <c r="G125" s="88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95"/>
      <c r="E126" s="95"/>
      <c r="G126" s="88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8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96">
        <v>44803.697754629633</v>
      </c>
      <c r="E128" s="96"/>
      <c r="G128" s="88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96">
        <v>44803.697777777779</v>
      </c>
      <c r="E129" s="96"/>
      <c r="G129" s="88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8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8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8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8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8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8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8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8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8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8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8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8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8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8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8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8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8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8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8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8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8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8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E10" sqref="E10:F10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66" t="s">
        <v>29</v>
      </c>
      <c r="C3" s="166"/>
      <c r="D3" s="169">
        <v>44846</v>
      </c>
      <c r="E3" s="164"/>
      <c r="F3" s="161" t="s">
        <v>31</v>
      </c>
      <c r="G3" s="161"/>
      <c r="H3" s="164">
        <v>0</v>
      </c>
      <c r="I3" s="164"/>
      <c r="J3" s="161" t="s">
        <v>67</v>
      </c>
      <c r="K3" s="161"/>
      <c r="L3" s="164">
        <v>10000000000</v>
      </c>
      <c r="M3" s="164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65" t="s">
        <v>46</v>
      </c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D5" s="165" t="s">
        <v>47</v>
      </c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</row>
    <row r="6" spans="1:57" ht="16.2" customHeight="1" x14ac:dyDescent="0.4">
      <c r="A6" s="42">
        <f t="shared" si="1"/>
        <v>6</v>
      </c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65"/>
      <c r="AT6" s="165"/>
      <c r="AU6" s="165"/>
      <c r="AV6" s="165"/>
      <c r="AW6" s="165"/>
      <c r="AX6" s="165"/>
      <c r="AY6" s="165"/>
      <c r="AZ6" s="165"/>
      <c r="BA6" s="165"/>
      <c r="BB6" s="165"/>
    </row>
    <row r="7" spans="1:57" ht="16.2" customHeight="1" x14ac:dyDescent="0.4">
      <c r="A7" s="42">
        <f t="shared" si="1"/>
        <v>7</v>
      </c>
      <c r="B7" s="166" t="str">
        <f>IF(D7&gt;0,"레퍼런스금리 개수","기초금리는 1개 - 3개 입력가능")</f>
        <v>레퍼런스금리 개수</v>
      </c>
      <c r="C7" s="166"/>
      <c r="D7" s="163">
        <v>1</v>
      </c>
      <c r="E7" s="163"/>
      <c r="F7" s="167" t="s">
        <v>32</v>
      </c>
      <c r="G7" s="168"/>
      <c r="H7" s="164">
        <v>1</v>
      </c>
      <c r="I7" s="164"/>
      <c r="J7" s="161" t="s">
        <v>92</v>
      </c>
      <c r="K7" s="161"/>
      <c r="L7" s="164">
        <v>0</v>
      </c>
      <c r="M7" s="164"/>
      <c r="N7" s="43"/>
      <c r="O7" s="43"/>
      <c r="P7" s="43"/>
      <c r="Q7" s="43"/>
      <c r="R7" s="43"/>
      <c r="S7" s="43"/>
      <c r="T7" s="43"/>
      <c r="U7" s="43"/>
      <c r="AD7" s="166" t="str">
        <f>IF(AF7&gt;0,"레퍼런스금리 개수","기초금리는 1개 - 3개 입력가능")</f>
        <v>레퍼런스금리 개수</v>
      </c>
      <c r="AE7" s="166"/>
      <c r="AF7" s="163">
        <v>1</v>
      </c>
      <c r="AG7" s="163"/>
      <c r="AH7" s="167" t="s">
        <v>32</v>
      </c>
      <c r="AI7" s="168"/>
      <c r="AJ7" s="164">
        <v>0</v>
      </c>
      <c r="AK7" s="164"/>
      <c r="AL7" s="161" t="s">
        <v>92</v>
      </c>
      <c r="AM7" s="161"/>
      <c r="AN7" s="164">
        <v>0</v>
      </c>
      <c r="AO7" s="164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61" t="s">
        <v>50</v>
      </c>
      <c r="C8" s="161"/>
      <c r="D8" s="162">
        <v>1</v>
      </c>
      <c r="E8" s="163"/>
      <c r="F8" s="161" t="s">
        <v>51</v>
      </c>
      <c r="G8" s="161"/>
      <c r="H8" s="162">
        <v>1</v>
      </c>
      <c r="I8" s="163"/>
      <c r="J8" s="161" t="s">
        <v>42</v>
      </c>
      <c r="K8" s="161"/>
      <c r="L8" s="164">
        <v>0</v>
      </c>
      <c r="M8" s="164"/>
      <c r="N8" s="43"/>
      <c r="O8" s="43"/>
      <c r="P8" s="43"/>
      <c r="Q8" s="43"/>
      <c r="R8" s="43"/>
      <c r="S8" s="43"/>
      <c r="T8" s="43"/>
      <c r="U8" s="43"/>
      <c r="AD8" s="161" t="s">
        <v>50</v>
      </c>
      <c r="AE8" s="161"/>
      <c r="AF8" s="162">
        <v>1</v>
      </c>
      <c r="AG8" s="163"/>
      <c r="AH8" s="161" t="s">
        <v>51</v>
      </c>
      <c r="AI8" s="161"/>
      <c r="AJ8" s="162">
        <v>1</v>
      </c>
      <c r="AK8" s="163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76" t="str">
        <f>IF(D7&gt;=1,"기초금리1", "")</f>
        <v>기초금리1</v>
      </c>
      <c r="C10" s="159" t="str">
        <f>IF($D$7&gt;=1,"커브번호", "")</f>
        <v>커브번호</v>
      </c>
      <c r="D10" s="159"/>
      <c r="E10" s="124">
        <v>1</v>
      </c>
      <c r="F10" s="124"/>
      <c r="G10" s="79"/>
      <c r="H10" s="44"/>
      <c r="I10" s="137" t="str">
        <f>IF(OR(E11 = 0, E11 = 2, E11 = 4), "RefType = "&amp;E11&amp;" 이므로 Ref Swap 금리정보 사용안함", "사용")</f>
        <v>RefType = 0 이므로 Ref Swap 금리정보 사용안함</v>
      </c>
      <c r="J10" s="138"/>
      <c r="K10" s="138"/>
      <c r="L10" s="139"/>
      <c r="N10" s="153" t="s">
        <v>34</v>
      </c>
      <c r="O10" s="153"/>
      <c r="P10" s="153"/>
      <c r="Q10" s="153"/>
      <c r="R10" s="42"/>
      <c r="S10" s="42"/>
      <c r="T10" s="42"/>
      <c r="U10" s="42"/>
      <c r="W10" s="153" t="s">
        <v>52</v>
      </c>
      <c r="X10" s="153"/>
      <c r="Y10" s="153"/>
      <c r="AD10" s="127" t="str">
        <f>IF($AF$7&gt;=1,"기초금리1", "")</f>
        <v>기초금리1</v>
      </c>
      <c r="AE10" s="123" t="str">
        <f>IF($AF$7&gt;=1,"커브번호", "")</f>
        <v>커브번호</v>
      </c>
      <c r="AF10" s="123"/>
      <c r="AG10" s="124">
        <v>2</v>
      </c>
      <c r="AH10" s="124"/>
      <c r="AI10" s="79"/>
      <c r="AJ10" s="44"/>
      <c r="AK10" s="121" t="str">
        <f>IF(OR(AG11 = 0, AG11 = 2, AG11 = 4), "RefType = "&amp;AG11&amp;" 이므로 Ref Swap 금리정보 사용안함", "사용")</f>
        <v>RefType = 0 이므로 Ref Swap 금리정보 사용안함</v>
      </c>
      <c r="AL10" s="121"/>
      <c r="AM10" s="121"/>
      <c r="AN10" s="122"/>
      <c r="AP10" s="153" t="s">
        <v>54</v>
      </c>
      <c r="AQ10" s="153"/>
      <c r="AR10" s="153"/>
      <c r="AS10" s="153"/>
      <c r="AT10" s="42"/>
      <c r="AU10" s="42"/>
      <c r="AV10" s="42"/>
      <c r="AW10" s="42"/>
      <c r="AY10" s="153" t="s">
        <v>53</v>
      </c>
      <c r="AZ10" s="153"/>
      <c r="BA10" s="153"/>
    </row>
    <row r="11" spans="1:57" ht="16.2" customHeight="1" x14ac:dyDescent="0.4">
      <c r="A11" s="42">
        <f t="shared" si="1"/>
        <v>11</v>
      </c>
      <c r="B11" s="156"/>
      <c r="C11" s="145" t="str">
        <f>IF($D$7&gt;=1,"Reference Rate Type", "")</f>
        <v>Reference Rate Type</v>
      </c>
      <c r="D11" s="146"/>
      <c r="E11" s="160">
        <v>0</v>
      </c>
      <c r="F11" s="173"/>
      <c r="G11" s="137" t="str">
        <f>IF(OR(E11 = 0, E11 = 2, E11 = 4), "", "Zero/Swap 레퍼런스금리정보")</f>
        <v/>
      </c>
      <c r="H11" s="138"/>
      <c r="I11" s="129" t="str">
        <f>IF(OR(E11 = 0, E11 = 2, E11 = 4), "", "연 지급횟수")</f>
        <v/>
      </c>
      <c r="J11" s="130"/>
      <c r="K11" s="116">
        <v>4</v>
      </c>
      <c r="L11" s="117"/>
      <c r="M11" s="42"/>
      <c r="N11" s="175" t="str">
        <f>IF(OR(E11 = 0, E11 = 2, E11 = 4), "ForwardStart", "ResetStart")</f>
        <v>ForwardStart</v>
      </c>
      <c r="O11" s="175" t="str">
        <f>IF(OR(E11 = 0, E11 = 2, E11 = 4), "ForwardEnd", "ResetEnd")</f>
        <v>ForwardEnd</v>
      </c>
      <c r="P11" s="118" t="s">
        <v>35</v>
      </c>
      <c r="Q11" s="118" t="s">
        <v>36</v>
      </c>
      <c r="R11" s="118" t="s">
        <v>37</v>
      </c>
      <c r="S11" s="118" t="s">
        <v>38</v>
      </c>
      <c r="T11" s="118" t="s">
        <v>91</v>
      </c>
      <c r="U11" s="118" t="s">
        <v>71</v>
      </c>
      <c r="W11" s="45" t="s">
        <v>43</v>
      </c>
      <c r="X11" s="141">
        <v>0</v>
      </c>
      <c r="Y11" s="141"/>
      <c r="AD11" s="128"/>
      <c r="AE11" s="112" t="str">
        <f>IF($AF$7&gt;=1,"Reference Rate Type", "")</f>
        <v>Reference Rate Type</v>
      </c>
      <c r="AF11" s="125"/>
      <c r="AG11" s="160">
        <v>0</v>
      </c>
      <c r="AH11" s="160"/>
      <c r="AI11" s="114" t="str">
        <f>IF(OR(AG11 = 0, AG11 = 2, AG11 = 4), "", "Zero/Swap 레퍼런스금리정보")</f>
        <v/>
      </c>
      <c r="AJ11" s="114"/>
      <c r="AK11" s="114" t="str">
        <f>IF(OR(AG11 = 0, AG11 = 2, AG11 = 4), "", "연 지급횟수")</f>
        <v/>
      </c>
      <c r="AL11" s="115"/>
      <c r="AM11" s="116">
        <v>4</v>
      </c>
      <c r="AN11" s="117"/>
      <c r="AO11" s="42"/>
      <c r="AP11" s="118" t="str">
        <f>IF(OR(AG11 = 0, AG11 = 2, AG11 = 4), "ForwardStart", "ResetEnd")</f>
        <v>ForwardStart</v>
      </c>
      <c r="AQ11" s="118" t="str">
        <f>IF(OR(AG11 = 0, AG11 = 2, AG11 = 4), "ForwardEnd", "ResetEnd")</f>
        <v>ForwardEnd</v>
      </c>
      <c r="AR11" s="118" t="s">
        <v>35</v>
      </c>
      <c r="AS11" s="118" t="s">
        <v>36</v>
      </c>
      <c r="AT11" s="118" t="s">
        <v>37</v>
      </c>
      <c r="AU11" s="118" t="s">
        <v>38</v>
      </c>
      <c r="AV11" s="118" t="s">
        <v>91</v>
      </c>
      <c r="AW11" s="118" t="s">
        <v>71</v>
      </c>
      <c r="AY11" s="45" t="s">
        <v>43</v>
      </c>
      <c r="AZ11" s="141">
        <v>0</v>
      </c>
      <c r="BA11" s="141"/>
    </row>
    <row r="12" spans="1:57" ht="16.2" customHeight="1" x14ac:dyDescent="0.4">
      <c r="A12" s="42">
        <f t="shared" si="1"/>
        <v>12</v>
      </c>
      <c r="B12" s="156"/>
      <c r="C12" s="145" t="str">
        <f>IF($D$7&gt;=1,"DayCount", "")</f>
        <v>DayCount</v>
      </c>
      <c r="D12" s="145"/>
      <c r="E12" s="103">
        <v>0</v>
      </c>
      <c r="F12" s="174"/>
      <c r="G12" s="170"/>
      <c r="H12" s="129"/>
      <c r="I12" s="129" t="str">
        <f>IF(OR(E11 = 0, E11 = 2, E11 = 4,E14=1), "", "만기")</f>
        <v/>
      </c>
      <c r="J12" s="130"/>
      <c r="K12" s="171">
        <v>0.25</v>
      </c>
      <c r="L12" s="172"/>
      <c r="N12" s="118"/>
      <c r="O12" s="118"/>
      <c r="P12" s="118"/>
      <c r="Q12" s="118"/>
      <c r="R12" s="118"/>
      <c r="S12" s="118"/>
      <c r="T12" s="118"/>
      <c r="U12" s="118"/>
      <c r="W12" s="45" t="s">
        <v>44</v>
      </c>
      <c r="X12" s="141">
        <v>0</v>
      </c>
      <c r="Y12" s="141"/>
      <c r="AD12" s="128"/>
      <c r="AE12" s="112" t="str">
        <f>IF($AF$7&gt;=1,"DayCount", "")</f>
        <v>DayCount</v>
      </c>
      <c r="AF12" s="112"/>
      <c r="AG12" s="103">
        <v>0</v>
      </c>
      <c r="AH12" s="103"/>
      <c r="AI12" s="114"/>
      <c r="AJ12" s="114"/>
      <c r="AK12" s="129" t="str">
        <f>IF(OR(AG11 = 0, AG11 = 2, AG11 = 4,AG14=1), "", "만기")</f>
        <v/>
      </c>
      <c r="AL12" s="130"/>
      <c r="AM12" s="131">
        <v>0.25</v>
      </c>
      <c r="AN12" s="132"/>
      <c r="AP12" s="118"/>
      <c r="AQ12" s="118"/>
      <c r="AR12" s="118"/>
      <c r="AS12" s="118"/>
      <c r="AT12" s="118"/>
      <c r="AU12" s="118"/>
      <c r="AV12" s="118"/>
      <c r="AW12" s="118"/>
      <c r="AY12" s="45" t="s">
        <v>44</v>
      </c>
      <c r="AZ12" s="141">
        <v>0</v>
      </c>
      <c r="BA12" s="141"/>
    </row>
    <row r="13" spans="1:57" ht="16.2" customHeight="1" x14ac:dyDescent="0.4">
      <c r="A13" s="42">
        <f t="shared" si="1"/>
        <v>13</v>
      </c>
      <c r="B13" s="156"/>
      <c r="C13" s="145" t="str">
        <f>IF($D$7&gt;=1,"금리결정조건Multiple", "")</f>
        <v>금리결정조건Multiple</v>
      </c>
      <c r="D13" s="146"/>
      <c r="E13" s="102">
        <v>1</v>
      </c>
      <c r="F13" s="158"/>
      <c r="G13" s="98" t="str">
        <f>IF(OR(E11 = 0, E11 = 2, E11 = 4), "", "ex) Zero Rate 5년 -&gt; 연 지급횟수= 0, 만기= 5 // CD91일 -&gt; 연 지급횟수= 4, 만기= 0.25")</f>
        <v/>
      </c>
      <c r="H13" s="98"/>
      <c r="I13" s="98"/>
      <c r="J13" s="98"/>
      <c r="K13" s="98"/>
      <c r="L13" s="99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41">
        <v>0</v>
      </c>
      <c r="Y13" s="141"/>
      <c r="AD13" s="128"/>
      <c r="AE13" s="112" t="str">
        <f>IF($AF$7&gt;=1,"금리결정조건Multiple", "")</f>
        <v>금리결정조건Multiple</v>
      </c>
      <c r="AF13" s="125"/>
      <c r="AG13" s="102">
        <v>1</v>
      </c>
      <c r="AH13" s="102"/>
      <c r="AI13" s="98" t="str">
        <f>IF(OR(AG11 = 0, AG11 = 2, AG11 = 4), "", "ex) Zero Rate 5년 -&gt; 연 지급횟수= 0, 만기= 5 // CD91일 -&gt; 연 지급횟수= 4, 만기= 0.25")</f>
        <v/>
      </c>
      <c r="AJ13" s="98"/>
      <c r="AK13" s="98"/>
      <c r="AL13" s="98"/>
      <c r="AM13" s="98"/>
      <c r="AN13" s="99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41">
        <v>0</v>
      </c>
      <c r="BA13" s="141"/>
    </row>
    <row r="14" spans="1:57" ht="16.2" customHeight="1" x14ac:dyDescent="0.4">
      <c r="A14" s="42">
        <f t="shared" si="1"/>
        <v>14</v>
      </c>
      <c r="B14" s="156"/>
      <c r="C14" s="144" t="str">
        <f>IF($D$7&gt;=1,"Power Spread Flag", "")</f>
        <v>Power Spread Flag</v>
      </c>
      <c r="D14" s="144"/>
      <c r="E14" s="103">
        <v>0</v>
      </c>
      <c r="F14" s="174"/>
      <c r="G14" s="151" t="str">
        <f>IF(E14&gt;0,"PowerSpreadFlag 1일때 입력","입력필요X")</f>
        <v>입력필요X</v>
      </c>
      <c r="H14" s="151"/>
      <c r="I14" s="151" t="str">
        <f>IF(E14&gt;0,"만기1","")</f>
        <v/>
      </c>
      <c r="J14" s="151"/>
      <c r="K14" s="105">
        <v>10</v>
      </c>
      <c r="L14" s="106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28"/>
      <c r="AE14" s="111" t="str">
        <f>IF($AF$7&gt;=1,"Power Spread Flag", "")</f>
        <v>Power Spread Flag</v>
      </c>
      <c r="AF14" s="111"/>
      <c r="AG14" s="103">
        <v>0</v>
      </c>
      <c r="AH14" s="103"/>
      <c r="AI14" s="104" t="str">
        <f>IF(AG14&gt;0,"PowerSpreadFlag 1일때 입력","입력필요X")</f>
        <v>입력필요X</v>
      </c>
      <c r="AJ14" s="104"/>
      <c r="AK14" s="104" t="str">
        <f>IF(AG14&gt;0,"만기1","")</f>
        <v/>
      </c>
      <c r="AL14" s="104"/>
      <c r="AM14" s="105">
        <v>10</v>
      </c>
      <c r="AN14" s="106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56" t="str">
        <f>IF($D$7&gt;0, "사용", "커브개수"&amp;"="&amp;$D$7&amp;"이므로 사용안함")</f>
        <v>사용</v>
      </c>
      <c r="C15" s="144" t="str">
        <f>IF($D$7&gt;=1,"기초금리 Range상한", "")</f>
        <v>기초금리 Range상한</v>
      </c>
      <c r="D15" s="144"/>
      <c r="E15" s="133">
        <v>10</v>
      </c>
      <c r="F15" s="154"/>
      <c r="G15" s="151"/>
      <c r="H15" s="151"/>
      <c r="I15" s="151" t="str">
        <f>IF(E14&gt;0,"만기2","")</f>
        <v/>
      </c>
      <c r="J15" s="151"/>
      <c r="K15" s="105">
        <v>5</v>
      </c>
      <c r="L15" s="106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28" t="str">
        <f>IF($AF$7&gt;0, "사용", "커브개수"&amp;"="&amp;$AF$7&amp;"이므로 사용안함")</f>
        <v>사용</v>
      </c>
      <c r="AE15" s="111" t="str">
        <f>IF($AF$7&gt;=1,"기초금리 Range상한", "")</f>
        <v>기초금리 Range상한</v>
      </c>
      <c r="AF15" s="111"/>
      <c r="AG15" s="133">
        <v>10</v>
      </c>
      <c r="AH15" s="133"/>
      <c r="AI15" s="104"/>
      <c r="AJ15" s="104"/>
      <c r="AK15" s="104" t="str">
        <f>IF(AG14&gt;0,"만기2","")</f>
        <v/>
      </c>
      <c r="AL15" s="104"/>
      <c r="AM15" s="105">
        <v>5</v>
      </c>
      <c r="AN15" s="106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56"/>
      <c r="C16" s="144" t="str">
        <f>IF($D$7&gt;=1,"기초금리 Range하한", "")</f>
        <v>기초금리 Range하한</v>
      </c>
      <c r="D16" s="145"/>
      <c r="E16" s="113">
        <v>-1</v>
      </c>
      <c r="F16" s="155"/>
      <c r="G16" s="157"/>
      <c r="H16" s="157"/>
      <c r="I16" s="152" t="str">
        <f>IF(E14&gt;0,"Spread1","")</f>
        <v/>
      </c>
      <c r="J16" s="152"/>
      <c r="K16" s="142" t="str">
        <f>IF(E14&gt;0, I14&amp;"-"&amp;I15, "")</f>
        <v/>
      </c>
      <c r="L16" s="143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28"/>
      <c r="AE16" s="111" t="str">
        <f>IF($AF$7&gt;=1,"기초금리 Range하한", "")</f>
        <v>기초금리 Range하한</v>
      </c>
      <c r="AF16" s="112"/>
      <c r="AG16" s="113">
        <v>-1</v>
      </c>
      <c r="AH16" s="113"/>
      <c r="AI16" s="110"/>
      <c r="AJ16" s="110"/>
      <c r="AK16" s="107" t="str">
        <f>IF(AG14&gt;0,"Spread1","")</f>
        <v/>
      </c>
      <c r="AL16" s="107"/>
      <c r="AM16" s="108" t="str">
        <f>IF(AG14&gt;0, AK14&amp;"-"&amp;AK15, "")</f>
        <v/>
      </c>
      <c r="AN16" s="109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34" t="str">
        <f>IF($D$7&gt;=1,"Payoff조건Multiple", "")</f>
        <v>Payoff조건Multiple</v>
      </c>
      <c r="D17" s="134"/>
      <c r="E17" s="119">
        <v>1</v>
      </c>
      <c r="F17" s="140"/>
      <c r="G17" s="100" t="str">
        <f>IF(E14&gt;0,"예시) 10년-5년 스왑: 연 지급횟수=4, 만기1=10, 만기2=5","")</f>
        <v/>
      </c>
      <c r="H17" s="100"/>
      <c r="I17" s="100"/>
      <c r="J17" s="100"/>
      <c r="K17" s="100"/>
      <c r="L17" s="101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20" t="str">
        <f>IF($AF$7&gt;=1,"Payoff조건Multiple", "")</f>
        <v>Payoff조건Multiple</v>
      </c>
      <c r="AF17" s="120"/>
      <c r="AG17" s="119">
        <v>1</v>
      </c>
      <c r="AH17" s="119"/>
      <c r="AI17" s="100" t="str">
        <f>IF(AG14&gt;0,"예시) 10년-5년 스왑: 연 지급횟수=4, 만기1=10, 만기2=5","")</f>
        <v/>
      </c>
      <c r="AJ17" s="100"/>
      <c r="AK17" s="100"/>
      <c r="AL17" s="100"/>
      <c r="AM17" s="100"/>
      <c r="AN17" s="101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76" t="str">
        <f>IF(D7&gt;=2,"기초금리2", "")</f>
        <v/>
      </c>
      <c r="C19" s="159" t="str">
        <f>IF($D$7&gt;=2,"커브번호", "")</f>
        <v/>
      </c>
      <c r="D19" s="159"/>
      <c r="E19" s="124">
        <v>2</v>
      </c>
      <c r="F19" s="124"/>
      <c r="G19" s="79"/>
      <c r="H19" s="44"/>
      <c r="I19" s="138" t="str">
        <f>IF(OR(E20 = 0, E20 = 2, E20 = 4), "RefType = "&amp;E20&amp;" 이므로 Ref Swap 금리정보 사용안함", "사용")</f>
        <v>RefType = 0 이므로 Ref Swap 금리정보 사용안함</v>
      </c>
      <c r="J19" s="138"/>
      <c r="K19" s="138"/>
      <c r="L19" s="139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27" t="str">
        <f>IF($AF$7&gt;=2,"기초금리2", "")</f>
        <v/>
      </c>
      <c r="AE19" s="123" t="str">
        <f>IF($AF$7&gt;=2,"커브번호", "")</f>
        <v/>
      </c>
      <c r="AF19" s="123"/>
      <c r="AG19" s="124">
        <v>2</v>
      </c>
      <c r="AH19" s="124"/>
      <c r="AI19" s="79"/>
      <c r="AJ19" s="44"/>
      <c r="AK19" s="121" t="str">
        <f>IF(OR(AG20 = 0, AG20 = 2, AG20 = 4), "RefType = "&amp;AG20&amp;" 이므로 Ref Swap 금리정보 사용안함", "사용")</f>
        <v>RefType = 0 이므로 Ref Swap 금리정보 사용안함</v>
      </c>
      <c r="AL19" s="121"/>
      <c r="AM19" s="121"/>
      <c r="AN19" s="122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56"/>
      <c r="C20" s="145" t="str">
        <f>IF($D$7&gt;=2,"Reference Rate Type", "")</f>
        <v/>
      </c>
      <c r="D20" s="146"/>
      <c r="E20" s="126">
        <v>0</v>
      </c>
      <c r="F20" s="126"/>
      <c r="G20" s="129" t="str">
        <f>IF(OR(E20 = 0, E20 = 2, E20 = 4), "", "Zero/Swap 레퍼런스금리정보")</f>
        <v/>
      </c>
      <c r="H20" s="129"/>
      <c r="I20" s="129" t="str">
        <f>IF(OR(E20 = 0, E20 = 2, E20 = 4), "", "연 지급횟수")</f>
        <v/>
      </c>
      <c r="J20" s="130"/>
      <c r="K20" s="116">
        <v>4</v>
      </c>
      <c r="L20" s="117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28"/>
      <c r="AE20" s="112" t="str">
        <f>IF($AF$7&gt;=2,"Reference Rate Type", "")</f>
        <v/>
      </c>
      <c r="AF20" s="125"/>
      <c r="AG20" s="126">
        <v>0</v>
      </c>
      <c r="AH20" s="126"/>
      <c r="AI20" s="114" t="str">
        <f>IF(OR(AG20 = 0, AG20 = 2, AG20 = 4), "", "Zero/Swap 레퍼런스금리정보")</f>
        <v/>
      </c>
      <c r="AJ20" s="114"/>
      <c r="AK20" s="114" t="str">
        <f>IF(OR(AG20 = 0, AG20 = 2, AG20 = 4), "", "연 지급횟수")</f>
        <v/>
      </c>
      <c r="AL20" s="115"/>
      <c r="AM20" s="116">
        <v>4</v>
      </c>
      <c r="AN20" s="117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56"/>
      <c r="C21" s="145" t="str">
        <f>IF($D$7&gt;=2,"DayCount", "")</f>
        <v/>
      </c>
      <c r="D21" s="145"/>
      <c r="E21" s="103">
        <v>0</v>
      </c>
      <c r="F21" s="103"/>
      <c r="G21" s="129"/>
      <c r="H21" s="129"/>
      <c r="I21" s="129" t="str">
        <f>IF(OR(E20 = 0, E20 = 2, E20 = 4,E23=1), "", "만기")</f>
        <v/>
      </c>
      <c r="J21" s="130"/>
      <c r="K21" s="131">
        <v>1</v>
      </c>
      <c r="L21" s="132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28"/>
      <c r="AE21" s="112" t="str">
        <f>IF($AF$7&gt;=2,"DayCount", "")</f>
        <v/>
      </c>
      <c r="AF21" s="112"/>
      <c r="AG21" s="103">
        <v>0</v>
      </c>
      <c r="AH21" s="103"/>
      <c r="AI21" s="114"/>
      <c r="AJ21" s="114"/>
      <c r="AK21" s="129" t="str">
        <f>IF(OR(AG20 = 0, AG20 = 2, AG20 = 4,AG23=1), "", "만기")</f>
        <v/>
      </c>
      <c r="AL21" s="130"/>
      <c r="AM21" s="131">
        <v>5</v>
      </c>
      <c r="AN21" s="132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56"/>
      <c r="C22" s="145" t="str">
        <f>IF($D$7&gt;=2,"금리결정조건Multiple", "")</f>
        <v/>
      </c>
      <c r="D22" s="146"/>
      <c r="E22" s="102">
        <v>1</v>
      </c>
      <c r="F22" s="102"/>
      <c r="G22" s="98" t="str">
        <f>IF(OR(E20 = 0, E20 = 2, E20 = 4), "", "ex) Zero Rate 5년 -&gt; 연 지급횟수= 0, 만기= 5 // CD91일 -&gt; 연 지급횟수= 4, 만기= 0.25")</f>
        <v/>
      </c>
      <c r="H22" s="98"/>
      <c r="I22" s="98"/>
      <c r="J22" s="98"/>
      <c r="K22" s="98"/>
      <c r="L22" s="99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28"/>
      <c r="AE22" s="112" t="str">
        <f>IF($AF$7&gt;=2,"금리결정조건Multiple", "")</f>
        <v/>
      </c>
      <c r="AF22" s="125"/>
      <c r="AG22" s="102">
        <v>1</v>
      </c>
      <c r="AH22" s="102"/>
      <c r="AI22" s="98" t="str">
        <f>IF(OR(AG20 = 0, AG20 = 2, AG20 = 4), "", "ex) Zero Rate 5년 -&gt; 연 지급횟수= 0, 만기= 5 // CD91일 -&gt; 연 지급횟수= 4, 만기= 0.25")</f>
        <v/>
      </c>
      <c r="AJ22" s="98"/>
      <c r="AK22" s="98"/>
      <c r="AL22" s="98"/>
      <c r="AM22" s="98"/>
      <c r="AN22" s="99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56"/>
      <c r="C23" s="144" t="str">
        <f>IF($D$7&gt;=2,"Power Spread Flag", "")</f>
        <v/>
      </c>
      <c r="D23" s="144"/>
      <c r="E23" s="103">
        <v>0</v>
      </c>
      <c r="F23" s="103"/>
      <c r="G23" s="151" t="str">
        <f>IF(E23&gt;0,"PowerSpreadFlag 1일때 입력","입력필요X")</f>
        <v>입력필요X</v>
      </c>
      <c r="H23" s="151"/>
      <c r="I23" s="151" t="str">
        <f>IF(E23&gt;0,"만기1","")</f>
        <v/>
      </c>
      <c r="J23" s="151"/>
      <c r="K23" s="105">
        <v>10</v>
      </c>
      <c r="L23" s="106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28"/>
      <c r="AE23" s="111" t="str">
        <f>IF($AF$7&gt;=2,"Power Spread Flag", "")</f>
        <v/>
      </c>
      <c r="AF23" s="111"/>
      <c r="AG23" s="103">
        <v>0</v>
      </c>
      <c r="AH23" s="103"/>
      <c r="AI23" s="104" t="str">
        <f>IF(AG23&gt;0,"PowerSpreadFlag 1일때 입력","입력필요X")</f>
        <v>입력필요X</v>
      </c>
      <c r="AJ23" s="104"/>
      <c r="AK23" s="104" t="str">
        <f>IF(AG23&gt;0,"만기1","")</f>
        <v/>
      </c>
      <c r="AL23" s="104"/>
      <c r="AM23" s="105">
        <v>10</v>
      </c>
      <c r="AN23" s="106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56" t="str">
        <f>IF($D$7&gt;1, "사용", "커브개수"&amp;"="&amp;$D$7&amp;"이므로 사용안함")</f>
        <v>커브개수=1이므로 사용안함</v>
      </c>
      <c r="C24" s="144" t="str">
        <f>IF($D$7&gt;=2,"기초금리 Range상한", "")</f>
        <v/>
      </c>
      <c r="D24" s="144"/>
      <c r="E24" s="133">
        <v>10</v>
      </c>
      <c r="F24" s="133"/>
      <c r="G24" s="151"/>
      <c r="H24" s="151"/>
      <c r="I24" s="151" t="str">
        <f>IF(E23&gt;0,"만기2","")</f>
        <v/>
      </c>
      <c r="J24" s="151"/>
      <c r="K24" s="105">
        <v>5</v>
      </c>
      <c r="L24" s="106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28" t="str">
        <f>IF($AF$7&gt;1, "사용", "커브개수"&amp;"="&amp;$AF$7&amp;"이므로 사용안함")</f>
        <v>커브개수=1이므로 사용안함</v>
      </c>
      <c r="AE24" s="111" t="str">
        <f>IF($AF$7&gt;=2,"기초금리 Range상한", "")</f>
        <v/>
      </c>
      <c r="AF24" s="111"/>
      <c r="AG24" s="133">
        <v>0.5</v>
      </c>
      <c r="AH24" s="133"/>
      <c r="AI24" s="104"/>
      <c r="AJ24" s="104"/>
      <c r="AK24" s="104" t="str">
        <f>IF(AG23&gt;0,"만기2","")</f>
        <v/>
      </c>
      <c r="AL24" s="104"/>
      <c r="AM24" s="105">
        <v>5</v>
      </c>
      <c r="AN24" s="106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56"/>
      <c r="C25" s="144" t="str">
        <f>IF($D$7&gt;=2,"기초금리 Range하한", "")</f>
        <v/>
      </c>
      <c r="D25" s="145"/>
      <c r="E25" s="113">
        <v>-1</v>
      </c>
      <c r="F25" s="113"/>
      <c r="G25" s="157"/>
      <c r="H25" s="157"/>
      <c r="I25" s="152" t="str">
        <f>IF(E23&gt;0,"Spread1","")</f>
        <v/>
      </c>
      <c r="J25" s="152"/>
      <c r="K25" s="142" t="str">
        <f>IF(E23&gt;0, I23&amp;"-"&amp;I24, "")</f>
        <v/>
      </c>
      <c r="L25" s="143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28"/>
      <c r="AE25" s="111" t="str">
        <f>IF($AF$7&gt;=2,"기초금리 Range하한", "")</f>
        <v/>
      </c>
      <c r="AF25" s="112"/>
      <c r="AG25" s="113">
        <v>-0.1</v>
      </c>
      <c r="AH25" s="113"/>
      <c r="AI25" s="110"/>
      <c r="AJ25" s="110"/>
      <c r="AK25" s="107" t="str">
        <f>IF(AG23&gt;0,"Spread1","")</f>
        <v/>
      </c>
      <c r="AL25" s="107"/>
      <c r="AM25" s="108" t="str">
        <f>IF(AG23&gt;0, AK23&amp;"-"&amp;AK24, "")</f>
        <v/>
      </c>
      <c r="AN25" s="109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34" t="str">
        <f>IF($D$7&gt;=2,"Payoff조건Multiple", "")</f>
        <v/>
      </c>
      <c r="D26" s="134"/>
      <c r="E26" s="119">
        <v>0</v>
      </c>
      <c r="F26" s="119"/>
      <c r="G26" s="100" t="str">
        <f>IF(E23&gt;0,"예시) 10년-5년 스왑: 연 지급횟수=4, 만기1=10, 만기2=5","")</f>
        <v/>
      </c>
      <c r="H26" s="100"/>
      <c r="I26" s="100"/>
      <c r="J26" s="100"/>
      <c r="K26" s="100"/>
      <c r="L26" s="101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20" t="str">
        <f>IF($AF$7&gt;=2,"Payoff조건Multiple", "")</f>
        <v/>
      </c>
      <c r="AF26" s="120"/>
      <c r="AG26" s="119">
        <v>0</v>
      </c>
      <c r="AH26" s="119"/>
      <c r="AI26" s="100" t="str">
        <f>IF(AG23&gt;0,"예시) 10년-5년 스왑: 연 지급횟수=4, 만기1=10, 만기2=5","")</f>
        <v/>
      </c>
      <c r="AJ26" s="100"/>
      <c r="AK26" s="100"/>
      <c r="AL26" s="100"/>
      <c r="AM26" s="100"/>
      <c r="AN26" s="101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76" t="str">
        <f>IF($D$7&gt;=3,"기초금리3", "")</f>
        <v/>
      </c>
      <c r="C28" s="159" t="str">
        <f>IF($D$7&gt;=3,"커브번호", "")</f>
        <v/>
      </c>
      <c r="D28" s="159"/>
      <c r="E28" s="124">
        <v>3</v>
      </c>
      <c r="F28" s="124"/>
      <c r="G28" s="79"/>
      <c r="H28" s="44"/>
      <c r="I28" s="138" t="str">
        <f>IF(OR(E29 = 0, E29 = 2, E29 = 4), "RefType = "&amp;E29&amp;" 이므로 Ref Swap 금리정보 사용안함", "사용")</f>
        <v>RefType = 0 이므로 Ref Swap 금리정보 사용안함</v>
      </c>
      <c r="J28" s="138"/>
      <c r="K28" s="138"/>
      <c r="L28" s="139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27" t="str">
        <f>IF($AF$7&gt;=3,"기초금리3", "")</f>
        <v/>
      </c>
      <c r="AE28" s="123" t="str">
        <f>IF($AF$7&gt;=3,"커브번호", "")</f>
        <v/>
      </c>
      <c r="AF28" s="123"/>
      <c r="AG28" s="124">
        <v>3</v>
      </c>
      <c r="AH28" s="124"/>
      <c r="AI28" s="79"/>
      <c r="AJ28" s="44"/>
      <c r="AK28" s="121" t="str">
        <f>IF(OR(AG29 = 0, AG29 = 2, AG29 = 4), "RefType = "&amp;AG29&amp;" 이므로 Ref Swap 금리정보 사용안함", "사용")</f>
        <v>RefType = 0 이므로 Ref Swap 금리정보 사용안함</v>
      </c>
      <c r="AL28" s="121"/>
      <c r="AM28" s="121"/>
      <c r="AN28" s="122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56"/>
      <c r="C29" s="145" t="str">
        <f>IF($D$7&gt;=3,"Reference Rate Type", "")</f>
        <v/>
      </c>
      <c r="D29" s="146"/>
      <c r="E29" s="126">
        <v>0</v>
      </c>
      <c r="F29" s="126"/>
      <c r="G29" s="129" t="str">
        <f>IF(OR(E29 = 0, E29 = 2, E29 = 4), "", "Zero/Swap 레퍼런스금리정보")</f>
        <v/>
      </c>
      <c r="H29" s="129"/>
      <c r="I29" s="129" t="str">
        <f>IF(OR(E29 = 0, E29 = 2, E29 = 4), "", "연 지급횟수")</f>
        <v/>
      </c>
      <c r="J29" s="130"/>
      <c r="K29" s="116">
        <v>4</v>
      </c>
      <c r="L29" s="117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28"/>
      <c r="AE29" s="112" t="str">
        <f>IF($AF$7&gt;=3,"Reference Rate Type", "")</f>
        <v/>
      </c>
      <c r="AF29" s="125"/>
      <c r="AG29" s="126">
        <v>0</v>
      </c>
      <c r="AH29" s="126"/>
      <c r="AI29" s="114" t="str">
        <f>IF(OR(AG29 = 0, AG29 = 2, AG29 = 4), "", "Zero/Swap 레퍼런스금리정보")</f>
        <v/>
      </c>
      <c r="AJ29" s="114"/>
      <c r="AK29" s="114" t="str">
        <f>IF(OR(AG29 = 0, AG29 = 2, AG29 = 4), "", "연 지급횟수")</f>
        <v/>
      </c>
      <c r="AL29" s="115"/>
      <c r="AM29" s="116">
        <v>4</v>
      </c>
      <c r="AN29" s="117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56"/>
      <c r="C30" s="145" t="str">
        <f>IF($D$7&gt;=3,"DayCount", "")</f>
        <v/>
      </c>
      <c r="D30" s="145"/>
      <c r="E30" s="103">
        <v>0</v>
      </c>
      <c r="F30" s="103"/>
      <c r="G30" s="129"/>
      <c r="H30" s="129"/>
      <c r="I30" s="129" t="str">
        <f>IF(OR(E29 = 0, E29 = 2, E29 = 4,E32=1), "", "만기")</f>
        <v/>
      </c>
      <c r="J30" s="130"/>
      <c r="K30" s="131">
        <v>5</v>
      </c>
      <c r="L30" s="132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28"/>
      <c r="AE30" s="112" t="str">
        <f>IF($AF$7&gt;=3,"DayCount", "")</f>
        <v/>
      </c>
      <c r="AF30" s="112"/>
      <c r="AG30" s="103">
        <v>0</v>
      </c>
      <c r="AH30" s="103"/>
      <c r="AI30" s="114"/>
      <c r="AJ30" s="114"/>
      <c r="AK30" s="129" t="str">
        <f>IF(OR(AG29 = 0, AG29 = 2, AG29 = 4,AG32=1), "", "만기")</f>
        <v/>
      </c>
      <c r="AL30" s="130"/>
      <c r="AM30" s="131">
        <v>5</v>
      </c>
      <c r="AN30" s="132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56"/>
      <c r="C31" s="145" t="str">
        <f>IF($D$7&gt;=3,"금리결정조건Multiple", "")</f>
        <v/>
      </c>
      <c r="D31" s="146"/>
      <c r="E31" s="102">
        <v>1</v>
      </c>
      <c r="F31" s="102"/>
      <c r="G31" s="98" t="str">
        <f>IF(OR(E29 = 0, E29 = 2, E29 = 4), "", "ex) Zero Rate 5년 -&gt; 연 지급횟수= 0, 만기= 5 // CD91일 -&gt; 연 지급횟수= 4, 만기= 0.25")</f>
        <v/>
      </c>
      <c r="H31" s="98"/>
      <c r="I31" s="98"/>
      <c r="J31" s="98"/>
      <c r="K31" s="98"/>
      <c r="L31" s="99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28"/>
      <c r="AE31" s="112" t="str">
        <f>IF($AF$7&gt;=3,"금리결정조건Multiple", "")</f>
        <v/>
      </c>
      <c r="AF31" s="125"/>
      <c r="AG31" s="102">
        <v>1</v>
      </c>
      <c r="AH31" s="102"/>
      <c r="AI31" s="98" t="str">
        <f>IF(OR(AG29 = 0, AG29 = 2, AG29 = 4), "", "ex) Zero Rate 5년 -&gt; 연 지급횟수= 0, 만기= 5 // CD91일 -&gt; 연 지급횟수= 4, 만기= 0.25")</f>
        <v/>
      </c>
      <c r="AJ31" s="98"/>
      <c r="AK31" s="98"/>
      <c r="AL31" s="98"/>
      <c r="AM31" s="98"/>
      <c r="AN31" s="99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56"/>
      <c r="C32" s="144" t="str">
        <f>IF($D$7&gt;=3,"Power Spread Flag", "")</f>
        <v/>
      </c>
      <c r="D32" s="144"/>
      <c r="E32" s="103">
        <v>0</v>
      </c>
      <c r="F32" s="103"/>
      <c r="G32" s="151" t="str">
        <f>IF(E32&gt;0,"PowerSpreadFlag 1일때 입력","입력필요X")</f>
        <v>입력필요X</v>
      </c>
      <c r="H32" s="151"/>
      <c r="I32" s="151" t="str">
        <f>IF(E32&gt;0,"만기1","")</f>
        <v/>
      </c>
      <c r="J32" s="151"/>
      <c r="K32" s="105">
        <v>10</v>
      </c>
      <c r="L32" s="106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28"/>
      <c r="AE32" s="111" t="str">
        <f>IF($AF$7&gt;=3,"Power Spread Flag", "")</f>
        <v/>
      </c>
      <c r="AF32" s="111"/>
      <c r="AG32" s="103">
        <v>0</v>
      </c>
      <c r="AH32" s="103"/>
      <c r="AI32" s="104" t="str">
        <f>IF(AG32&gt;0,"PowerSpreadFlag 1일때 입력","입력필요X")</f>
        <v>입력필요X</v>
      </c>
      <c r="AJ32" s="104"/>
      <c r="AK32" s="104" t="str">
        <f>IF(AG32&gt;0,"만기1","")</f>
        <v/>
      </c>
      <c r="AL32" s="104"/>
      <c r="AM32" s="105">
        <v>10</v>
      </c>
      <c r="AN32" s="106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56" t="str">
        <f>IF($D$7&gt;2, "사용", "커브개수"&amp;"="&amp;$D$7&amp;"이므로 사용안함")</f>
        <v>커브개수=1이므로 사용안함</v>
      </c>
      <c r="C33" s="144" t="str">
        <f>IF($D$7&gt;=3,"기초금리 Range상한", "")</f>
        <v/>
      </c>
      <c r="D33" s="144"/>
      <c r="E33" s="133">
        <v>0.5</v>
      </c>
      <c r="F33" s="133"/>
      <c r="G33" s="151"/>
      <c r="H33" s="151"/>
      <c r="I33" s="151" t="str">
        <f>IF(E32&gt;0,"만기2","")</f>
        <v/>
      </c>
      <c r="J33" s="151"/>
      <c r="K33" s="105">
        <v>5</v>
      </c>
      <c r="L33" s="106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28" t="str">
        <f>IF($AF$7&gt;2, "사용", "커브개수"&amp;"="&amp;$AF$7&amp;"이므로 사용안함")</f>
        <v>커브개수=1이므로 사용안함</v>
      </c>
      <c r="AE33" s="111" t="str">
        <f>IF($AF$7&gt;=3,"기초금리 Range상한", "")</f>
        <v/>
      </c>
      <c r="AF33" s="111"/>
      <c r="AG33" s="133">
        <v>0.5</v>
      </c>
      <c r="AH33" s="133"/>
      <c r="AI33" s="104"/>
      <c r="AJ33" s="104"/>
      <c r="AK33" s="104" t="str">
        <f>IF(AG32&gt;0,"만기2","")</f>
        <v/>
      </c>
      <c r="AL33" s="104"/>
      <c r="AM33" s="105">
        <v>5</v>
      </c>
      <c r="AN33" s="106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56"/>
      <c r="C34" s="144" t="str">
        <f>IF($D$7&gt;=3,"기초금리 Range하한", "")</f>
        <v/>
      </c>
      <c r="D34" s="145"/>
      <c r="E34" s="113">
        <v>-0.1</v>
      </c>
      <c r="F34" s="113"/>
      <c r="G34" s="157"/>
      <c r="H34" s="157"/>
      <c r="I34" s="152" t="str">
        <f>IF(E32&gt;0,"Spread1","")</f>
        <v/>
      </c>
      <c r="J34" s="152"/>
      <c r="K34" s="142" t="str">
        <f>IF(E32&gt;0, I32&amp;"-"&amp;I33, "")</f>
        <v/>
      </c>
      <c r="L34" s="143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28"/>
      <c r="AE34" s="111" t="str">
        <f>IF($AF$7&gt;=3,"기초금리 Range하한", "")</f>
        <v/>
      </c>
      <c r="AF34" s="112"/>
      <c r="AG34" s="113">
        <v>-0.1</v>
      </c>
      <c r="AH34" s="113"/>
      <c r="AI34" s="110"/>
      <c r="AJ34" s="110"/>
      <c r="AK34" s="107" t="str">
        <f>IF(AG32&gt;0,"Spread1","")</f>
        <v/>
      </c>
      <c r="AL34" s="107"/>
      <c r="AM34" s="108" t="str">
        <f>IF(AG32&gt;0, AK32&amp;"-"&amp;AK33, "")</f>
        <v/>
      </c>
      <c r="AN34" s="109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34" t="str">
        <f>IF($D$7&gt;=3,"Payoff조건Multiple", "")</f>
        <v/>
      </c>
      <c r="D35" s="134"/>
      <c r="E35" s="119">
        <v>0</v>
      </c>
      <c r="F35" s="119"/>
      <c r="G35" s="100" t="str">
        <f>IF(E32&gt;0,"예시) 10년-5년 스왑: 연 지급횟수=4, 만기1=10, 만기2=5","")</f>
        <v/>
      </c>
      <c r="H35" s="100"/>
      <c r="I35" s="100"/>
      <c r="J35" s="100"/>
      <c r="K35" s="100"/>
      <c r="L35" s="101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20" t="str">
        <f>IF($AF$7&gt;=3,"Payoff조건Multiple", "")</f>
        <v/>
      </c>
      <c r="AF35" s="120"/>
      <c r="AG35" s="119">
        <v>0</v>
      </c>
      <c r="AH35" s="119"/>
      <c r="AI35" s="100" t="str">
        <f>IF(AG32&gt;0,"예시) 10년-5년 스왑: 연 지급횟수=4, 만기1=10, 만기2=5","")</f>
        <v/>
      </c>
      <c r="AJ35" s="100"/>
      <c r="AK35" s="100"/>
      <c r="AL35" s="100"/>
      <c r="AM35" s="100"/>
      <c r="AN35" s="101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47" t="s">
        <v>94</v>
      </c>
      <c r="C37" s="123" t="s">
        <v>33</v>
      </c>
      <c r="D37" s="123"/>
      <c r="E37" s="185">
        <v>1</v>
      </c>
      <c r="F37" s="186"/>
      <c r="G37" s="43"/>
      <c r="H37" s="127" t="s">
        <v>48</v>
      </c>
      <c r="I37" s="147"/>
      <c r="J37" s="135">
        <v>0</v>
      </c>
      <c r="K37" s="135"/>
      <c r="L37" s="136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47" t="s">
        <v>94</v>
      </c>
      <c r="AE37" s="123" t="s">
        <v>33</v>
      </c>
      <c r="AF37" s="123"/>
      <c r="AG37" s="185">
        <v>1</v>
      </c>
      <c r="AH37" s="186"/>
      <c r="AJ37" s="127" t="s">
        <v>48</v>
      </c>
      <c r="AK37" s="147"/>
      <c r="AL37" s="135">
        <v>0</v>
      </c>
      <c r="AM37" s="135"/>
      <c r="AN37" s="136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83"/>
      <c r="C38" s="120"/>
      <c r="D38" s="120"/>
      <c r="E38" s="187"/>
      <c r="F38" s="188"/>
      <c r="G38" s="43"/>
      <c r="H38" s="148" t="s">
        <v>49</v>
      </c>
      <c r="I38" s="149"/>
      <c r="J38" s="149"/>
      <c r="K38" s="149"/>
      <c r="L38" s="150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83"/>
      <c r="AE38" s="120"/>
      <c r="AF38" s="120"/>
      <c r="AG38" s="187"/>
      <c r="AH38" s="188"/>
      <c r="AJ38" s="148" t="s">
        <v>49</v>
      </c>
      <c r="AK38" s="149"/>
      <c r="AL38" s="149"/>
      <c r="AM38" s="149"/>
      <c r="AN38" s="150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83"/>
      <c r="C39" s="184"/>
      <c r="D39" s="184"/>
      <c r="E39" s="184"/>
      <c r="F39" s="184"/>
      <c r="G39" s="43"/>
      <c r="H39" s="180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81"/>
      <c r="J39" s="181"/>
      <c r="K39" s="181"/>
      <c r="L39" s="182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83"/>
      <c r="AE39" s="184"/>
      <c r="AF39" s="184"/>
      <c r="AG39" s="184"/>
      <c r="AH39" s="184"/>
      <c r="AJ39" s="177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8"/>
      <c r="AL39" s="178"/>
      <c r="AM39" s="178"/>
      <c r="AN39" s="179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97" t="s">
        <v>89</v>
      </c>
      <c r="C42" s="97"/>
      <c r="D42" s="97"/>
      <c r="E42" s="97"/>
      <c r="F42" s="97"/>
      <c r="G42" s="97"/>
      <c r="H42" s="97"/>
      <c r="I42" s="97"/>
      <c r="J42" s="97"/>
      <c r="K42" s="97"/>
      <c r="L42" s="97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78</v>
      </c>
      <c r="C43" s="66" t="s">
        <v>90</v>
      </c>
      <c r="D43" s="66" t="s">
        <v>79</v>
      </c>
      <c r="E43" s="66" t="s">
        <v>80</v>
      </c>
      <c r="F43" s="66" t="s">
        <v>81</v>
      </c>
      <c r="G43" s="66" t="s">
        <v>82</v>
      </c>
      <c r="H43" s="66" t="s">
        <v>83</v>
      </c>
      <c r="I43" s="66" t="s">
        <v>87</v>
      </c>
      <c r="J43" s="66" t="s">
        <v>84</v>
      </c>
      <c r="K43" s="66" t="s">
        <v>85</v>
      </c>
      <c r="L43" s="66" t="s">
        <v>86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89" t="s">
        <v>56</v>
      </c>
      <c r="B3" s="189"/>
      <c r="C3" s="189"/>
      <c r="D3" s="189"/>
      <c r="E3" s="189"/>
      <c r="G3" s="189" t="s">
        <v>76</v>
      </c>
      <c r="H3" s="189"/>
      <c r="I3" s="189"/>
      <c r="J3" s="189"/>
      <c r="K3" s="189"/>
      <c r="L3" s="21"/>
      <c r="M3" s="21"/>
      <c r="N3" s="21"/>
      <c r="P3" s="189" t="s">
        <v>77</v>
      </c>
      <c r="Q3" s="189"/>
      <c r="R3" s="189"/>
      <c r="S3" s="189"/>
      <c r="T3" s="189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68</v>
      </c>
      <c r="H4" s="29" t="s">
        <v>57</v>
      </c>
      <c r="I4" s="28" t="s">
        <v>69</v>
      </c>
      <c r="J4" s="29" t="s">
        <v>58</v>
      </c>
      <c r="K4" s="28" t="s">
        <v>70</v>
      </c>
      <c r="L4" s="29" t="s">
        <v>59</v>
      </c>
      <c r="M4" s="28"/>
      <c r="N4" s="29"/>
      <c r="P4" s="28" t="s">
        <v>68</v>
      </c>
      <c r="Q4" s="29" t="s">
        <v>57</v>
      </c>
      <c r="R4" s="28" t="s">
        <v>69</v>
      </c>
      <c r="S4" s="29" t="s">
        <v>58</v>
      </c>
      <c r="T4" s="28" t="s">
        <v>70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F16" sqref="F16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6" width="13.8984375" style="76"/>
    <col min="17" max="17" width="13.8984375" style="197"/>
    <col min="18" max="18" width="13.8984375" style="74"/>
    <col min="19" max="19" width="0" style="74" hidden="1" customWidth="1"/>
    <col min="20" max="20" width="13.8984375" style="76"/>
    <col min="21" max="21" width="13.8984375" style="197"/>
    <col min="22" max="22" width="13.8984375" style="74"/>
    <col min="23" max="23" width="0" style="74" hidden="1" customWidth="1"/>
    <col min="24" max="24" width="13.8984375" style="21"/>
    <col min="25" max="25" width="13.8984375" style="197"/>
    <col min="26" max="26" width="13.8984375" style="74"/>
    <col min="27" max="27" width="0" style="74" hidden="1" customWidth="1"/>
    <col min="28" max="28" width="13.8984375" style="76"/>
    <col min="29" max="29" width="13.8984375" style="197"/>
    <col min="30" max="30" width="13.8984375" style="74"/>
    <col min="31" max="31" width="0" style="74" hidden="1" customWidth="1"/>
    <col min="32" max="32" width="13.8984375" style="76"/>
    <col min="33" max="33" width="13.8984375" style="197"/>
    <col min="34" max="34" width="13.8984375" style="74"/>
    <col min="35" max="35" width="0" style="74" hidden="1" customWidth="1"/>
    <col min="36" max="36" width="13.8984375" style="76"/>
    <col min="37" max="37" width="13.8984375" style="197"/>
    <col min="38" max="38" width="13.8984375" style="74"/>
    <col min="39" max="39" width="0" style="74" hidden="1" customWidth="1"/>
    <col min="40" max="40" width="13.8984375" style="76"/>
    <col min="41" max="41" width="13.8984375" style="197"/>
    <col min="42" max="42" width="13.8984375" style="74"/>
    <col min="43" max="43" width="0" style="74" hidden="1" customWidth="1"/>
    <col min="44" max="44" width="13.8984375" style="76"/>
    <col min="45" max="45" width="13.8984375" style="197"/>
    <col min="46" max="46" width="13.8984375" style="74"/>
    <col min="47" max="47" width="0" style="74" hidden="1" customWidth="1"/>
    <col min="48" max="16384" width="13.8984375" style="21"/>
  </cols>
  <sheetData>
    <row r="1" spans="1:47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ref="M1" si="1">L1+1</f>
        <v>13</v>
      </c>
      <c r="N1" s="21">
        <f t="shared" ref="N1" si="2">M1+1</f>
        <v>14</v>
      </c>
      <c r="O1" s="21">
        <f t="shared" ref="O1" si="3">N1+1</f>
        <v>15</v>
      </c>
      <c r="P1" s="21">
        <f t="shared" ref="P1" si="4">O1+1</f>
        <v>16</v>
      </c>
      <c r="Q1" s="21">
        <f t="shared" ref="Q1" si="5">P1+1</f>
        <v>17</v>
      </c>
      <c r="R1" s="21">
        <f t="shared" ref="R1" si="6">Q1+1</f>
        <v>18</v>
      </c>
      <c r="S1" s="21">
        <f t="shared" ref="S1" si="7">R1+1</f>
        <v>19</v>
      </c>
      <c r="T1" s="21">
        <f t="shared" ref="T1" si="8">S1+1</f>
        <v>20</v>
      </c>
      <c r="U1" s="21">
        <f t="shared" ref="U1" si="9">T1+1</f>
        <v>21</v>
      </c>
      <c r="V1" s="21">
        <f t="shared" ref="V1" si="10">U1+1</f>
        <v>22</v>
      </c>
      <c r="W1" s="21">
        <f t="shared" ref="W1" si="11">V1+1</f>
        <v>23</v>
      </c>
      <c r="X1" s="21">
        <f t="shared" ref="X1" si="12">W1+1</f>
        <v>24</v>
      </c>
      <c r="Y1" s="21">
        <f t="shared" ref="Y1" si="13">X1+1</f>
        <v>25</v>
      </c>
      <c r="Z1" s="21">
        <f t="shared" ref="Z1" si="14">Y1+1</f>
        <v>26</v>
      </c>
      <c r="AA1" s="21">
        <f t="shared" ref="AA1" si="15">Z1+1</f>
        <v>27</v>
      </c>
      <c r="AB1" s="21">
        <f t="shared" ref="AB1" si="16">AA1+1</f>
        <v>28</v>
      </c>
      <c r="AC1" s="21">
        <f t="shared" ref="AC1" si="17">AB1+1</f>
        <v>29</v>
      </c>
      <c r="AD1" s="21">
        <f t="shared" ref="AD1" si="18">AC1+1</f>
        <v>30</v>
      </c>
      <c r="AE1" s="21">
        <f t="shared" ref="AE1" si="19">AD1+1</f>
        <v>31</v>
      </c>
      <c r="AF1" s="21">
        <f t="shared" ref="AF1" si="20">AE1+1</f>
        <v>32</v>
      </c>
      <c r="AG1" s="21">
        <f t="shared" ref="AG1" si="21">AF1+1</f>
        <v>33</v>
      </c>
      <c r="AH1" s="21">
        <f t="shared" ref="AH1" si="22">AG1+1</f>
        <v>34</v>
      </c>
      <c r="AI1" s="21">
        <f t="shared" ref="AI1" si="23">AH1+1</f>
        <v>35</v>
      </c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</row>
    <row r="2" spans="1:47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</row>
    <row r="3" spans="1:47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78" t="s">
        <v>93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</row>
    <row r="4" spans="1:47" x14ac:dyDescent="0.4">
      <c r="B4" s="191" t="s">
        <v>55</v>
      </c>
      <c r="C4" s="191"/>
      <c r="D4" s="192">
        <v>10000</v>
      </c>
      <c r="E4" s="192"/>
      <c r="F4" s="21"/>
      <c r="G4" s="193" t="s">
        <v>73</v>
      </c>
      <c r="H4" s="194"/>
      <c r="I4" s="195">
        <v>2023451263.93556</v>
      </c>
      <c r="J4" s="196"/>
      <c r="K4" s="21"/>
      <c r="L4" s="77">
        <v>44866.999652777777</v>
      </c>
      <c r="M4" s="1" t="s">
        <v>5</v>
      </c>
      <c r="N4" s="95" t="s">
        <v>6</v>
      </c>
      <c r="O4" s="95"/>
      <c r="P4" s="21"/>
      <c r="Q4" s="21"/>
      <c r="R4" s="21"/>
      <c r="S4" s="21"/>
      <c r="T4" s="21"/>
      <c r="U4" s="21"/>
      <c r="V4" s="21"/>
      <c r="W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</row>
    <row r="5" spans="1:47" x14ac:dyDescent="0.4">
      <c r="B5" s="191" t="s">
        <v>30</v>
      </c>
      <c r="C5" s="191"/>
      <c r="D5" s="192">
        <v>0</v>
      </c>
      <c r="E5" s="192"/>
      <c r="F5" s="21"/>
      <c r="G5" s="193" t="s">
        <v>74</v>
      </c>
      <c r="H5" s="194"/>
      <c r="I5" s="195">
        <v>2392757275.3073115</v>
      </c>
      <c r="J5" s="196"/>
      <c r="K5" s="21"/>
      <c r="L5" s="77">
        <v>44866.999664351853</v>
      </c>
      <c r="M5" s="21"/>
      <c r="N5" s="95"/>
      <c r="O5" s="95"/>
      <c r="P5" s="21"/>
      <c r="Q5" s="21"/>
      <c r="R5" s="21"/>
      <c r="S5" s="21"/>
      <c r="T5" s="21"/>
      <c r="U5" s="21"/>
      <c r="V5" s="21"/>
      <c r="W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</row>
    <row r="6" spans="1:47" x14ac:dyDescent="0.4">
      <c r="B6" s="21"/>
      <c r="C6" s="21"/>
      <c r="D6" s="21"/>
      <c r="E6" s="21"/>
      <c r="F6" s="21"/>
      <c r="G6" s="193">
        <v>0</v>
      </c>
      <c r="H6" s="194"/>
      <c r="I6" s="195">
        <v>186730237.90864515</v>
      </c>
      <c r="J6" s="196"/>
      <c r="K6" s="72"/>
      <c r="L6" s="31"/>
      <c r="M6" s="21"/>
      <c r="N6" s="95"/>
      <c r="O6" s="95"/>
      <c r="P6" s="21"/>
      <c r="Q6" s="21"/>
      <c r="R6" s="21"/>
      <c r="S6" s="21"/>
      <c r="T6" s="21"/>
      <c r="U6" s="21"/>
      <c r="V6" s="21"/>
      <c r="W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</row>
    <row r="7" spans="1:47" x14ac:dyDescent="0.4">
      <c r="B7" s="21"/>
      <c r="C7" s="21"/>
      <c r="D7" s="21">
        <v>1</v>
      </c>
      <c r="E7" s="21"/>
      <c r="F7" s="21"/>
      <c r="G7" s="193" t="s">
        <v>88</v>
      </c>
      <c r="H7" s="194"/>
      <c r="I7" s="195">
        <v>556036249.2803967</v>
      </c>
      <c r="J7" s="196"/>
      <c r="K7" s="72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</row>
    <row r="8" spans="1:47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</row>
    <row r="9" spans="1:47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</row>
    <row r="10" spans="1:47" x14ac:dyDescent="0.4">
      <c r="A10" s="65"/>
      <c r="B10" s="190" t="s">
        <v>61</v>
      </c>
      <c r="C10" s="190"/>
      <c r="D10" s="190"/>
      <c r="E10" s="190"/>
      <c r="F10" s="190"/>
      <c r="G10" s="190"/>
      <c r="H10" s="190"/>
      <c r="I10" s="190" t="s">
        <v>64</v>
      </c>
      <c r="J10" s="190"/>
      <c r="K10" s="190"/>
      <c r="L10" s="190"/>
      <c r="M10" s="190"/>
      <c r="N10" s="190"/>
      <c r="O10" s="190"/>
      <c r="P10" s="21"/>
      <c r="Q10" s="190" t="s">
        <v>98</v>
      </c>
      <c r="R10" s="190"/>
      <c r="S10" s="21"/>
      <c r="T10" s="21"/>
      <c r="U10" s="190" t="s">
        <v>99</v>
      </c>
      <c r="V10" s="190"/>
      <c r="W10" s="21"/>
      <c r="Y10" s="190" t="s">
        <v>100</v>
      </c>
      <c r="Z10" s="190"/>
      <c r="AA10" s="21"/>
      <c r="AB10" s="21"/>
      <c r="AC10" s="190" t="s">
        <v>101</v>
      </c>
      <c r="AD10" s="190"/>
      <c r="AE10" s="21"/>
      <c r="AF10" s="21"/>
      <c r="AG10" s="190" t="s">
        <v>102</v>
      </c>
      <c r="AH10" s="190"/>
      <c r="AI10" s="21"/>
      <c r="AJ10" s="21"/>
      <c r="AK10" s="190" t="s">
        <v>103</v>
      </c>
      <c r="AL10" s="190"/>
      <c r="AM10" s="21"/>
      <c r="AN10" s="21"/>
      <c r="AO10" s="190" t="s">
        <v>104</v>
      </c>
      <c r="AP10" s="190"/>
      <c r="AQ10" s="21"/>
      <c r="AR10" s="21"/>
      <c r="AS10" s="190" t="s">
        <v>105</v>
      </c>
      <c r="AT10" s="190"/>
      <c r="AU10" s="21"/>
    </row>
    <row r="11" spans="1:47" x14ac:dyDescent="0.4">
      <c r="B11" s="56" t="s">
        <v>62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75</v>
      </c>
      <c r="G11" s="58" t="s">
        <v>66</v>
      </c>
      <c r="H11" s="59" t="s">
        <v>65</v>
      </c>
      <c r="I11" s="56" t="s">
        <v>62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63</v>
      </c>
      <c r="N11" s="58" t="s">
        <v>66</v>
      </c>
      <c r="O11" s="59" t="s">
        <v>65</v>
      </c>
      <c r="P11" s="21"/>
      <c r="Q11" s="57" t="s">
        <v>96</v>
      </c>
      <c r="R11" s="74">
        <v>0</v>
      </c>
      <c r="S11" s="21"/>
      <c r="T11" s="21"/>
      <c r="U11" s="57" t="s">
        <v>96</v>
      </c>
      <c r="V11" s="74">
        <v>0</v>
      </c>
      <c r="W11" s="21"/>
      <c r="Y11" s="57" t="s">
        <v>96</v>
      </c>
      <c r="Z11" s="74">
        <v>0</v>
      </c>
      <c r="AA11" s="21"/>
      <c r="AB11" s="21"/>
      <c r="AC11" s="57" t="s">
        <v>96</v>
      </c>
      <c r="AD11" s="74">
        <v>0</v>
      </c>
      <c r="AE11" s="21"/>
      <c r="AF11" s="21"/>
      <c r="AG11" s="57" t="s">
        <v>96</v>
      </c>
      <c r="AH11" s="74">
        <v>0</v>
      </c>
      <c r="AI11" s="21"/>
      <c r="AJ11" s="21"/>
      <c r="AK11" s="57" t="s">
        <v>96</v>
      </c>
      <c r="AL11" s="74">
        <v>0</v>
      </c>
      <c r="AM11" s="21"/>
      <c r="AN11" s="21"/>
      <c r="AO11" s="57" t="s">
        <v>96</v>
      </c>
      <c r="AP11" s="74">
        <v>0</v>
      </c>
      <c r="AQ11" s="21"/>
      <c r="AR11" s="21"/>
      <c r="AS11" s="57" t="s">
        <v>96</v>
      </c>
      <c r="AT11" s="74">
        <v>0</v>
      </c>
      <c r="AU11" s="21"/>
    </row>
    <row r="12" spans="1:47" x14ac:dyDescent="0.4">
      <c r="B12" s="60">
        <v>44938</v>
      </c>
      <c r="C12" s="61">
        <v>3.0399999999995049E-2</v>
      </c>
      <c r="F12" s="62"/>
      <c r="G12" s="63">
        <v>76624657.534227997</v>
      </c>
      <c r="H12" s="62">
        <v>0.99169842772807693</v>
      </c>
      <c r="I12" s="60">
        <v>44938</v>
      </c>
      <c r="J12" s="61">
        <v>3.9140000000005316E-2</v>
      </c>
      <c r="M12" s="62"/>
      <c r="N12" s="63">
        <v>118818630.13699453</v>
      </c>
      <c r="O12" s="62">
        <v>0.99169842772807693</v>
      </c>
      <c r="P12" s="21"/>
      <c r="Q12" s="21"/>
      <c r="R12" s="21"/>
      <c r="S12" s="21"/>
      <c r="T12" s="21"/>
      <c r="U12" s="21"/>
      <c r="V12" s="21"/>
      <c r="W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</row>
    <row r="13" spans="1:47" x14ac:dyDescent="0.4">
      <c r="B13" s="60">
        <v>45028</v>
      </c>
      <c r="C13" s="61">
        <v>3.4459134761949652E-2</v>
      </c>
      <c r="F13" s="62"/>
      <c r="G13" s="63">
        <v>84967729.550013155</v>
      </c>
      <c r="H13" s="62">
        <v>0.98322154804776063</v>
      </c>
      <c r="I13" s="60">
        <v>45028</v>
      </c>
      <c r="J13" s="61">
        <v>4.9724505106634266E-2</v>
      </c>
      <c r="M13" s="62"/>
      <c r="N13" s="63">
        <v>142334396.15334448</v>
      </c>
      <c r="O13" s="62">
        <v>0.98322154804776063</v>
      </c>
      <c r="P13" s="21"/>
      <c r="Q13" s="190" t="s">
        <v>97</v>
      </c>
      <c r="R13" s="190"/>
      <c r="S13" s="80"/>
      <c r="T13" s="21"/>
      <c r="U13" s="190" t="s">
        <v>97</v>
      </c>
      <c r="V13" s="190"/>
      <c r="W13" s="80"/>
      <c r="Y13" s="190" t="s">
        <v>97</v>
      </c>
      <c r="Z13" s="190"/>
      <c r="AA13" s="80"/>
      <c r="AB13" s="21"/>
      <c r="AC13" s="190" t="s">
        <v>97</v>
      </c>
      <c r="AD13" s="190"/>
      <c r="AE13" s="80"/>
      <c r="AF13" s="21"/>
      <c r="AG13" s="190" t="s">
        <v>97</v>
      </c>
      <c r="AH13" s="190"/>
      <c r="AI13" s="80"/>
      <c r="AJ13" s="21"/>
      <c r="AK13" s="190" t="s">
        <v>97</v>
      </c>
      <c r="AL13" s="190"/>
      <c r="AM13" s="80"/>
      <c r="AN13" s="21"/>
      <c r="AO13" s="190" t="s">
        <v>97</v>
      </c>
      <c r="AP13" s="190"/>
      <c r="AQ13" s="80"/>
      <c r="AR13" s="21"/>
      <c r="AS13" s="190" t="s">
        <v>97</v>
      </c>
      <c r="AT13" s="190"/>
      <c r="AU13" s="80"/>
    </row>
    <row r="14" spans="1:47" x14ac:dyDescent="0.4">
      <c r="B14" s="60">
        <v>45119</v>
      </c>
      <c r="C14" s="61">
        <v>3.5134101390365206E-2</v>
      </c>
      <c r="F14" s="62"/>
      <c r="G14" s="63">
        <v>87594608.945842713</v>
      </c>
      <c r="H14" s="62">
        <v>0.97454545193459863</v>
      </c>
      <c r="I14" s="60">
        <v>45119</v>
      </c>
      <c r="J14" s="61">
        <v>4.618473978974659E-2</v>
      </c>
      <c r="M14" s="62"/>
      <c r="N14" s="63">
        <v>135090721.11964193</v>
      </c>
      <c r="O14" s="62">
        <v>0.97454545193459863</v>
      </c>
      <c r="P14" s="21"/>
      <c r="Q14" s="56" t="s">
        <v>95</v>
      </c>
      <c r="R14" s="57" t="s">
        <v>96</v>
      </c>
      <c r="S14" s="81"/>
      <c r="T14" s="21"/>
      <c r="U14" s="56" t="s">
        <v>95</v>
      </c>
      <c r="V14" s="57" t="s">
        <v>96</v>
      </c>
      <c r="W14" s="81"/>
      <c r="Y14" s="56" t="s">
        <v>95</v>
      </c>
      <c r="Z14" s="57" t="s">
        <v>96</v>
      </c>
      <c r="AA14" s="81"/>
      <c r="AB14" s="21"/>
      <c r="AC14" s="56" t="s">
        <v>95</v>
      </c>
      <c r="AD14" s="57" t="s">
        <v>96</v>
      </c>
      <c r="AE14" s="81"/>
      <c r="AF14" s="21"/>
      <c r="AG14" s="56" t="s">
        <v>95</v>
      </c>
      <c r="AH14" s="57" t="s">
        <v>96</v>
      </c>
      <c r="AI14" s="81"/>
      <c r="AJ14" s="21"/>
      <c r="AK14" s="56" t="s">
        <v>95</v>
      </c>
      <c r="AL14" s="57" t="s">
        <v>96</v>
      </c>
      <c r="AM14" s="81"/>
      <c r="AN14" s="21"/>
      <c r="AO14" s="56" t="s">
        <v>95</v>
      </c>
      <c r="AP14" s="57" t="s">
        <v>96</v>
      </c>
      <c r="AQ14" s="81"/>
      <c r="AR14" s="21"/>
      <c r="AS14" s="56" t="s">
        <v>95</v>
      </c>
      <c r="AT14" s="57" t="s">
        <v>96</v>
      </c>
      <c r="AU14" s="81"/>
    </row>
    <row r="15" spans="1:47" x14ac:dyDescent="0.4">
      <c r="B15" s="60">
        <v>45211</v>
      </c>
      <c r="C15" s="61">
        <v>3.6402138343293242E-2</v>
      </c>
      <c r="F15" s="62"/>
      <c r="G15" s="63">
        <v>91753335.002273381</v>
      </c>
      <c r="H15" s="62">
        <v>0.96547430845686333</v>
      </c>
      <c r="I15" s="60">
        <v>45211</v>
      </c>
      <c r="J15" s="61">
        <v>4.6996147304904194E-2</v>
      </c>
      <c r="M15" s="62"/>
      <c r="N15" s="63">
        <v>138620426.08359444</v>
      </c>
      <c r="O15" s="62">
        <v>0.96547430845686333</v>
      </c>
      <c r="P15" s="21"/>
      <c r="Q15" s="197">
        <v>2.7397260273972603E-3</v>
      </c>
      <c r="R15" s="74">
        <v>0</v>
      </c>
      <c r="U15" s="197">
        <v>0.25</v>
      </c>
      <c r="V15" s="74">
        <v>0</v>
      </c>
      <c r="Y15" s="197">
        <v>2.7397260273972603E-3</v>
      </c>
      <c r="Z15" s="74">
        <v>0</v>
      </c>
      <c r="AC15" s="197">
        <v>2.7397260273972603E-3</v>
      </c>
      <c r="AD15" s="74">
        <v>0</v>
      </c>
      <c r="AG15" s="197">
        <v>2.7397260273972603E-3</v>
      </c>
      <c r="AH15" s="74">
        <v>0</v>
      </c>
      <c r="AK15" s="197">
        <v>0.25</v>
      </c>
      <c r="AL15" s="74">
        <v>0</v>
      </c>
      <c r="AO15" s="197">
        <v>2.7397260273972603E-3</v>
      </c>
      <c r="AP15" s="74">
        <v>0</v>
      </c>
      <c r="AS15" s="197">
        <v>2.7397260273972603E-3</v>
      </c>
      <c r="AT15" s="74">
        <v>0</v>
      </c>
    </row>
    <row r="16" spans="1:47" x14ac:dyDescent="0.4">
      <c r="B16" s="60">
        <v>45303</v>
      </c>
      <c r="C16" s="61">
        <v>4.876013546430704E-2</v>
      </c>
      <c r="F16" s="62"/>
      <c r="G16" s="63">
        <v>122902259.25249934</v>
      </c>
      <c r="H16" s="62">
        <v>0.95355001065890899</v>
      </c>
      <c r="I16" s="60">
        <v>45303</v>
      </c>
      <c r="J16" s="61">
        <v>4.4681680602248759E-2</v>
      </c>
      <c r="M16" s="62"/>
      <c r="N16" s="63">
        <v>132786701.79196911</v>
      </c>
      <c r="O16" s="62">
        <v>0.95355001065890899</v>
      </c>
      <c r="P16" s="21"/>
      <c r="Q16" s="197">
        <v>0.25</v>
      </c>
      <c r="R16" s="74">
        <v>0</v>
      </c>
      <c r="U16" s="197">
        <v>0.5</v>
      </c>
      <c r="V16" s="74">
        <v>0</v>
      </c>
      <c r="Y16" s="197">
        <v>0.25</v>
      </c>
      <c r="Z16" s="74">
        <v>0</v>
      </c>
      <c r="AC16" s="197">
        <v>0.25</v>
      </c>
      <c r="AD16" s="74">
        <v>0</v>
      </c>
      <c r="AG16" s="197">
        <v>0.25</v>
      </c>
      <c r="AH16" s="74">
        <v>0</v>
      </c>
      <c r="AK16" s="197">
        <v>0.5</v>
      </c>
      <c r="AL16" s="74">
        <v>0</v>
      </c>
      <c r="AO16" s="197">
        <v>0.25</v>
      </c>
      <c r="AP16" s="74">
        <v>0</v>
      </c>
      <c r="AS16" s="197">
        <v>0.25</v>
      </c>
      <c r="AT16" s="74">
        <v>0</v>
      </c>
    </row>
    <row r="17" spans="2:46" x14ac:dyDescent="0.4">
      <c r="B17" s="60">
        <v>45394</v>
      </c>
      <c r="C17" s="61">
        <v>5.3935045342459541E-2</v>
      </c>
      <c r="F17" s="62"/>
      <c r="G17" s="63">
        <v>134468195.23736468</v>
      </c>
      <c r="H17" s="62">
        <v>0.94077126877914419</v>
      </c>
      <c r="I17" s="60">
        <v>45394</v>
      </c>
      <c r="J17" s="61">
        <v>4.4340581987305838E-2</v>
      </c>
      <c r="M17" s="62"/>
      <c r="N17" s="63">
        <v>130492957.83136553</v>
      </c>
      <c r="O17" s="62">
        <v>0.94077126877914419</v>
      </c>
      <c r="P17" s="21"/>
      <c r="Q17" s="197">
        <v>0.5</v>
      </c>
      <c r="R17" s="74">
        <v>0</v>
      </c>
      <c r="U17" s="197">
        <v>1</v>
      </c>
      <c r="V17" s="74">
        <v>0</v>
      </c>
      <c r="Y17" s="197">
        <v>0.5</v>
      </c>
      <c r="Z17" s="74">
        <v>0</v>
      </c>
      <c r="AC17" s="197">
        <v>0.5</v>
      </c>
      <c r="AD17" s="74">
        <v>0</v>
      </c>
      <c r="AG17" s="197">
        <v>0.5</v>
      </c>
      <c r="AH17" s="74">
        <v>0</v>
      </c>
      <c r="AK17" s="197">
        <v>1</v>
      </c>
      <c r="AL17" s="74">
        <v>0</v>
      </c>
      <c r="AO17" s="197">
        <v>0.5</v>
      </c>
      <c r="AP17" s="74">
        <v>0</v>
      </c>
      <c r="AS17" s="197">
        <v>0.5</v>
      </c>
      <c r="AT17" s="74">
        <v>0</v>
      </c>
    </row>
    <row r="18" spans="2:46" x14ac:dyDescent="0.4">
      <c r="B18" s="60">
        <v>45485</v>
      </c>
      <c r="C18" s="61">
        <v>4.8411943239359108E-2</v>
      </c>
      <c r="F18" s="62"/>
      <c r="G18" s="63">
        <v>120698269.44607361</v>
      </c>
      <c r="H18" s="62">
        <v>0.92940898555538742</v>
      </c>
      <c r="I18" s="60">
        <v>45485</v>
      </c>
      <c r="J18" s="61">
        <v>4.3985345691059663E-2</v>
      </c>
      <c r="M18" s="62"/>
      <c r="N18" s="63">
        <v>129607300.21606572</v>
      </c>
      <c r="O18" s="62">
        <v>0.92940898555538742</v>
      </c>
      <c r="P18" s="21"/>
      <c r="Q18" s="197">
        <v>1</v>
      </c>
      <c r="R18" s="74">
        <v>0</v>
      </c>
      <c r="U18" s="197">
        <v>2</v>
      </c>
      <c r="V18" s="74">
        <v>0</v>
      </c>
      <c r="Y18" s="197">
        <v>1</v>
      </c>
      <c r="Z18" s="74">
        <v>0</v>
      </c>
      <c r="AC18" s="197">
        <v>1</v>
      </c>
      <c r="AD18" s="74">
        <v>0</v>
      </c>
      <c r="AG18" s="197">
        <v>1</v>
      </c>
      <c r="AH18" s="74">
        <v>0</v>
      </c>
      <c r="AK18" s="197">
        <v>2</v>
      </c>
      <c r="AL18" s="74">
        <v>0</v>
      </c>
      <c r="AO18" s="197">
        <v>1</v>
      </c>
      <c r="AP18" s="74">
        <v>0</v>
      </c>
      <c r="AS18" s="197">
        <v>1</v>
      </c>
      <c r="AT18" s="74">
        <v>0</v>
      </c>
    </row>
    <row r="19" spans="2:46" x14ac:dyDescent="0.4">
      <c r="B19" s="60">
        <v>45577</v>
      </c>
      <c r="C19" s="61">
        <v>5.0060392679330927E-2</v>
      </c>
      <c r="F19" s="62"/>
      <c r="G19" s="63">
        <v>126179619.90406725</v>
      </c>
      <c r="H19" s="62">
        <v>0.91776047070421429</v>
      </c>
      <c r="I19" s="60">
        <v>45577</v>
      </c>
      <c r="J19" s="61">
        <v>4.3783554796033096E-2</v>
      </c>
      <c r="M19" s="62"/>
      <c r="N19" s="63">
        <v>130522932.63657618</v>
      </c>
      <c r="O19" s="62">
        <v>0.91776047070421429</v>
      </c>
      <c r="P19" s="21"/>
      <c r="Q19" s="197">
        <v>1.5</v>
      </c>
      <c r="R19" s="74">
        <v>0</v>
      </c>
      <c r="U19" s="197">
        <v>3</v>
      </c>
      <c r="V19" s="74">
        <v>0</v>
      </c>
      <c r="Y19" s="197">
        <v>1.5</v>
      </c>
      <c r="Z19" s="74">
        <v>0</v>
      </c>
      <c r="AC19" s="197">
        <v>1.5</v>
      </c>
      <c r="AD19" s="74">
        <v>0</v>
      </c>
      <c r="AG19" s="197">
        <v>1.5</v>
      </c>
      <c r="AH19" s="74">
        <v>0</v>
      </c>
      <c r="AK19" s="197">
        <v>3</v>
      </c>
      <c r="AL19" s="74">
        <v>0</v>
      </c>
      <c r="AO19" s="197">
        <v>1.5</v>
      </c>
      <c r="AP19" s="74">
        <v>0</v>
      </c>
      <c r="AS19" s="197">
        <v>1.5</v>
      </c>
      <c r="AT19" s="74">
        <v>0</v>
      </c>
    </row>
    <row r="20" spans="2:46" x14ac:dyDescent="0.4">
      <c r="B20" s="60">
        <v>45669</v>
      </c>
      <c r="C20" s="61">
        <v>4.3329883487836666E-2</v>
      </c>
      <c r="F20" s="62"/>
      <c r="G20" s="64">
        <v>109215048.79125936</v>
      </c>
      <c r="H20" s="62">
        <v>0.90777386514021274</v>
      </c>
      <c r="I20" s="60">
        <v>45669</v>
      </c>
      <c r="J20" s="61">
        <v>4.493738811477941E-2</v>
      </c>
      <c r="M20" s="62"/>
      <c r="N20" s="64">
        <v>133431224.83725208</v>
      </c>
      <c r="O20" s="62">
        <v>0.90777386514021274</v>
      </c>
      <c r="P20" s="21"/>
      <c r="Q20" s="197">
        <v>2</v>
      </c>
      <c r="R20" s="74">
        <v>0</v>
      </c>
      <c r="U20" s="197">
        <v>5</v>
      </c>
      <c r="V20" s="74">
        <v>0</v>
      </c>
      <c r="Y20" s="197">
        <v>2</v>
      </c>
      <c r="Z20" s="74">
        <v>0</v>
      </c>
      <c r="AC20" s="197">
        <v>2</v>
      </c>
      <c r="AD20" s="74">
        <v>0</v>
      </c>
      <c r="AG20" s="197">
        <v>2</v>
      </c>
      <c r="AH20" s="74">
        <v>0</v>
      </c>
      <c r="AK20" s="197">
        <v>5</v>
      </c>
      <c r="AL20" s="74">
        <v>0</v>
      </c>
      <c r="AO20" s="197">
        <v>2</v>
      </c>
      <c r="AP20" s="74">
        <v>0</v>
      </c>
      <c r="AS20" s="197">
        <v>2</v>
      </c>
      <c r="AT20" s="74">
        <v>0</v>
      </c>
    </row>
    <row r="21" spans="2:46" x14ac:dyDescent="0.4">
      <c r="B21" s="60">
        <v>45759</v>
      </c>
      <c r="C21" s="61">
        <v>4.3508911804252447E-2</v>
      </c>
      <c r="F21" s="62"/>
      <c r="G21" s="64">
        <v>107282248.28445853</v>
      </c>
      <c r="H21" s="62">
        <v>0.89806142459152827</v>
      </c>
      <c r="I21" s="60">
        <v>45759</v>
      </c>
      <c r="J21" s="61">
        <v>4.4910322262211179E-2</v>
      </c>
      <c r="M21" s="62"/>
      <c r="N21" s="64">
        <v>130463808.31778145</v>
      </c>
      <c r="O21" s="62">
        <v>0.89806142459152827</v>
      </c>
      <c r="P21" s="21"/>
      <c r="Q21" s="197">
        <v>2</v>
      </c>
      <c r="R21" s="74">
        <v>0</v>
      </c>
      <c r="U21" s="197">
        <v>7</v>
      </c>
      <c r="V21" s="74">
        <v>0</v>
      </c>
      <c r="Y21" s="197">
        <v>3</v>
      </c>
      <c r="Z21" s="74">
        <v>0</v>
      </c>
      <c r="AC21" s="197">
        <v>3</v>
      </c>
      <c r="AD21" s="74">
        <v>0</v>
      </c>
      <c r="AG21" s="197">
        <v>2</v>
      </c>
      <c r="AH21" s="74">
        <v>0</v>
      </c>
      <c r="AK21" s="197">
        <v>7</v>
      </c>
      <c r="AL21" s="74">
        <v>0</v>
      </c>
      <c r="AO21" s="197">
        <v>3</v>
      </c>
      <c r="AP21" s="74">
        <v>0</v>
      </c>
      <c r="AS21" s="197">
        <v>3</v>
      </c>
      <c r="AT21" s="74">
        <v>0</v>
      </c>
    </row>
    <row r="22" spans="2:46" x14ac:dyDescent="0.4">
      <c r="B22" s="60">
        <v>45850</v>
      </c>
      <c r="C22" s="61">
        <v>4.3724434358467332E-2</v>
      </c>
      <c r="F22" s="62"/>
      <c r="G22" s="64">
        <v>109011603.46905504</v>
      </c>
      <c r="H22" s="62">
        <v>0.88830914424502305</v>
      </c>
      <c r="I22" s="60">
        <v>45850</v>
      </c>
      <c r="J22" s="61">
        <v>4.4988116437387989E-2</v>
      </c>
      <c r="M22" s="62"/>
      <c r="N22" s="64">
        <v>132107358.78910448</v>
      </c>
      <c r="O22" s="62">
        <v>0.88830914424502305</v>
      </c>
      <c r="P22" s="21"/>
      <c r="Q22" s="197">
        <v>3</v>
      </c>
      <c r="R22" s="74">
        <v>0</v>
      </c>
      <c r="U22" s="197">
        <v>10</v>
      </c>
      <c r="V22" s="74">
        <v>0</v>
      </c>
      <c r="Y22" s="197">
        <v>4</v>
      </c>
      <c r="Z22" s="74">
        <v>0</v>
      </c>
      <c r="AC22" s="197">
        <v>4</v>
      </c>
      <c r="AD22" s="74">
        <v>0</v>
      </c>
      <c r="AG22" s="197">
        <v>3</v>
      </c>
      <c r="AH22" s="74">
        <v>0</v>
      </c>
      <c r="AK22" s="197">
        <v>10</v>
      </c>
      <c r="AL22" s="74">
        <v>0</v>
      </c>
      <c r="AO22" s="197">
        <v>4</v>
      </c>
      <c r="AP22" s="74">
        <v>0</v>
      </c>
      <c r="AS22" s="197">
        <v>4</v>
      </c>
      <c r="AT22" s="74">
        <v>0</v>
      </c>
    </row>
    <row r="23" spans="2:46" x14ac:dyDescent="0.4">
      <c r="B23" s="60">
        <v>45942</v>
      </c>
      <c r="C23" s="61">
        <v>4.4188592478581111E-2</v>
      </c>
      <c r="F23" s="62"/>
      <c r="G23" s="64">
        <v>111379465.97341089</v>
      </c>
      <c r="H23" s="62">
        <v>0.8784562576493482</v>
      </c>
      <c r="I23" s="60">
        <v>45942</v>
      </c>
      <c r="J23" s="61">
        <v>4.4663669212603889E-2</v>
      </c>
      <c r="M23" s="62"/>
      <c r="N23" s="64">
        <v>132741303.22080989</v>
      </c>
      <c r="O23" s="62">
        <v>0.8784562576493482</v>
      </c>
      <c r="P23" s="21"/>
      <c r="Q23" s="197">
        <v>4</v>
      </c>
      <c r="R23" s="74">
        <v>0</v>
      </c>
      <c r="U23" s="197">
        <v>20</v>
      </c>
      <c r="V23" s="74">
        <v>0</v>
      </c>
      <c r="Y23" s="197">
        <v>5</v>
      </c>
      <c r="Z23" s="74">
        <v>0</v>
      </c>
      <c r="AC23" s="197">
        <v>5</v>
      </c>
      <c r="AD23" s="74">
        <v>0</v>
      </c>
      <c r="AG23" s="197">
        <v>4</v>
      </c>
      <c r="AH23" s="74">
        <v>0</v>
      </c>
      <c r="AK23" s="197">
        <v>20</v>
      </c>
      <c r="AL23" s="74">
        <v>0</v>
      </c>
      <c r="AO23" s="197">
        <v>5</v>
      </c>
      <c r="AP23" s="74">
        <v>0</v>
      </c>
      <c r="AS23" s="197">
        <v>5</v>
      </c>
      <c r="AT23" s="74">
        <v>0</v>
      </c>
    </row>
    <row r="24" spans="2:46" x14ac:dyDescent="0.4">
      <c r="B24" s="60">
        <v>46034</v>
      </c>
      <c r="C24" s="61">
        <v>4.6412121516381626E-2</v>
      </c>
      <c r="F24" s="62"/>
      <c r="G24" s="64">
        <v>116983977.52074236</v>
      </c>
      <c r="H24" s="62">
        <v>0.86824368014980069</v>
      </c>
      <c r="I24" s="60">
        <v>46034</v>
      </c>
      <c r="J24" s="61">
        <v>4.1832400809330039E-2</v>
      </c>
      <c r="M24" s="62"/>
      <c r="N24" s="64">
        <v>125604955.46461283</v>
      </c>
      <c r="O24" s="62">
        <v>0.86824368014980069</v>
      </c>
      <c r="P24" s="21"/>
      <c r="Q24" s="197">
        <v>5</v>
      </c>
      <c r="R24" s="74">
        <v>0</v>
      </c>
      <c r="U24" s="197">
        <v>30</v>
      </c>
      <c r="V24" s="74">
        <v>0</v>
      </c>
      <c r="Y24" s="197">
        <v>6</v>
      </c>
      <c r="Z24" s="74">
        <v>0</v>
      </c>
      <c r="AC24" s="197">
        <v>6</v>
      </c>
      <c r="AD24" s="74">
        <v>0</v>
      </c>
      <c r="AG24" s="197">
        <v>5</v>
      </c>
      <c r="AH24" s="74">
        <v>0</v>
      </c>
      <c r="AK24" s="197">
        <v>30</v>
      </c>
      <c r="AL24" s="74">
        <v>0</v>
      </c>
      <c r="AO24" s="197">
        <v>6</v>
      </c>
      <c r="AP24" s="74">
        <v>0</v>
      </c>
      <c r="AS24" s="197">
        <v>6</v>
      </c>
      <c r="AT24" s="74">
        <v>0</v>
      </c>
    </row>
    <row r="25" spans="2:46" x14ac:dyDescent="0.4">
      <c r="B25" s="60">
        <v>46124</v>
      </c>
      <c r="C25" s="61">
        <v>4.699918418858276E-2</v>
      </c>
      <c r="F25" s="62"/>
      <c r="G25" s="64">
        <v>115888399.36910802</v>
      </c>
      <c r="H25" s="62">
        <v>0.8582621413272894</v>
      </c>
      <c r="I25" s="60">
        <v>46124</v>
      </c>
      <c r="J25" s="61">
        <v>4.13960544396966E-2</v>
      </c>
      <c r="M25" s="62"/>
      <c r="N25" s="64">
        <v>121798490.39925206</v>
      </c>
      <c r="O25" s="62">
        <v>0.8582621413272894</v>
      </c>
      <c r="P25" s="21"/>
      <c r="Q25" s="197">
        <v>10</v>
      </c>
      <c r="R25" s="74">
        <v>0</v>
      </c>
      <c r="Y25" s="197">
        <v>7</v>
      </c>
      <c r="Z25" s="74">
        <v>0</v>
      </c>
      <c r="AC25" s="197">
        <v>7</v>
      </c>
      <c r="AD25" s="74">
        <v>0</v>
      </c>
      <c r="AG25" s="197">
        <v>10</v>
      </c>
      <c r="AH25" s="74">
        <v>0</v>
      </c>
      <c r="AO25" s="197">
        <v>7</v>
      </c>
      <c r="AP25" s="74">
        <v>0</v>
      </c>
      <c r="AS25" s="197">
        <v>7</v>
      </c>
      <c r="AT25" s="74">
        <v>0</v>
      </c>
    </row>
    <row r="26" spans="2:46" x14ac:dyDescent="0.4">
      <c r="B26" s="60">
        <v>46215</v>
      </c>
      <c r="C26" s="61">
        <v>4.7567188348058016E-2</v>
      </c>
      <c r="F26" s="62"/>
      <c r="G26" s="64">
        <v>118592168.21022749</v>
      </c>
      <c r="H26" s="62">
        <v>0.84818737139505707</v>
      </c>
      <c r="I26" s="60">
        <v>46215</v>
      </c>
      <c r="J26" s="61">
        <v>4.0995750195295472E-2</v>
      </c>
      <c r="M26" s="62"/>
      <c r="N26" s="64">
        <v>122153788.15813342</v>
      </c>
      <c r="O26" s="62">
        <v>0.84818737139505707</v>
      </c>
      <c r="P26" s="21"/>
      <c r="Q26" s="197">
        <v>20</v>
      </c>
      <c r="R26" s="74">
        <v>0</v>
      </c>
      <c r="Y26" s="197">
        <v>8</v>
      </c>
      <c r="Z26" s="74">
        <v>0</v>
      </c>
      <c r="AC26" s="197">
        <v>8</v>
      </c>
      <c r="AD26" s="74">
        <v>0</v>
      </c>
      <c r="AG26" s="197">
        <v>20</v>
      </c>
      <c r="AH26" s="74">
        <v>0</v>
      </c>
      <c r="AO26" s="197">
        <v>8</v>
      </c>
      <c r="AP26" s="74">
        <v>0</v>
      </c>
      <c r="AS26" s="197">
        <v>8</v>
      </c>
      <c r="AT26" s="74">
        <v>0</v>
      </c>
    </row>
    <row r="27" spans="2:46" x14ac:dyDescent="0.4">
      <c r="B27" s="60">
        <v>46307</v>
      </c>
      <c r="C27" s="61">
        <v>4.6959423691597002E-2</v>
      </c>
      <c r="F27" s="62"/>
      <c r="G27" s="64">
        <v>118363478.89388804</v>
      </c>
      <c r="H27" s="62">
        <v>0.83831195546084514</v>
      </c>
      <c r="I27" s="60">
        <v>46307</v>
      </c>
      <c r="J27" s="61">
        <v>4.0540857310488898E-2</v>
      </c>
      <c r="M27" s="62"/>
      <c r="N27" s="64">
        <v>122349558.15246582</v>
      </c>
      <c r="O27" s="62">
        <v>0.83831195546084514</v>
      </c>
      <c r="P27" s="21"/>
      <c r="Q27" s="197">
        <v>30</v>
      </c>
      <c r="R27" s="74">
        <v>0</v>
      </c>
      <c r="Y27" s="197">
        <v>9</v>
      </c>
      <c r="Z27" s="74">
        <v>0</v>
      </c>
      <c r="AC27" s="197">
        <v>9</v>
      </c>
      <c r="AD27" s="74">
        <v>0</v>
      </c>
      <c r="AG27" s="197">
        <v>30</v>
      </c>
      <c r="AH27" s="74">
        <v>0</v>
      </c>
      <c r="AO27" s="197">
        <v>9</v>
      </c>
      <c r="AP27" s="74">
        <v>0</v>
      </c>
      <c r="AS27" s="197">
        <v>9</v>
      </c>
      <c r="AT27" s="74">
        <v>0</v>
      </c>
    </row>
    <row r="28" spans="2:46" x14ac:dyDescent="0.4">
      <c r="B28" s="60">
        <v>46399</v>
      </c>
      <c r="C28" s="61">
        <v>4.2031715858071417E-2</v>
      </c>
      <c r="F28" s="62"/>
      <c r="G28" s="64">
        <v>105942955.03952305</v>
      </c>
      <c r="H28" s="62">
        <v>0.82957092626431894</v>
      </c>
      <c r="I28" s="60">
        <v>46399</v>
      </c>
      <c r="J28" s="61">
        <v>4.0035750864429648E-2</v>
      </c>
      <c r="M28" s="62"/>
      <c r="N28" s="64">
        <v>121076413.13774115</v>
      </c>
      <c r="O28" s="62">
        <v>0.82957092626431894</v>
      </c>
      <c r="P28" s="21"/>
      <c r="Y28" s="197">
        <v>10</v>
      </c>
      <c r="Z28" s="74">
        <v>0</v>
      </c>
      <c r="AC28" s="197">
        <v>10</v>
      </c>
      <c r="AD28" s="74">
        <v>0</v>
      </c>
      <c r="AO28" s="197">
        <v>10</v>
      </c>
      <c r="AP28" s="74">
        <v>0</v>
      </c>
      <c r="AS28" s="197">
        <v>10</v>
      </c>
      <c r="AT28" s="74">
        <v>0</v>
      </c>
    </row>
    <row r="29" spans="2:46" x14ac:dyDescent="0.4">
      <c r="B29" s="60">
        <v>46489</v>
      </c>
      <c r="C29" s="61">
        <v>4.193744905678936E-2</v>
      </c>
      <c r="F29" s="62"/>
      <c r="G29" s="64">
        <v>103407408.63317889</v>
      </c>
      <c r="H29" s="62">
        <v>0.82113175472109712</v>
      </c>
      <c r="I29" s="60">
        <v>46489</v>
      </c>
      <c r="J29" s="61">
        <v>3.9684524843110816E-2</v>
      </c>
      <c r="M29" s="62"/>
      <c r="N29" s="64">
        <v>117578280.43506782</v>
      </c>
      <c r="O29" s="62">
        <v>0.82113175472109712</v>
      </c>
      <c r="P29" s="21"/>
      <c r="Y29" s="197">
        <v>12</v>
      </c>
      <c r="Z29" s="74">
        <v>0</v>
      </c>
      <c r="AC29" s="197">
        <v>12</v>
      </c>
      <c r="AD29" s="74">
        <v>0</v>
      </c>
      <c r="AO29" s="197">
        <v>12</v>
      </c>
      <c r="AP29" s="74">
        <v>0</v>
      </c>
      <c r="AS29" s="197">
        <v>12</v>
      </c>
      <c r="AT29" s="74">
        <v>0</v>
      </c>
    </row>
    <row r="30" spans="2:46" x14ac:dyDescent="0.4">
      <c r="B30" s="60">
        <v>46580</v>
      </c>
      <c r="C30" s="61">
        <v>4.1763340907729145E-2</v>
      </c>
      <c r="F30" s="62"/>
      <c r="G30" s="64">
        <v>104122301.98913239</v>
      </c>
      <c r="H30" s="62">
        <v>0.81275923748754664</v>
      </c>
      <c r="I30" s="60">
        <v>46580</v>
      </c>
      <c r="J30" s="61">
        <v>3.9178401643712592E-2</v>
      </c>
      <c r="M30" s="62"/>
      <c r="N30" s="64">
        <v>117622864.37199613</v>
      </c>
      <c r="O30" s="62">
        <v>0.81275923748754664</v>
      </c>
      <c r="P30" s="21"/>
      <c r="Y30" s="197">
        <v>15</v>
      </c>
      <c r="Z30" s="74">
        <v>0</v>
      </c>
      <c r="AC30" s="197">
        <v>15</v>
      </c>
      <c r="AD30" s="74">
        <v>0</v>
      </c>
      <c r="AO30" s="197">
        <v>15</v>
      </c>
      <c r="AP30" s="74">
        <v>0</v>
      </c>
      <c r="AS30" s="197">
        <v>15</v>
      </c>
      <c r="AT30" s="74">
        <v>0</v>
      </c>
    </row>
    <row r="31" spans="2:46" x14ac:dyDescent="0.4">
      <c r="B31" s="60">
        <v>46672</v>
      </c>
      <c r="C31" s="61">
        <v>4.2312352962007985E-2</v>
      </c>
      <c r="F31" s="62"/>
      <c r="G31" s="64">
        <v>106650314.3151983</v>
      </c>
      <c r="H31" s="62">
        <v>0.80427323260604222</v>
      </c>
      <c r="I31" s="60">
        <v>46672</v>
      </c>
      <c r="J31" s="61">
        <v>3.9496151885828779E-2</v>
      </c>
      <c r="M31" s="62"/>
      <c r="N31" s="64">
        <v>119716328.04099326</v>
      </c>
      <c r="O31" s="62">
        <v>0.80427323260604222</v>
      </c>
      <c r="P31" s="21"/>
      <c r="Y31" s="197">
        <v>20</v>
      </c>
      <c r="Z31" s="74">
        <v>0</v>
      </c>
      <c r="AC31" s="197">
        <v>20</v>
      </c>
      <c r="AD31" s="74">
        <v>0</v>
      </c>
      <c r="AO31" s="197">
        <v>20</v>
      </c>
      <c r="AP31" s="74">
        <v>0</v>
      </c>
      <c r="AS31" s="197">
        <v>20</v>
      </c>
      <c r="AT31" s="74">
        <v>0</v>
      </c>
    </row>
    <row r="32" spans="2:46" x14ac:dyDescent="0.4">
      <c r="B32" s="60">
        <v>46764</v>
      </c>
      <c r="C32" s="61">
        <v>4.4362550240501612E-2</v>
      </c>
      <c r="F32" s="62"/>
      <c r="G32" s="64">
        <v>111817934.85277133</v>
      </c>
      <c r="H32" s="62">
        <v>0.79551286047903658</v>
      </c>
      <c r="I32" s="60">
        <v>46764</v>
      </c>
      <c r="J32" s="61">
        <v>4.1487186758955706E-2</v>
      </c>
      <c r="M32" s="62"/>
      <c r="N32" s="64">
        <v>124734826.89928566</v>
      </c>
      <c r="O32" s="62">
        <v>0.79551286047903658</v>
      </c>
      <c r="P32" s="21"/>
    </row>
    <row r="33" spans="2:16" x14ac:dyDescent="0.4">
      <c r="B33" s="60"/>
      <c r="F33" s="62"/>
      <c r="G33" s="64"/>
      <c r="H33" s="62"/>
      <c r="I33" s="60"/>
      <c r="M33" s="62"/>
      <c r="N33" s="64"/>
      <c r="O33" s="62"/>
      <c r="P33" s="21"/>
    </row>
  </sheetData>
  <mergeCells count="31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2022-11-01T14:59:45Z</dcterms:modified>
</cp:coreProperties>
</file>