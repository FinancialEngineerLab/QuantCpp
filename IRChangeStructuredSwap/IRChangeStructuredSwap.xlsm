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<sst xmlns="http://schemas.openxmlformats.org/spreadsheetml/2006/main" count="237" uniqueCount="106">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</sst>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H17" sqref="H17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5" t="s">
        <v>0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</row>
    <row r="3" spans="1:45" x14ac:dyDescent="0.4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</row>
    <row r="4" spans="1:45" x14ac:dyDescent="0.4">
      <c r="A4" s="14">
        <f>4</f>
        <v>4</v>
      </c>
      <c r="B4" s="86" t="s">
        <v>2</v>
      </c>
      <c r="C4" s="86"/>
      <c r="D4" s="87">
        <v>2</v>
      </c>
      <c r="E4" s="87"/>
    </row>
    <row r="5" spans="1:45" x14ac:dyDescent="0.4">
      <c r="A5" s="14">
        <f>A4+1</f>
        <v>5</v>
      </c>
      <c r="G5" s="91" t="s">
        <v>22</v>
      </c>
      <c r="H5" s="93" t="s">
        <v>21</v>
      </c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</row>
    <row r="6" spans="1:45" x14ac:dyDescent="0.4">
      <c r="A6" s="14">
        <f t="shared" ref="A6:A69" si="1">A5+1</f>
        <v>6</v>
      </c>
      <c r="B6" s="86" t="s">
        <v>3</v>
      </c>
      <c r="C6" s="86"/>
      <c r="D6" s="87">
        <v>1</v>
      </c>
      <c r="E6" s="87"/>
      <c r="G6" s="92"/>
      <c r="H6" s="94" t="s">
        <v>7</v>
      </c>
      <c r="I6" s="95"/>
      <c r="L6" s="88" t="s">
        <v>11</v>
      </c>
      <c r="M6" s="88"/>
      <c r="N6" s="88"/>
      <c r="Q6" s="88" t="s">
        <v>12</v>
      </c>
      <c r="R6" s="88"/>
      <c r="S6" s="88"/>
      <c r="V6" s="88" t="s">
        <v>13</v>
      </c>
      <c r="W6" s="88"/>
      <c r="X6" s="88"/>
    </row>
    <row r="7" spans="1:45" x14ac:dyDescent="0.4">
      <c r="A7" s="14">
        <f t="shared" si="1"/>
        <v>7</v>
      </c>
      <c r="B7" s="86" t="s">
        <v>4</v>
      </c>
      <c r="C7" s="86"/>
      <c r="D7" s="87">
        <v>1</v>
      </c>
      <c r="E7" s="87"/>
      <c r="G7" s="92"/>
      <c r="H7" s="96"/>
      <c r="I7" s="97"/>
      <c r="L7" s="88"/>
      <c r="M7" s="88"/>
      <c r="N7" s="88"/>
      <c r="Q7" s="88"/>
      <c r="R7" s="88"/>
      <c r="S7" s="88"/>
      <c r="V7" s="88"/>
      <c r="W7" s="88"/>
      <c r="X7" s="88"/>
    </row>
    <row r="8" spans="1:45" x14ac:dyDescent="0.4">
      <c r="A8" s="14">
        <f t="shared" si="1"/>
        <v>8</v>
      </c>
      <c r="B8" s="86" t="s">
        <v>1</v>
      </c>
      <c r="C8" s="86"/>
      <c r="D8" s="87">
        <v>0.01</v>
      </c>
      <c r="E8" s="87"/>
      <c r="G8" s="92"/>
      <c r="V8" s="88" t="s">
        <v>14</v>
      </c>
      <c r="W8" s="88"/>
      <c r="X8" s="5">
        <v>3</v>
      </c>
    </row>
    <row r="9" spans="1:45" x14ac:dyDescent="0.4">
      <c r="A9" s="14">
        <f t="shared" si="1"/>
        <v>9</v>
      </c>
      <c r="G9" s="92"/>
      <c r="H9" s="2" t="s">
        <v>8</v>
      </c>
      <c r="I9" s="3">
        <v>0.01</v>
      </c>
      <c r="Q9" s="88" t="s">
        <v>15</v>
      </c>
      <c r="R9" s="88"/>
      <c r="S9" s="5">
        <v>3</v>
      </c>
      <c r="V9" s="89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92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72</v>
      </c>
      <c r="Q10" s="8" t="s">
        <v>18</v>
      </c>
      <c r="R10" s="8" t="s">
        <v>19</v>
      </c>
      <c r="S10" s="2" t="s">
        <v>20</v>
      </c>
      <c r="V10" s="90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92"/>
      <c r="H11" s="1">
        <v>0.5</v>
      </c>
      <c r="I11" s="4">
        <v>1.3219156796419782E-2</v>
      </c>
      <c r="L11" s="10">
        <v>1</v>
      </c>
      <c r="M11" s="11">
        <v>2.7397260273972603E-3</v>
      </c>
      <c r="N11" s="12">
        <v>3.1519999999999999E-2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92"/>
      <c r="H12" s="1">
        <v>1</v>
      </c>
      <c r="I12" s="4">
        <v>1.3366790318947877E-2</v>
      </c>
      <c r="L12" s="10">
        <f>L11+1</f>
        <v>2</v>
      </c>
      <c r="M12" s="11">
        <v>0.25</v>
      </c>
      <c r="N12" s="12">
        <v>3.2599999999999997E-2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84" t="s">
        <v>6</v>
      </c>
      <c r="E13" s="84"/>
      <c r="G13" s="92"/>
      <c r="H13" s="1">
        <v>1.5</v>
      </c>
      <c r="I13" s="4">
        <v>1.2363773728838059E-2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84"/>
      <c r="E14" s="84"/>
      <c r="G14" s="92"/>
      <c r="H14" s="1">
        <v>2</v>
      </c>
      <c r="I14" s="4">
        <v>1.206590370700446E-2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84"/>
      <c r="E15" s="84"/>
      <c r="G15" s="92"/>
      <c r="H15" s="1">
        <v>3</v>
      </c>
      <c r="I15" s="4">
        <v>1.2038384002599366E-2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92"/>
      <c r="H16" s="1">
        <v>4</v>
      </c>
      <c r="I16" s="4">
        <v>1.1786924176058476E-2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83">
        <v>44867.975127314814</v>
      </c>
      <c r="E17" s="83"/>
      <c r="G17" s="92"/>
      <c r="H17" s="1">
        <v>5</v>
      </c>
      <c r="I17" s="4">
        <v>1.2600310785032313E-2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83">
        <v>44867.975127314814</v>
      </c>
      <c r="E18" s="83"/>
      <c r="G18" s="92"/>
      <c r="H18" s="1">
        <v>7</v>
      </c>
      <c r="I18" s="4">
        <v>1.1460311293393127E-2</v>
      </c>
      <c r="L18" s="10">
        <f t="shared" si="2"/>
        <v>8</v>
      </c>
      <c r="M18" s="11">
        <v>3</v>
      </c>
      <c r="N18" s="12">
        <v>4.2500000000000003E-2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92"/>
      <c r="H19" s="1">
        <v>10</v>
      </c>
      <c r="I19" s="4">
        <v>1.0977718963818005E-2</v>
      </c>
      <c r="L19" s="10">
        <f t="shared" si="2"/>
        <v>9</v>
      </c>
      <c r="M19" s="11">
        <v>4</v>
      </c>
      <c r="N19" s="12">
        <v>4.3450000000000003E-2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92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92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92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92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92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92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92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92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92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92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92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92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92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92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92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92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92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92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92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92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92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91" t="s">
        <v>24</v>
      </c>
      <c r="H42" s="93" t="s">
        <v>23</v>
      </c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</row>
    <row r="43" spans="1:40" x14ac:dyDescent="0.4">
      <c r="A43" s="14">
        <f t="shared" si="1"/>
        <v>43</v>
      </c>
      <c r="B43" s="86" t="s">
        <v>3</v>
      </c>
      <c r="C43" s="86"/>
      <c r="D43" s="87">
        <v>1</v>
      </c>
      <c r="E43" s="87"/>
      <c r="G43" s="92"/>
      <c r="H43" s="94" t="s">
        <v>7</v>
      </c>
      <c r="I43" s="95"/>
      <c r="L43" s="88" t="s">
        <v>11</v>
      </c>
      <c r="M43" s="88"/>
      <c r="N43" s="88"/>
      <c r="Q43" s="88" t="s">
        <v>12</v>
      </c>
      <c r="R43" s="88"/>
      <c r="S43" s="88"/>
      <c r="V43" s="88" t="s">
        <v>13</v>
      </c>
      <c r="W43" s="88"/>
      <c r="X43" s="88"/>
    </row>
    <row r="44" spans="1:40" x14ac:dyDescent="0.4">
      <c r="A44" s="14">
        <f t="shared" si="1"/>
        <v>44</v>
      </c>
      <c r="B44" s="86" t="s">
        <v>4</v>
      </c>
      <c r="C44" s="86"/>
      <c r="D44" s="87">
        <v>1</v>
      </c>
      <c r="E44" s="87"/>
      <c r="G44" s="92"/>
      <c r="H44" s="96"/>
      <c r="I44" s="97"/>
      <c r="L44" s="88"/>
      <c r="M44" s="88"/>
      <c r="N44" s="88"/>
      <c r="Q44" s="88"/>
      <c r="R44" s="88"/>
      <c r="S44" s="88"/>
      <c r="V44" s="88"/>
      <c r="W44" s="88"/>
      <c r="X44" s="88"/>
    </row>
    <row r="45" spans="1:40" x14ac:dyDescent="0.4">
      <c r="A45" s="14">
        <f t="shared" si="1"/>
        <v>45</v>
      </c>
      <c r="B45" s="86" t="s">
        <v>1</v>
      </c>
      <c r="C45" s="86"/>
      <c r="D45" s="87">
        <v>0.01</v>
      </c>
      <c r="E45" s="87"/>
      <c r="G45" s="92"/>
      <c r="V45" s="88" t="s">
        <v>14</v>
      </c>
      <c r="W45" s="88"/>
      <c r="X45" s="5">
        <v>3</v>
      </c>
    </row>
    <row r="46" spans="1:40" x14ac:dyDescent="0.4">
      <c r="A46" s="14">
        <f t="shared" si="1"/>
        <v>46</v>
      </c>
      <c r="G46" s="92"/>
      <c r="H46" s="2" t="s">
        <v>8</v>
      </c>
      <c r="I46" s="3">
        <v>0.01</v>
      </c>
      <c r="Q46" s="88" t="s">
        <v>15</v>
      </c>
      <c r="R46" s="88"/>
      <c r="S46" s="5">
        <v>3</v>
      </c>
      <c r="V46" s="89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92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72</v>
      </c>
      <c r="Q47" s="8" t="s">
        <v>18</v>
      </c>
      <c r="R47" s="8" t="s">
        <v>19</v>
      </c>
      <c r="S47" s="2" t="s">
        <v>20</v>
      </c>
      <c r="V47" s="90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92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92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84" t="s">
        <v>6</v>
      </c>
      <c r="E50" s="84"/>
      <c r="G50" s="92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84"/>
      <c r="E51" s="84"/>
      <c r="G51" s="92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84"/>
      <c r="E52" s="84"/>
      <c r="G52" s="92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92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83">
        <v>44867.975127314814</v>
      </c>
      <c r="E54" s="83"/>
      <c r="G54" s="92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83">
        <v>44867.975127314814</v>
      </c>
      <c r="E55" s="83"/>
      <c r="G55" s="92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92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92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92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92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92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92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92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92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92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92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92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92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92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92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92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92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92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92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92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92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92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92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91" t="s">
        <v>26</v>
      </c>
      <c r="H79" s="93" t="s">
        <v>25</v>
      </c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</row>
    <row r="80" spans="1:40" x14ac:dyDescent="0.4">
      <c r="A80" s="14">
        <f t="shared" si="6"/>
        <v>80</v>
      </c>
      <c r="B80" s="86" t="s">
        <v>3</v>
      </c>
      <c r="C80" s="86"/>
      <c r="D80" s="87">
        <v>1</v>
      </c>
      <c r="E80" s="87"/>
      <c r="G80" s="92"/>
      <c r="H80" s="94" t="s">
        <v>7</v>
      </c>
      <c r="I80" s="95"/>
      <c r="L80" s="88" t="s">
        <v>11</v>
      </c>
      <c r="M80" s="88"/>
      <c r="N80" s="88"/>
      <c r="Q80" s="88" t="s">
        <v>12</v>
      </c>
      <c r="R80" s="88"/>
      <c r="S80" s="88"/>
      <c r="V80" s="88" t="s">
        <v>13</v>
      </c>
      <c r="W80" s="88"/>
      <c r="X80" s="88"/>
    </row>
    <row r="81" spans="1:40" x14ac:dyDescent="0.4">
      <c r="A81" s="14">
        <f t="shared" si="6"/>
        <v>81</v>
      </c>
      <c r="B81" s="86" t="s">
        <v>4</v>
      </c>
      <c r="C81" s="86"/>
      <c r="D81" s="87">
        <v>0</v>
      </c>
      <c r="E81" s="87"/>
      <c r="G81" s="92"/>
      <c r="H81" s="96"/>
      <c r="I81" s="97"/>
      <c r="L81" s="88"/>
      <c r="M81" s="88"/>
      <c r="N81" s="88"/>
      <c r="Q81" s="88"/>
      <c r="R81" s="88"/>
      <c r="S81" s="88"/>
      <c r="V81" s="88"/>
      <c r="W81" s="88"/>
      <c r="X81" s="88"/>
    </row>
    <row r="82" spans="1:40" x14ac:dyDescent="0.4">
      <c r="A82" s="14">
        <f t="shared" si="6"/>
        <v>82</v>
      </c>
      <c r="B82" s="86" t="s">
        <v>1</v>
      </c>
      <c r="C82" s="86"/>
      <c r="D82" s="87">
        <v>0.01</v>
      </c>
      <c r="E82" s="87"/>
      <c r="G82" s="92"/>
      <c r="V82" s="88" t="s">
        <v>14</v>
      </c>
      <c r="W82" s="88"/>
      <c r="X82" s="5">
        <v>3</v>
      </c>
    </row>
    <row r="83" spans="1:40" x14ac:dyDescent="0.4">
      <c r="A83" s="14">
        <f t="shared" si="6"/>
        <v>83</v>
      </c>
      <c r="G83" s="92"/>
      <c r="H83" s="2" t="s">
        <v>8</v>
      </c>
      <c r="I83" s="3">
        <v>6.483333333333334E-3</v>
      </c>
      <c r="Q83" s="88" t="s">
        <v>15</v>
      </c>
      <c r="R83" s="88"/>
      <c r="S83" s="5">
        <v>3</v>
      </c>
      <c r="V83" s="89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92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72</v>
      </c>
      <c r="Q84" s="8" t="s">
        <v>18</v>
      </c>
      <c r="R84" s="8" t="s">
        <v>19</v>
      </c>
      <c r="S84" s="2" t="s">
        <v>20</v>
      </c>
      <c r="V84" s="90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92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92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84" t="s">
        <v>6</v>
      </c>
      <c r="E87" s="84"/>
      <c r="G87" s="92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84"/>
      <c r="E88" s="84"/>
      <c r="G88" s="92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84"/>
      <c r="E89" s="84"/>
      <c r="G89" s="92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92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83">
        <v>44803.697731481479</v>
      </c>
      <c r="E91" s="83"/>
      <c r="G91" s="92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83">
        <v>44803.697754629633</v>
      </c>
      <c r="E92" s="83"/>
      <c r="G92" s="92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92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92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92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92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92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92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92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92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92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92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92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92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92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92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92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92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92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92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92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92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92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92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91" t="s">
        <v>28</v>
      </c>
      <c r="H116" s="93" t="s">
        <v>27</v>
      </c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</row>
    <row r="117" spans="2:40" x14ac:dyDescent="0.4">
      <c r="B117" s="86" t="s">
        <v>3</v>
      </c>
      <c r="C117" s="86"/>
      <c r="D117" s="87">
        <v>1</v>
      </c>
      <c r="E117" s="87"/>
      <c r="G117" s="92"/>
      <c r="H117" s="94" t="s">
        <v>7</v>
      </c>
      <c r="I117" s="95"/>
      <c r="L117" s="88" t="s">
        <v>11</v>
      </c>
      <c r="M117" s="88"/>
      <c r="N117" s="88"/>
      <c r="Q117" s="88" t="s">
        <v>12</v>
      </c>
      <c r="R117" s="88"/>
      <c r="S117" s="88"/>
      <c r="V117" s="88" t="s">
        <v>13</v>
      </c>
      <c r="W117" s="88"/>
      <c r="X117" s="88"/>
    </row>
    <row r="118" spans="2:40" x14ac:dyDescent="0.4">
      <c r="B118" s="86" t="s">
        <v>4</v>
      </c>
      <c r="C118" s="86"/>
      <c r="D118" s="87">
        <v>0</v>
      </c>
      <c r="E118" s="87"/>
      <c r="G118" s="92"/>
      <c r="H118" s="96"/>
      <c r="I118" s="97"/>
      <c r="L118" s="88"/>
      <c r="M118" s="88"/>
      <c r="N118" s="88"/>
      <c r="Q118" s="88"/>
      <c r="R118" s="88"/>
      <c r="S118" s="88"/>
      <c r="V118" s="88"/>
      <c r="W118" s="88"/>
      <c r="X118" s="88"/>
    </row>
    <row r="119" spans="2:40" x14ac:dyDescent="0.4">
      <c r="B119" s="86" t="s">
        <v>1</v>
      </c>
      <c r="C119" s="86"/>
      <c r="D119" s="87">
        <v>0.01</v>
      </c>
      <c r="E119" s="87"/>
      <c r="G119" s="92"/>
      <c r="V119" s="88" t="s">
        <v>14</v>
      </c>
      <c r="W119" s="88"/>
      <c r="X119" s="5">
        <v>3</v>
      </c>
    </row>
    <row r="120" spans="2:40" x14ac:dyDescent="0.4">
      <c r="G120" s="92"/>
      <c r="H120" s="2" t="s">
        <v>8</v>
      </c>
      <c r="I120" s="3">
        <v>7.3000000000000009E-3</v>
      </c>
      <c r="Q120" s="88" t="s">
        <v>15</v>
      </c>
      <c r="R120" s="88"/>
      <c r="S120" s="5">
        <v>3</v>
      </c>
      <c r="V120" s="89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92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72</v>
      </c>
      <c r="Q121" s="8" t="s">
        <v>18</v>
      </c>
      <c r="R121" s="8" t="s">
        <v>19</v>
      </c>
      <c r="S121" s="2" t="s">
        <v>20</v>
      </c>
      <c r="V121" s="90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92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92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84" t="s">
        <v>6</v>
      </c>
      <c r="E124" s="84"/>
      <c r="G124" s="92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84"/>
      <c r="E125" s="84"/>
      <c r="G125" s="92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84"/>
      <c r="E126" s="84"/>
      <c r="G126" s="92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92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83">
        <v>44803.697754629633</v>
      </c>
      <c r="E128" s="83"/>
      <c r="G128" s="92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83">
        <v>44803.697777777779</v>
      </c>
      <c r="E129" s="83"/>
      <c r="G129" s="92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92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92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92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92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92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92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92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92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92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92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92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92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92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92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92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92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92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92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92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92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92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92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E10" sqref="E10:F10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0" t="s">
        <v>29</v>
      </c>
      <c r="C3" s="150"/>
      <c r="D3" s="151">
        <v>44846</v>
      </c>
      <c r="E3" s="122"/>
      <c r="F3" s="119" t="s">
        <v>31</v>
      </c>
      <c r="G3" s="119"/>
      <c r="H3" s="122">
        <v>0</v>
      </c>
      <c r="I3" s="122"/>
      <c r="J3" s="119" t="s">
        <v>67</v>
      </c>
      <c r="K3" s="119"/>
      <c r="L3" s="122">
        <v>10000000000</v>
      </c>
      <c r="M3" s="122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4" t="s">
        <v>46</v>
      </c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D5" s="154" t="s">
        <v>47</v>
      </c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</row>
    <row r="6" spans="1:57" ht="16.2" customHeight="1" x14ac:dyDescent="0.4">
      <c r="A6" s="42">
        <f t="shared" si="1"/>
        <v>6</v>
      </c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</row>
    <row r="7" spans="1:57" ht="16.2" customHeight="1" x14ac:dyDescent="0.4">
      <c r="A7" s="42">
        <f t="shared" si="1"/>
        <v>7</v>
      </c>
      <c r="B7" s="150" t="str">
        <f>IF(D7&gt;0,"레퍼런스금리 개수","기초금리는 1개 - 3개 입력가능")</f>
        <v>레퍼런스금리 개수</v>
      </c>
      <c r="C7" s="150"/>
      <c r="D7" s="121">
        <v>1</v>
      </c>
      <c r="E7" s="121"/>
      <c r="F7" s="137" t="s">
        <v>32</v>
      </c>
      <c r="G7" s="138"/>
      <c r="H7" s="122">
        <v>1</v>
      </c>
      <c r="I7" s="122"/>
      <c r="J7" s="119" t="s">
        <v>92</v>
      </c>
      <c r="K7" s="119"/>
      <c r="L7" s="122">
        <v>0</v>
      </c>
      <c r="M7" s="122"/>
      <c r="N7" s="43"/>
      <c r="O7" s="43"/>
      <c r="P7" s="43"/>
      <c r="Q7" s="43"/>
      <c r="R7" s="43"/>
      <c r="S7" s="43"/>
      <c r="T7" s="43"/>
      <c r="U7" s="43"/>
      <c r="AD7" s="150" t="str">
        <f>IF(AF7&gt;0,"레퍼런스금리 개수","기초금리는 1개 - 3개 입력가능")</f>
        <v>레퍼런스금리 개수</v>
      </c>
      <c r="AE7" s="150"/>
      <c r="AF7" s="121">
        <v>1</v>
      </c>
      <c r="AG7" s="121"/>
      <c r="AH7" s="137" t="s">
        <v>32</v>
      </c>
      <c r="AI7" s="138"/>
      <c r="AJ7" s="122">
        <v>0</v>
      </c>
      <c r="AK7" s="122"/>
      <c r="AL7" s="119" t="s">
        <v>92</v>
      </c>
      <c r="AM7" s="119"/>
      <c r="AN7" s="122">
        <v>0</v>
      </c>
      <c r="AO7" s="122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19" t="s">
        <v>50</v>
      </c>
      <c r="C8" s="119"/>
      <c r="D8" s="120">
        <v>1</v>
      </c>
      <c r="E8" s="121"/>
      <c r="F8" s="119" t="s">
        <v>51</v>
      </c>
      <c r="G8" s="119"/>
      <c r="H8" s="120">
        <v>1</v>
      </c>
      <c r="I8" s="121"/>
      <c r="J8" s="119" t="s">
        <v>42</v>
      </c>
      <c r="K8" s="119"/>
      <c r="L8" s="122">
        <v>0</v>
      </c>
      <c r="M8" s="122"/>
      <c r="N8" s="43"/>
      <c r="O8" s="43"/>
      <c r="P8" s="43"/>
      <c r="Q8" s="43"/>
      <c r="R8" s="43"/>
      <c r="S8" s="43"/>
      <c r="T8" s="43"/>
      <c r="U8" s="43"/>
      <c r="AD8" s="119" t="s">
        <v>50</v>
      </c>
      <c r="AE8" s="119"/>
      <c r="AF8" s="120">
        <v>1</v>
      </c>
      <c r="AG8" s="121"/>
      <c r="AH8" s="119" t="s">
        <v>51</v>
      </c>
      <c r="AI8" s="119"/>
      <c r="AJ8" s="120">
        <v>1</v>
      </c>
      <c r="AK8" s="121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35" t="str">
        <f>IF(D7&gt;=1,"기초금리1", "")</f>
        <v>기초금리1</v>
      </c>
      <c r="C10" s="152" t="str">
        <f>IF($D$7&gt;=1,"커브번호", "")</f>
        <v>커브번호</v>
      </c>
      <c r="D10" s="152"/>
      <c r="E10" s="153">
        <v>1</v>
      </c>
      <c r="F10" s="153"/>
      <c r="G10" s="79"/>
      <c r="H10" s="44"/>
      <c r="I10" s="155" t="str">
        <f>IF(OR(E11 = 0, E11 = 2, E11 = 4), "RefType = "&amp;E11&amp;" 이므로 Ref Swap 금리정보 사용안함", "사용")</f>
        <v>RefType = 0 이므로 Ref Swap 금리정보 사용안함</v>
      </c>
      <c r="J10" s="156"/>
      <c r="K10" s="156"/>
      <c r="L10" s="184"/>
      <c r="N10" s="139" t="s">
        <v>34</v>
      </c>
      <c r="O10" s="139"/>
      <c r="P10" s="139"/>
      <c r="Q10" s="139"/>
      <c r="R10" s="42"/>
      <c r="S10" s="42"/>
      <c r="T10" s="42"/>
      <c r="U10" s="42"/>
      <c r="W10" s="139" t="s">
        <v>52</v>
      </c>
      <c r="X10" s="139"/>
      <c r="Y10" s="139"/>
      <c r="AD10" s="107" t="str">
        <f>IF($AF$7&gt;=1,"기초금리1", "")</f>
        <v>기초금리1</v>
      </c>
      <c r="AE10" s="113" t="str">
        <f>IF($AF$7&gt;=1,"커브번호", "")</f>
        <v>커브번호</v>
      </c>
      <c r="AF10" s="113"/>
      <c r="AG10" s="153">
        <v>2</v>
      </c>
      <c r="AH10" s="153"/>
      <c r="AI10" s="79"/>
      <c r="AJ10" s="44"/>
      <c r="AK10" s="177" t="str">
        <f>IF(OR(AG11 = 0, AG11 = 2, AG11 = 4), "RefType = "&amp;AG11&amp;" 이므로 Ref Swap 금리정보 사용안함", "사용")</f>
        <v>RefType = 0 이므로 Ref Swap 금리정보 사용안함</v>
      </c>
      <c r="AL10" s="177"/>
      <c r="AM10" s="177"/>
      <c r="AN10" s="178"/>
      <c r="AP10" s="139" t="s">
        <v>54</v>
      </c>
      <c r="AQ10" s="139"/>
      <c r="AR10" s="139"/>
      <c r="AS10" s="139"/>
      <c r="AT10" s="42"/>
      <c r="AU10" s="42"/>
      <c r="AV10" s="42"/>
      <c r="AW10" s="42"/>
      <c r="AY10" s="139" t="s">
        <v>53</v>
      </c>
      <c r="AZ10" s="139"/>
      <c r="BA10" s="139"/>
    </row>
    <row r="11" spans="1:57" ht="16.2" customHeight="1" x14ac:dyDescent="0.4">
      <c r="A11" s="42">
        <f t="shared" si="1"/>
        <v>11</v>
      </c>
      <c r="B11" s="136"/>
      <c r="C11" s="133" t="str">
        <f>IF($D$7&gt;=1,"Reference Rate Type", "")</f>
        <v>Reference Rate Type</v>
      </c>
      <c r="D11" s="134"/>
      <c r="E11" s="160">
        <v>0</v>
      </c>
      <c r="F11" s="161"/>
      <c r="G11" s="155" t="str">
        <f>IF(OR(E11 = 0, E11 = 2, E11 = 4), "", "Zero/Swap 레퍼런스금리정보")</f>
        <v/>
      </c>
      <c r="H11" s="156"/>
      <c r="I11" s="127" t="str">
        <f>IF(OR(E11 = 0, E11 = 2, E11 = 4), "", "연 지급횟수")</f>
        <v/>
      </c>
      <c r="J11" s="128"/>
      <c r="K11" s="129">
        <v>4</v>
      </c>
      <c r="L11" s="130"/>
      <c r="M11" s="42"/>
      <c r="N11" s="140" t="str">
        <f>IF(OR(E11 = 0, E11 = 2, E11 = 4), "ForwardStart", "ResetStart")</f>
        <v>ForwardStart</v>
      </c>
      <c r="O11" s="140" t="str">
        <f>IF(OR(E11 = 0, E11 = 2, E11 = 4), "ForwardEnd", "ResetEnd")</f>
        <v>ForwardEnd</v>
      </c>
      <c r="P11" s="141" t="s">
        <v>35</v>
      </c>
      <c r="Q11" s="141" t="s">
        <v>36</v>
      </c>
      <c r="R11" s="141" t="s">
        <v>37</v>
      </c>
      <c r="S11" s="141" t="s">
        <v>38</v>
      </c>
      <c r="T11" s="141" t="s">
        <v>91</v>
      </c>
      <c r="U11" s="141" t="s">
        <v>71</v>
      </c>
      <c r="W11" s="45" t="s">
        <v>43</v>
      </c>
      <c r="X11" s="174">
        <v>0</v>
      </c>
      <c r="Y11" s="174"/>
      <c r="AD11" s="179"/>
      <c r="AE11" s="164" t="str">
        <f>IF($AF$7&gt;=1,"Reference Rate Type", "")</f>
        <v>Reference Rate Type</v>
      </c>
      <c r="AF11" s="165"/>
      <c r="AG11" s="160">
        <v>0</v>
      </c>
      <c r="AH11" s="160"/>
      <c r="AI11" s="166" t="str">
        <f>IF(OR(AG11 = 0, AG11 = 2, AG11 = 4), "", "Zero/Swap 레퍼런스금리정보")</f>
        <v/>
      </c>
      <c r="AJ11" s="166"/>
      <c r="AK11" s="166" t="str">
        <f>IF(OR(AG11 = 0, AG11 = 2, AG11 = 4), "", "연 지급횟수")</f>
        <v/>
      </c>
      <c r="AL11" s="167"/>
      <c r="AM11" s="129">
        <v>4</v>
      </c>
      <c r="AN11" s="130"/>
      <c r="AO11" s="42"/>
      <c r="AP11" s="141" t="str">
        <f>IF(OR(AG11 = 0, AG11 = 2, AG11 = 4), "ForwardStart", "ResetEnd")</f>
        <v>ForwardStart</v>
      </c>
      <c r="AQ11" s="141" t="str">
        <f>IF(OR(AG11 = 0, AG11 = 2, AG11 = 4), "ForwardEnd", "ResetEnd")</f>
        <v>ForwardEnd</v>
      </c>
      <c r="AR11" s="141" t="s">
        <v>35</v>
      </c>
      <c r="AS11" s="141" t="s">
        <v>36</v>
      </c>
      <c r="AT11" s="141" t="s">
        <v>37</v>
      </c>
      <c r="AU11" s="141" t="s">
        <v>38</v>
      </c>
      <c r="AV11" s="141" t="s">
        <v>91</v>
      </c>
      <c r="AW11" s="141" t="s">
        <v>71</v>
      </c>
      <c r="AY11" s="45" t="s">
        <v>43</v>
      </c>
      <c r="AZ11" s="174">
        <v>0</v>
      </c>
      <c r="BA11" s="174"/>
    </row>
    <row r="12" spans="1:57" ht="16.2" customHeight="1" x14ac:dyDescent="0.4">
      <c r="A12" s="42">
        <f t="shared" si="1"/>
        <v>12</v>
      </c>
      <c r="B12" s="136"/>
      <c r="C12" s="133" t="str">
        <f>IF($D$7&gt;=1,"DayCount", "")</f>
        <v>DayCount</v>
      </c>
      <c r="D12" s="133"/>
      <c r="E12" s="146">
        <v>0</v>
      </c>
      <c r="F12" s="147"/>
      <c r="G12" s="157"/>
      <c r="H12" s="127"/>
      <c r="I12" s="127" t="str">
        <f>IF(OR(E11 = 0, E11 = 2, E11 = 4,E14=1), "", "만기")</f>
        <v/>
      </c>
      <c r="J12" s="128"/>
      <c r="K12" s="158">
        <v>0.25</v>
      </c>
      <c r="L12" s="159"/>
      <c r="N12" s="141"/>
      <c r="O12" s="141"/>
      <c r="P12" s="141"/>
      <c r="Q12" s="141"/>
      <c r="R12" s="141"/>
      <c r="S12" s="141"/>
      <c r="T12" s="141"/>
      <c r="U12" s="141"/>
      <c r="W12" s="45" t="s">
        <v>44</v>
      </c>
      <c r="X12" s="174">
        <v>0</v>
      </c>
      <c r="Y12" s="174"/>
      <c r="AD12" s="179"/>
      <c r="AE12" s="164" t="str">
        <f>IF($AF$7&gt;=1,"DayCount", "")</f>
        <v>DayCount</v>
      </c>
      <c r="AF12" s="164"/>
      <c r="AG12" s="146">
        <v>0</v>
      </c>
      <c r="AH12" s="146"/>
      <c r="AI12" s="166"/>
      <c r="AJ12" s="166"/>
      <c r="AK12" s="127" t="str">
        <f>IF(OR(AG11 = 0, AG11 = 2, AG11 = 4,AG14=1), "", "만기")</f>
        <v/>
      </c>
      <c r="AL12" s="128"/>
      <c r="AM12" s="131">
        <v>0.25</v>
      </c>
      <c r="AN12" s="132"/>
      <c r="AP12" s="141"/>
      <c r="AQ12" s="141"/>
      <c r="AR12" s="141"/>
      <c r="AS12" s="141"/>
      <c r="AT12" s="141"/>
      <c r="AU12" s="141"/>
      <c r="AV12" s="141"/>
      <c r="AW12" s="141"/>
      <c r="AY12" s="45" t="s">
        <v>44</v>
      </c>
      <c r="AZ12" s="174">
        <v>0</v>
      </c>
      <c r="BA12" s="174"/>
    </row>
    <row r="13" spans="1:57" ht="16.2" customHeight="1" x14ac:dyDescent="0.4">
      <c r="A13" s="42">
        <f t="shared" si="1"/>
        <v>13</v>
      </c>
      <c r="B13" s="136"/>
      <c r="C13" s="133" t="str">
        <f>IF($D$7&gt;=1,"금리결정조건Multiple", "")</f>
        <v>금리결정조건Multiple</v>
      </c>
      <c r="D13" s="134"/>
      <c r="E13" s="123">
        <v>1</v>
      </c>
      <c r="F13" s="173"/>
      <c r="G13" s="148" t="str">
        <f>IF(OR(E11 = 0, E11 = 2, E11 = 4), "", "ex) Zero Rate 5년 -&gt; 연 지급횟수= 0, 만기= 5 // CD91일 -&gt; 연 지급횟수= 4, 만기= 0.25")</f>
        <v/>
      </c>
      <c r="H13" s="148"/>
      <c r="I13" s="148"/>
      <c r="J13" s="148"/>
      <c r="K13" s="148"/>
      <c r="L13" s="149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74">
        <v>0</v>
      </c>
      <c r="Y13" s="174"/>
      <c r="AD13" s="179"/>
      <c r="AE13" s="164" t="str">
        <f>IF($AF$7&gt;=1,"금리결정조건Multiple", "")</f>
        <v>금리결정조건Multiple</v>
      </c>
      <c r="AF13" s="165"/>
      <c r="AG13" s="123">
        <v>1</v>
      </c>
      <c r="AH13" s="123"/>
      <c r="AI13" s="148" t="str">
        <f>IF(OR(AG11 = 0, AG11 = 2, AG11 = 4), "", "ex) Zero Rate 5년 -&gt; 연 지급횟수= 0, 만기= 5 // CD91일 -&gt; 연 지급횟수= 4, 만기= 0.25")</f>
        <v/>
      </c>
      <c r="AJ13" s="148"/>
      <c r="AK13" s="148"/>
      <c r="AL13" s="148"/>
      <c r="AM13" s="148"/>
      <c r="AN13" s="149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74">
        <v>0</v>
      </c>
      <c r="BA13" s="174"/>
    </row>
    <row r="14" spans="1:57" ht="16.2" customHeight="1" x14ac:dyDescent="0.4">
      <c r="A14" s="42">
        <f t="shared" si="1"/>
        <v>14</v>
      </c>
      <c r="B14" s="136"/>
      <c r="C14" s="168" t="str">
        <f>IF($D$7&gt;=1,"Power Spread Flag", "")</f>
        <v>Power Spread Flag</v>
      </c>
      <c r="D14" s="168"/>
      <c r="E14" s="146">
        <v>0</v>
      </c>
      <c r="F14" s="147"/>
      <c r="G14" s="124" t="str">
        <f>IF(E14&gt;0,"PowerSpreadFlag 1일때 입력","입력필요X")</f>
        <v>입력필요X</v>
      </c>
      <c r="H14" s="124"/>
      <c r="I14" s="124" t="str">
        <f>IF(E14&gt;0,"만기1","")</f>
        <v/>
      </c>
      <c r="J14" s="124"/>
      <c r="K14" s="125">
        <v>10</v>
      </c>
      <c r="L14" s="126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79"/>
      <c r="AE14" s="162" t="str">
        <f>IF($AF$7&gt;=1,"Power Spread Flag", "")</f>
        <v>Power Spread Flag</v>
      </c>
      <c r="AF14" s="162"/>
      <c r="AG14" s="146">
        <v>0</v>
      </c>
      <c r="AH14" s="146"/>
      <c r="AI14" s="163" t="str">
        <f>IF(AG14&gt;0,"PowerSpreadFlag 1일때 입력","입력필요X")</f>
        <v>입력필요X</v>
      </c>
      <c r="AJ14" s="163"/>
      <c r="AK14" s="163" t="str">
        <f>IF(AG14&gt;0,"만기1","")</f>
        <v/>
      </c>
      <c r="AL14" s="163"/>
      <c r="AM14" s="125">
        <v>10</v>
      </c>
      <c r="AN14" s="126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36" t="str">
        <f>IF($D$7&gt;0, "사용", "커브개수"&amp;"="&amp;$D$7&amp;"이므로 사용안함")</f>
        <v>사용</v>
      </c>
      <c r="C15" s="168" t="str">
        <f>IF($D$7&gt;=1,"기초금리 Range상한", "")</f>
        <v>기초금리 Range상한</v>
      </c>
      <c r="D15" s="168"/>
      <c r="E15" s="171">
        <v>10</v>
      </c>
      <c r="F15" s="175"/>
      <c r="G15" s="124"/>
      <c r="H15" s="124"/>
      <c r="I15" s="124" t="str">
        <f>IF(E14&gt;0,"만기2","")</f>
        <v/>
      </c>
      <c r="J15" s="124"/>
      <c r="K15" s="125">
        <v>5</v>
      </c>
      <c r="L15" s="126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79" t="str">
        <f>IF($AF$7&gt;0, "사용", "커브개수"&amp;"="&amp;$AF$7&amp;"이므로 사용안함")</f>
        <v>사용</v>
      </c>
      <c r="AE15" s="162" t="str">
        <f>IF($AF$7&gt;=1,"기초금리 Range상한", "")</f>
        <v>기초금리 Range상한</v>
      </c>
      <c r="AF15" s="162"/>
      <c r="AG15" s="171">
        <v>10</v>
      </c>
      <c r="AH15" s="171"/>
      <c r="AI15" s="163"/>
      <c r="AJ15" s="163"/>
      <c r="AK15" s="163" t="str">
        <f>IF(AG14&gt;0,"만기2","")</f>
        <v/>
      </c>
      <c r="AL15" s="163"/>
      <c r="AM15" s="125">
        <v>5</v>
      </c>
      <c r="AN15" s="126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36"/>
      <c r="C16" s="168" t="str">
        <f>IF($D$7&gt;=1,"기초금리 Range하한", "")</f>
        <v>기초금리 Range하한</v>
      </c>
      <c r="D16" s="133"/>
      <c r="E16" s="170">
        <v>-1</v>
      </c>
      <c r="F16" s="176"/>
      <c r="G16" s="172"/>
      <c r="H16" s="172"/>
      <c r="I16" s="142" t="str">
        <f>IF(E14&gt;0,"Spread1","")</f>
        <v/>
      </c>
      <c r="J16" s="142"/>
      <c r="K16" s="143" t="str">
        <f>IF(E14&gt;0, I14&amp;"-"&amp;I15, "")</f>
        <v/>
      </c>
      <c r="L16" s="144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79"/>
      <c r="AE16" s="162" t="str">
        <f>IF($AF$7&gt;=1,"기초금리 Range하한", "")</f>
        <v>기초금리 Range하한</v>
      </c>
      <c r="AF16" s="164"/>
      <c r="AG16" s="170">
        <v>-1</v>
      </c>
      <c r="AH16" s="170"/>
      <c r="AI16" s="183"/>
      <c r="AJ16" s="183"/>
      <c r="AK16" s="180" t="str">
        <f>IF(AG14&gt;0,"Spread1","")</f>
        <v/>
      </c>
      <c r="AL16" s="180"/>
      <c r="AM16" s="181" t="str">
        <f>IF(AG14&gt;0, AK14&amp;"-"&amp;AK15, "")</f>
        <v/>
      </c>
      <c r="AN16" s="182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69" t="str">
        <f>IF($D$7&gt;=1,"Payoff조건Multiple", "")</f>
        <v>Payoff조건Multiple</v>
      </c>
      <c r="D17" s="169"/>
      <c r="E17" s="185">
        <v>1</v>
      </c>
      <c r="F17" s="186"/>
      <c r="G17" s="188" t="str">
        <f>IF(E14&gt;0,"예시) 10년-5년 스왑: 연 지급횟수=4, 만기1=10, 만기2=5","")</f>
        <v/>
      </c>
      <c r="H17" s="188"/>
      <c r="I17" s="188"/>
      <c r="J17" s="188"/>
      <c r="K17" s="188"/>
      <c r="L17" s="189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14" t="str">
        <f>IF($AF$7&gt;=1,"Payoff조건Multiple", "")</f>
        <v>Payoff조건Multiple</v>
      </c>
      <c r="AF17" s="114"/>
      <c r="AG17" s="185">
        <v>1</v>
      </c>
      <c r="AH17" s="185"/>
      <c r="AI17" s="188" t="str">
        <f>IF(AG14&gt;0,"예시) 10년-5년 스왑: 연 지급횟수=4, 만기1=10, 만기2=5","")</f>
        <v/>
      </c>
      <c r="AJ17" s="188"/>
      <c r="AK17" s="188"/>
      <c r="AL17" s="188"/>
      <c r="AM17" s="188"/>
      <c r="AN17" s="189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35" t="str">
        <f>IF(D7&gt;=2,"기초금리2", "")</f>
        <v/>
      </c>
      <c r="C19" s="152" t="str">
        <f>IF($D$7&gt;=2,"커브번호", "")</f>
        <v/>
      </c>
      <c r="D19" s="152"/>
      <c r="E19" s="153">
        <v>2</v>
      </c>
      <c r="F19" s="153"/>
      <c r="G19" s="79"/>
      <c r="H19" s="44"/>
      <c r="I19" s="156" t="str">
        <f>IF(OR(E20 = 0, E20 = 2, E20 = 4), "RefType = "&amp;E20&amp;" 이므로 Ref Swap 금리정보 사용안함", "사용")</f>
        <v>RefType = 0 이므로 Ref Swap 금리정보 사용안함</v>
      </c>
      <c r="J19" s="156"/>
      <c r="K19" s="156"/>
      <c r="L19" s="184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07" t="str">
        <f>IF($AF$7&gt;=2,"기초금리2", "")</f>
        <v/>
      </c>
      <c r="AE19" s="113" t="str">
        <f>IF($AF$7&gt;=2,"커브번호", "")</f>
        <v/>
      </c>
      <c r="AF19" s="113"/>
      <c r="AG19" s="153">
        <v>2</v>
      </c>
      <c r="AH19" s="153"/>
      <c r="AI19" s="79"/>
      <c r="AJ19" s="44"/>
      <c r="AK19" s="177" t="str">
        <f>IF(OR(AG20 = 0, AG20 = 2, AG20 = 4), "RefType = "&amp;AG20&amp;" 이므로 Ref Swap 금리정보 사용안함", "사용")</f>
        <v>RefType = 0 이므로 Ref Swap 금리정보 사용안함</v>
      </c>
      <c r="AL19" s="177"/>
      <c r="AM19" s="177"/>
      <c r="AN19" s="178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36"/>
      <c r="C20" s="133" t="str">
        <f>IF($D$7&gt;=2,"Reference Rate Type", "")</f>
        <v/>
      </c>
      <c r="D20" s="134"/>
      <c r="E20" s="145">
        <v>0</v>
      </c>
      <c r="F20" s="145"/>
      <c r="G20" s="127" t="str">
        <f>IF(OR(E20 = 0, E20 = 2, E20 = 4), "", "Zero/Swap 레퍼런스금리정보")</f>
        <v/>
      </c>
      <c r="H20" s="127"/>
      <c r="I20" s="127" t="str">
        <f>IF(OR(E20 = 0, E20 = 2, E20 = 4), "", "연 지급횟수")</f>
        <v/>
      </c>
      <c r="J20" s="128"/>
      <c r="K20" s="129">
        <v>4</v>
      </c>
      <c r="L20" s="130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79"/>
      <c r="AE20" s="164" t="str">
        <f>IF($AF$7&gt;=2,"Reference Rate Type", "")</f>
        <v/>
      </c>
      <c r="AF20" s="165"/>
      <c r="AG20" s="145">
        <v>0</v>
      </c>
      <c r="AH20" s="145"/>
      <c r="AI20" s="166" t="str">
        <f>IF(OR(AG20 = 0, AG20 = 2, AG20 = 4), "", "Zero/Swap 레퍼런스금리정보")</f>
        <v/>
      </c>
      <c r="AJ20" s="166"/>
      <c r="AK20" s="166" t="str">
        <f>IF(OR(AG20 = 0, AG20 = 2, AG20 = 4), "", "연 지급횟수")</f>
        <v/>
      </c>
      <c r="AL20" s="167"/>
      <c r="AM20" s="129">
        <v>4</v>
      </c>
      <c r="AN20" s="130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36"/>
      <c r="C21" s="133" t="str">
        <f>IF($D$7&gt;=2,"DayCount", "")</f>
        <v/>
      </c>
      <c r="D21" s="133"/>
      <c r="E21" s="146">
        <v>0</v>
      </c>
      <c r="F21" s="146"/>
      <c r="G21" s="127"/>
      <c r="H21" s="127"/>
      <c r="I21" s="127" t="str">
        <f>IF(OR(E20 = 0, E20 = 2, E20 = 4,E23=1), "", "만기")</f>
        <v/>
      </c>
      <c r="J21" s="128"/>
      <c r="K21" s="131">
        <v>1</v>
      </c>
      <c r="L21" s="132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79"/>
      <c r="AE21" s="164" t="str">
        <f>IF($AF$7&gt;=2,"DayCount", "")</f>
        <v/>
      </c>
      <c r="AF21" s="164"/>
      <c r="AG21" s="146">
        <v>0</v>
      </c>
      <c r="AH21" s="146"/>
      <c r="AI21" s="166"/>
      <c r="AJ21" s="166"/>
      <c r="AK21" s="127" t="str">
        <f>IF(OR(AG20 = 0, AG20 = 2, AG20 = 4,AG23=1), "", "만기")</f>
        <v/>
      </c>
      <c r="AL21" s="128"/>
      <c r="AM21" s="131">
        <v>5</v>
      </c>
      <c r="AN21" s="132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36"/>
      <c r="C22" s="133" t="str">
        <f>IF($D$7&gt;=2,"금리결정조건Multiple", "")</f>
        <v/>
      </c>
      <c r="D22" s="134"/>
      <c r="E22" s="123">
        <v>1</v>
      </c>
      <c r="F22" s="123"/>
      <c r="G22" s="148" t="str">
        <f>IF(OR(E20 = 0, E20 = 2, E20 = 4), "", "ex) Zero Rate 5년 -&gt; 연 지급횟수= 0, 만기= 5 // CD91일 -&gt; 연 지급횟수= 4, 만기= 0.25")</f>
        <v/>
      </c>
      <c r="H22" s="148"/>
      <c r="I22" s="148"/>
      <c r="J22" s="148"/>
      <c r="K22" s="148"/>
      <c r="L22" s="149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79"/>
      <c r="AE22" s="164" t="str">
        <f>IF($AF$7&gt;=2,"금리결정조건Multiple", "")</f>
        <v/>
      </c>
      <c r="AF22" s="165"/>
      <c r="AG22" s="123">
        <v>1</v>
      </c>
      <c r="AH22" s="123"/>
      <c r="AI22" s="148" t="str">
        <f>IF(OR(AG20 = 0, AG20 = 2, AG20 = 4), "", "ex) Zero Rate 5년 -&gt; 연 지급횟수= 0, 만기= 5 // CD91일 -&gt; 연 지급횟수= 4, 만기= 0.25")</f>
        <v/>
      </c>
      <c r="AJ22" s="148"/>
      <c r="AK22" s="148"/>
      <c r="AL22" s="148"/>
      <c r="AM22" s="148"/>
      <c r="AN22" s="149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36"/>
      <c r="C23" s="168" t="str">
        <f>IF($D$7&gt;=2,"Power Spread Flag", "")</f>
        <v/>
      </c>
      <c r="D23" s="168"/>
      <c r="E23" s="146">
        <v>0</v>
      </c>
      <c r="F23" s="146"/>
      <c r="G23" s="124" t="str">
        <f>IF(E23&gt;0,"PowerSpreadFlag 1일때 입력","입력필요X")</f>
        <v>입력필요X</v>
      </c>
      <c r="H23" s="124"/>
      <c r="I23" s="124" t="str">
        <f>IF(E23&gt;0,"만기1","")</f>
        <v/>
      </c>
      <c r="J23" s="124"/>
      <c r="K23" s="125">
        <v>10</v>
      </c>
      <c r="L23" s="126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79"/>
      <c r="AE23" s="162" t="str">
        <f>IF($AF$7&gt;=2,"Power Spread Flag", "")</f>
        <v/>
      </c>
      <c r="AF23" s="162"/>
      <c r="AG23" s="146">
        <v>0</v>
      </c>
      <c r="AH23" s="146"/>
      <c r="AI23" s="163" t="str">
        <f>IF(AG23&gt;0,"PowerSpreadFlag 1일때 입력","입력필요X")</f>
        <v>입력필요X</v>
      </c>
      <c r="AJ23" s="163"/>
      <c r="AK23" s="163" t="str">
        <f>IF(AG23&gt;0,"만기1","")</f>
        <v/>
      </c>
      <c r="AL23" s="163"/>
      <c r="AM23" s="125">
        <v>10</v>
      </c>
      <c r="AN23" s="126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36" t="str">
        <f>IF($D$7&gt;1, "사용", "커브개수"&amp;"="&amp;$D$7&amp;"이므로 사용안함")</f>
        <v>커브개수=1이므로 사용안함</v>
      </c>
      <c r="C24" s="168" t="str">
        <f>IF($D$7&gt;=2,"기초금리 Range상한", "")</f>
        <v/>
      </c>
      <c r="D24" s="168"/>
      <c r="E24" s="171">
        <v>10</v>
      </c>
      <c r="F24" s="171"/>
      <c r="G24" s="124"/>
      <c r="H24" s="124"/>
      <c r="I24" s="124" t="str">
        <f>IF(E23&gt;0,"만기2","")</f>
        <v/>
      </c>
      <c r="J24" s="124"/>
      <c r="K24" s="125">
        <v>5</v>
      </c>
      <c r="L24" s="126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79" t="str">
        <f>IF($AF$7&gt;1, "사용", "커브개수"&amp;"="&amp;$AF$7&amp;"이므로 사용안함")</f>
        <v>커브개수=1이므로 사용안함</v>
      </c>
      <c r="AE24" s="162" t="str">
        <f>IF($AF$7&gt;=2,"기초금리 Range상한", "")</f>
        <v/>
      </c>
      <c r="AF24" s="162"/>
      <c r="AG24" s="171">
        <v>0.5</v>
      </c>
      <c r="AH24" s="171"/>
      <c r="AI24" s="163"/>
      <c r="AJ24" s="163"/>
      <c r="AK24" s="163" t="str">
        <f>IF(AG23&gt;0,"만기2","")</f>
        <v/>
      </c>
      <c r="AL24" s="163"/>
      <c r="AM24" s="125">
        <v>5</v>
      </c>
      <c r="AN24" s="126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36"/>
      <c r="C25" s="168" t="str">
        <f>IF($D$7&gt;=2,"기초금리 Range하한", "")</f>
        <v/>
      </c>
      <c r="D25" s="133"/>
      <c r="E25" s="170">
        <v>-1</v>
      </c>
      <c r="F25" s="170"/>
      <c r="G25" s="172"/>
      <c r="H25" s="172"/>
      <c r="I25" s="142" t="str">
        <f>IF(E23&gt;0,"Spread1","")</f>
        <v/>
      </c>
      <c r="J25" s="142"/>
      <c r="K25" s="143" t="str">
        <f>IF(E23&gt;0, I23&amp;"-"&amp;I24, "")</f>
        <v/>
      </c>
      <c r="L25" s="144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79"/>
      <c r="AE25" s="162" t="str">
        <f>IF($AF$7&gt;=2,"기초금리 Range하한", "")</f>
        <v/>
      </c>
      <c r="AF25" s="164"/>
      <c r="AG25" s="170">
        <v>-0.1</v>
      </c>
      <c r="AH25" s="170"/>
      <c r="AI25" s="183"/>
      <c r="AJ25" s="183"/>
      <c r="AK25" s="180" t="str">
        <f>IF(AG23&gt;0,"Spread1","")</f>
        <v/>
      </c>
      <c r="AL25" s="180"/>
      <c r="AM25" s="181" t="str">
        <f>IF(AG23&gt;0, AK23&amp;"-"&amp;AK24, "")</f>
        <v/>
      </c>
      <c r="AN25" s="182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69" t="str">
        <f>IF($D$7&gt;=2,"Payoff조건Multiple", "")</f>
        <v/>
      </c>
      <c r="D26" s="169"/>
      <c r="E26" s="185">
        <v>0</v>
      </c>
      <c r="F26" s="185"/>
      <c r="G26" s="188" t="str">
        <f>IF(E23&gt;0,"예시) 10년-5년 스왑: 연 지급횟수=4, 만기1=10, 만기2=5","")</f>
        <v/>
      </c>
      <c r="H26" s="188"/>
      <c r="I26" s="188"/>
      <c r="J26" s="188"/>
      <c r="K26" s="188"/>
      <c r="L26" s="189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14" t="str">
        <f>IF($AF$7&gt;=2,"Payoff조건Multiple", "")</f>
        <v/>
      </c>
      <c r="AF26" s="114"/>
      <c r="AG26" s="185">
        <v>0</v>
      </c>
      <c r="AH26" s="185"/>
      <c r="AI26" s="188" t="str">
        <f>IF(AG23&gt;0,"예시) 10년-5년 스왑: 연 지급횟수=4, 만기1=10, 만기2=5","")</f>
        <v/>
      </c>
      <c r="AJ26" s="188"/>
      <c r="AK26" s="188"/>
      <c r="AL26" s="188"/>
      <c r="AM26" s="188"/>
      <c r="AN26" s="189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35" t="str">
        <f>IF($D$7&gt;=3,"기초금리3", "")</f>
        <v/>
      </c>
      <c r="C28" s="152" t="str">
        <f>IF($D$7&gt;=3,"커브번호", "")</f>
        <v/>
      </c>
      <c r="D28" s="152"/>
      <c r="E28" s="153">
        <v>3</v>
      </c>
      <c r="F28" s="153"/>
      <c r="G28" s="79"/>
      <c r="H28" s="44"/>
      <c r="I28" s="156" t="str">
        <f>IF(OR(E29 = 0, E29 = 2, E29 = 4), "RefType = "&amp;E29&amp;" 이므로 Ref Swap 금리정보 사용안함", "사용")</f>
        <v>RefType = 0 이므로 Ref Swap 금리정보 사용안함</v>
      </c>
      <c r="J28" s="156"/>
      <c r="K28" s="156"/>
      <c r="L28" s="184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07" t="str">
        <f>IF($AF$7&gt;=3,"기초금리3", "")</f>
        <v/>
      </c>
      <c r="AE28" s="113" t="str">
        <f>IF($AF$7&gt;=3,"커브번호", "")</f>
        <v/>
      </c>
      <c r="AF28" s="113"/>
      <c r="AG28" s="153">
        <v>3</v>
      </c>
      <c r="AH28" s="153"/>
      <c r="AI28" s="79"/>
      <c r="AJ28" s="44"/>
      <c r="AK28" s="177" t="str">
        <f>IF(OR(AG29 = 0, AG29 = 2, AG29 = 4), "RefType = "&amp;AG29&amp;" 이므로 Ref Swap 금리정보 사용안함", "사용")</f>
        <v>RefType = 0 이므로 Ref Swap 금리정보 사용안함</v>
      </c>
      <c r="AL28" s="177"/>
      <c r="AM28" s="177"/>
      <c r="AN28" s="178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36"/>
      <c r="C29" s="133" t="str">
        <f>IF($D$7&gt;=3,"Reference Rate Type", "")</f>
        <v/>
      </c>
      <c r="D29" s="134"/>
      <c r="E29" s="145">
        <v>0</v>
      </c>
      <c r="F29" s="145"/>
      <c r="G29" s="127" t="str">
        <f>IF(OR(E29 = 0, E29 = 2, E29 = 4), "", "Zero/Swap 레퍼런스금리정보")</f>
        <v/>
      </c>
      <c r="H29" s="127"/>
      <c r="I29" s="127" t="str">
        <f>IF(OR(E29 = 0, E29 = 2, E29 = 4), "", "연 지급횟수")</f>
        <v/>
      </c>
      <c r="J29" s="128"/>
      <c r="K29" s="129">
        <v>4</v>
      </c>
      <c r="L29" s="130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79"/>
      <c r="AE29" s="164" t="str">
        <f>IF($AF$7&gt;=3,"Reference Rate Type", "")</f>
        <v/>
      </c>
      <c r="AF29" s="165"/>
      <c r="AG29" s="145">
        <v>0</v>
      </c>
      <c r="AH29" s="145"/>
      <c r="AI29" s="166" t="str">
        <f>IF(OR(AG29 = 0, AG29 = 2, AG29 = 4), "", "Zero/Swap 레퍼런스금리정보")</f>
        <v/>
      </c>
      <c r="AJ29" s="166"/>
      <c r="AK29" s="166" t="str">
        <f>IF(OR(AG29 = 0, AG29 = 2, AG29 = 4), "", "연 지급횟수")</f>
        <v/>
      </c>
      <c r="AL29" s="167"/>
      <c r="AM29" s="129">
        <v>4</v>
      </c>
      <c r="AN29" s="130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36"/>
      <c r="C30" s="133" t="str">
        <f>IF($D$7&gt;=3,"DayCount", "")</f>
        <v/>
      </c>
      <c r="D30" s="133"/>
      <c r="E30" s="146">
        <v>0</v>
      </c>
      <c r="F30" s="146"/>
      <c r="G30" s="127"/>
      <c r="H30" s="127"/>
      <c r="I30" s="127" t="str">
        <f>IF(OR(E29 = 0, E29 = 2, E29 = 4,E32=1), "", "만기")</f>
        <v/>
      </c>
      <c r="J30" s="128"/>
      <c r="K30" s="131">
        <v>5</v>
      </c>
      <c r="L30" s="132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79"/>
      <c r="AE30" s="164" t="str">
        <f>IF($AF$7&gt;=3,"DayCount", "")</f>
        <v/>
      </c>
      <c r="AF30" s="164"/>
      <c r="AG30" s="146">
        <v>0</v>
      </c>
      <c r="AH30" s="146"/>
      <c r="AI30" s="166"/>
      <c r="AJ30" s="166"/>
      <c r="AK30" s="127" t="str">
        <f>IF(OR(AG29 = 0, AG29 = 2, AG29 = 4,AG32=1), "", "만기")</f>
        <v/>
      </c>
      <c r="AL30" s="128"/>
      <c r="AM30" s="131">
        <v>5</v>
      </c>
      <c r="AN30" s="132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36"/>
      <c r="C31" s="133" t="str">
        <f>IF($D$7&gt;=3,"금리결정조건Multiple", "")</f>
        <v/>
      </c>
      <c r="D31" s="134"/>
      <c r="E31" s="123">
        <v>1</v>
      </c>
      <c r="F31" s="123"/>
      <c r="G31" s="148" t="str">
        <f>IF(OR(E29 = 0, E29 = 2, E29 = 4), "", "ex) Zero Rate 5년 -&gt; 연 지급횟수= 0, 만기= 5 // CD91일 -&gt; 연 지급횟수= 4, 만기= 0.25")</f>
        <v/>
      </c>
      <c r="H31" s="148"/>
      <c r="I31" s="148"/>
      <c r="J31" s="148"/>
      <c r="K31" s="148"/>
      <c r="L31" s="149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79"/>
      <c r="AE31" s="164" t="str">
        <f>IF($AF$7&gt;=3,"금리결정조건Multiple", "")</f>
        <v/>
      </c>
      <c r="AF31" s="165"/>
      <c r="AG31" s="123">
        <v>1</v>
      </c>
      <c r="AH31" s="123"/>
      <c r="AI31" s="148" t="str">
        <f>IF(OR(AG29 = 0, AG29 = 2, AG29 = 4), "", "ex) Zero Rate 5년 -&gt; 연 지급횟수= 0, 만기= 5 // CD91일 -&gt; 연 지급횟수= 4, 만기= 0.25")</f>
        <v/>
      </c>
      <c r="AJ31" s="148"/>
      <c r="AK31" s="148"/>
      <c r="AL31" s="148"/>
      <c r="AM31" s="148"/>
      <c r="AN31" s="149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36"/>
      <c r="C32" s="168" t="str">
        <f>IF($D$7&gt;=3,"Power Spread Flag", "")</f>
        <v/>
      </c>
      <c r="D32" s="168"/>
      <c r="E32" s="146">
        <v>0</v>
      </c>
      <c r="F32" s="146"/>
      <c r="G32" s="124" t="str">
        <f>IF(E32&gt;0,"PowerSpreadFlag 1일때 입력","입력필요X")</f>
        <v>입력필요X</v>
      </c>
      <c r="H32" s="124"/>
      <c r="I32" s="124" t="str">
        <f>IF(E32&gt;0,"만기1","")</f>
        <v/>
      </c>
      <c r="J32" s="124"/>
      <c r="K32" s="125">
        <v>10</v>
      </c>
      <c r="L32" s="126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79"/>
      <c r="AE32" s="162" t="str">
        <f>IF($AF$7&gt;=3,"Power Spread Flag", "")</f>
        <v/>
      </c>
      <c r="AF32" s="162"/>
      <c r="AG32" s="146">
        <v>0</v>
      </c>
      <c r="AH32" s="146"/>
      <c r="AI32" s="163" t="str">
        <f>IF(AG32&gt;0,"PowerSpreadFlag 1일때 입력","입력필요X")</f>
        <v>입력필요X</v>
      </c>
      <c r="AJ32" s="163"/>
      <c r="AK32" s="163" t="str">
        <f>IF(AG32&gt;0,"만기1","")</f>
        <v/>
      </c>
      <c r="AL32" s="163"/>
      <c r="AM32" s="125">
        <v>10</v>
      </c>
      <c r="AN32" s="126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36" t="str">
        <f>IF($D$7&gt;2, "사용", "커브개수"&amp;"="&amp;$D$7&amp;"이므로 사용안함")</f>
        <v>커브개수=1이므로 사용안함</v>
      </c>
      <c r="C33" s="168" t="str">
        <f>IF($D$7&gt;=3,"기초금리 Range상한", "")</f>
        <v/>
      </c>
      <c r="D33" s="168"/>
      <c r="E33" s="171">
        <v>0.5</v>
      </c>
      <c r="F33" s="171"/>
      <c r="G33" s="124"/>
      <c r="H33" s="124"/>
      <c r="I33" s="124" t="str">
        <f>IF(E32&gt;0,"만기2","")</f>
        <v/>
      </c>
      <c r="J33" s="124"/>
      <c r="K33" s="125">
        <v>5</v>
      </c>
      <c r="L33" s="126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79" t="str">
        <f>IF($AF$7&gt;2, "사용", "커브개수"&amp;"="&amp;$AF$7&amp;"이므로 사용안함")</f>
        <v>커브개수=1이므로 사용안함</v>
      </c>
      <c r="AE33" s="162" t="str">
        <f>IF($AF$7&gt;=3,"기초금리 Range상한", "")</f>
        <v/>
      </c>
      <c r="AF33" s="162"/>
      <c r="AG33" s="171">
        <v>0.5</v>
      </c>
      <c r="AH33" s="171"/>
      <c r="AI33" s="163"/>
      <c r="AJ33" s="163"/>
      <c r="AK33" s="163" t="str">
        <f>IF(AG32&gt;0,"만기2","")</f>
        <v/>
      </c>
      <c r="AL33" s="163"/>
      <c r="AM33" s="125">
        <v>5</v>
      </c>
      <c r="AN33" s="126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36"/>
      <c r="C34" s="168" t="str">
        <f>IF($D$7&gt;=3,"기초금리 Range하한", "")</f>
        <v/>
      </c>
      <c r="D34" s="133"/>
      <c r="E34" s="170">
        <v>-0.1</v>
      </c>
      <c r="F34" s="170"/>
      <c r="G34" s="172"/>
      <c r="H34" s="172"/>
      <c r="I34" s="142" t="str">
        <f>IF(E32&gt;0,"Spread1","")</f>
        <v/>
      </c>
      <c r="J34" s="142"/>
      <c r="K34" s="143" t="str">
        <f>IF(E32&gt;0, I32&amp;"-"&amp;I33, "")</f>
        <v/>
      </c>
      <c r="L34" s="144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79"/>
      <c r="AE34" s="162" t="str">
        <f>IF($AF$7&gt;=3,"기초금리 Range하한", "")</f>
        <v/>
      </c>
      <c r="AF34" s="164"/>
      <c r="AG34" s="170">
        <v>-0.1</v>
      </c>
      <c r="AH34" s="170"/>
      <c r="AI34" s="183"/>
      <c r="AJ34" s="183"/>
      <c r="AK34" s="180" t="str">
        <f>IF(AG32&gt;0,"Spread1","")</f>
        <v/>
      </c>
      <c r="AL34" s="180"/>
      <c r="AM34" s="181" t="str">
        <f>IF(AG32&gt;0, AK32&amp;"-"&amp;AK33, "")</f>
        <v/>
      </c>
      <c r="AN34" s="182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69" t="str">
        <f>IF($D$7&gt;=3,"Payoff조건Multiple", "")</f>
        <v/>
      </c>
      <c r="D35" s="169"/>
      <c r="E35" s="185">
        <v>0</v>
      </c>
      <c r="F35" s="185"/>
      <c r="G35" s="188" t="str">
        <f>IF(E32&gt;0,"예시) 10년-5년 스왑: 연 지급횟수=4, 만기1=10, 만기2=5","")</f>
        <v/>
      </c>
      <c r="H35" s="188"/>
      <c r="I35" s="188"/>
      <c r="J35" s="188"/>
      <c r="K35" s="188"/>
      <c r="L35" s="189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14" t="str">
        <f>IF($AF$7&gt;=3,"Payoff조건Multiple", "")</f>
        <v/>
      </c>
      <c r="AF35" s="114"/>
      <c r="AG35" s="185">
        <v>0</v>
      </c>
      <c r="AH35" s="185"/>
      <c r="AI35" s="188" t="str">
        <f>IF(AG32&gt;0,"예시) 10년-5년 스왑: 연 지급횟수=4, 만기1=10, 만기2=5","")</f>
        <v/>
      </c>
      <c r="AJ35" s="188"/>
      <c r="AK35" s="188"/>
      <c r="AL35" s="188"/>
      <c r="AM35" s="188"/>
      <c r="AN35" s="189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08" t="s">
        <v>94</v>
      </c>
      <c r="C37" s="113" t="s">
        <v>33</v>
      </c>
      <c r="D37" s="113"/>
      <c r="E37" s="115">
        <v>1</v>
      </c>
      <c r="F37" s="116"/>
      <c r="G37" s="43"/>
      <c r="H37" s="107" t="s">
        <v>48</v>
      </c>
      <c r="I37" s="108"/>
      <c r="J37" s="109">
        <v>0</v>
      </c>
      <c r="K37" s="109"/>
      <c r="L37" s="110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08" t="s">
        <v>94</v>
      </c>
      <c r="AE37" s="113" t="s">
        <v>33</v>
      </c>
      <c r="AF37" s="113"/>
      <c r="AG37" s="115">
        <v>1</v>
      </c>
      <c r="AH37" s="116"/>
      <c r="AJ37" s="107" t="s">
        <v>48</v>
      </c>
      <c r="AK37" s="108"/>
      <c r="AL37" s="109">
        <v>0</v>
      </c>
      <c r="AM37" s="109"/>
      <c r="AN37" s="110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11"/>
      <c r="C38" s="114"/>
      <c r="D38" s="114"/>
      <c r="E38" s="117"/>
      <c r="F38" s="118"/>
      <c r="G38" s="43"/>
      <c r="H38" s="98" t="s">
        <v>49</v>
      </c>
      <c r="I38" s="99"/>
      <c r="J38" s="99"/>
      <c r="K38" s="99"/>
      <c r="L38" s="100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11"/>
      <c r="AE38" s="114"/>
      <c r="AF38" s="114"/>
      <c r="AG38" s="117"/>
      <c r="AH38" s="118"/>
      <c r="AJ38" s="98" t="s">
        <v>49</v>
      </c>
      <c r="AK38" s="99"/>
      <c r="AL38" s="99"/>
      <c r="AM38" s="99"/>
      <c r="AN38" s="100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11"/>
      <c r="C39" s="112"/>
      <c r="D39" s="112"/>
      <c r="E39" s="112"/>
      <c r="F39" s="112"/>
      <c r="G39" s="43"/>
      <c r="H39" s="10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05"/>
      <c r="J39" s="105"/>
      <c r="K39" s="105"/>
      <c r="L39" s="106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11"/>
      <c r="AE39" s="112"/>
      <c r="AF39" s="112"/>
      <c r="AG39" s="112"/>
      <c r="AH39" s="112"/>
      <c r="AJ39" s="10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02"/>
      <c r="AL39" s="102"/>
      <c r="AM39" s="102"/>
      <c r="AN39" s="103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187" t="s">
        <v>89</v>
      </c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78</v>
      </c>
      <c r="C43" s="66" t="s">
        <v>90</v>
      </c>
      <c r="D43" s="66" t="s">
        <v>79</v>
      </c>
      <c r="E43" s="66" t="s">
        <v>80</v>
      </c>
      <c r="F43" s="66" t="s">
        <v>81</v>
      </c>
      <c r="G43" s="66" t="s">
        <v>82</v>
      </c>
      <c r="H43" s="66" t="s">
        <v>83</v>
      </c>
      <c r="I43" s="66" t="s">
        <v>87</v>
      </c>
      <c r="J43" s="66" t="s">
        <v>84</v>
      </c>
      <c r="K43" s="66" t="s">
        <v>85</v>
      </c>
      <c r="L43" s="66" t="s">
        <v>86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90" t="s">
        <v>56</v>
      </c>
      <c r="B3" s="190"/>
      <c r="C3" s="190"/>
      <c r="D3" s="190"/>
      <c r="E3" s="190"/>
      <c r="G3" s="190" t="s">
        <v>76</v>
      </c>
      <c r="H3" s="190"/>
      <c r="I3" s="190"/>
      <c r="J3" s="190"/>
      <c r="K3" s="190"/>
      <c r="L3" s="21"/>
      <c r="M3" s="21"/>
      <c r="N3" s="21"/>
      <c r="P3" s="190" t="s">
        <v>77</v>
      </c>
      <c r="Q3" s="190"/>
      <c r="R3" s="190"/>
      <c r="S3" s="190"/>
      <c r="T3" s="190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68</v>
      </c>
      <c r="H4" s="29" t="s">
        <v>57</v>
      </c>
      <c r="I4" s="28" t="s">
        <v>69</v>
      </c>
      <c r="J4" s="29" t="s">
        <v>58</v>
      </c>
      <c r="K4" s="28" t="s">
        <v>70</v>
      </c>
      <c r="L4" s="29" t="s">
        <v>59</v>
      </c>
      <c r="M4" s="28"/>
      <c r="N4" s="29"/>
      <c r="P4" s="28" t="s">
        <v>68</v>
      </c>
      <c r="Q4" s="29" t="s">
        <v>57</v>
      </c>
      <c r="R4" s="28" t="s">
        <v>69</v>
      </c>
      <c r="S4" s="29" t="s">
        <v>58</v>
      </c>
      <c r="T4" s="28" t="s">
        <v>70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F16" sqref="F16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6" width="13.8984375" style="76"/>
    <col min="17" max="17" width="13.8984375" style="82"/>
    <col min="18" max="18" width="13.8984375" style="74"/>
    <col min="19" max="19" width="0" style="74" hidden="1" customWidth="1"/>
    <col min="20" max="20" width="13.8984375" style="76"/>
    <col min="21" max="21" width="13.8984375" style="82"/>
    <col min="22" max="22" width="13.8984375" style="74"/>
    <col min="23" max="23" width="0" style="74" hidden="1" customWidth="1"/>
    <col min="24" max="24" width="13.8984375" style="21"/>
    <col min="25" max="25" width="13.8984375" style="82"/>
    <col min="26" max="26" width="13.8984375" style="74"/>
    <col min="27" max="27" width="0" style="74" hidden="1" customWidth="1"/>
    <col min="28" max="28" width="13.8984375" style="76"/>
    <col min="29" max="29" width="13.8984375" style="82"/>
    <col min="30" max="30" width="13.8984375" style="74"/>
    <col min="31" max="31" width="0" style="74" hidden="1" customWidth="1"/>
    <col min="32" max="32" width="13.8984375" style="76"/>
    <col min="33" max="33" width="13.8984375" style="82"/>
    <col min="34" max="34" width="13.8984375" style="74"/>
    <col min="35" max="35" width="0" style="74" hidden="1" customWidth="1"/>
    <col min="36" max="36" width="13.8984375" style="76"/>
    <col min="37" max="37" width="13.8984375" style="82"/>
    <col min="38" max="38" width="13.8984375" style="74"/>
    <col min="39" max="39" width="0" style="74" hidden="1" customWidth="1"/>
    <col min="40" max="40" width="13.8984375" style="76"/>
    <col min="41" max="41" width="13.8984375" style="82"/>
    <col min="42" max="42" width="13.8984375" style="74"/>
    <col min="43" max="43" width="0" style="74" hidden="1" customWidth="1"/>
    <col min="44" max="44" width="13.8984375" style="76"/>
    <col min="45" max="45" width="13.8984375" style="82"/>
    <col min="46" max="46" width="13.8984375" style="74"/>
    <col min="47" max="47" width="0" style="74" hidden="1" customWidth="1"/>
    <col min="48" max="16384" width="13.8984375" style="21"/>
  </cols>
  <sheetData>
    <row r="1" spans="1:47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</row>
    <row r="2" spans="1:47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93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x14ac:dyDescent="0.4">
      <c r="B4" s="192" t="s">
        <v>55</v>
      </c>
      <c r="C4" s="192"/>
      <c r="D4" s="193">
        <v>10000</v>
      </c>
      <c r="E4" s="193"/>
      <c r="F4" s="21"/>
      <c r="G4" s="194" t="s">
        <v>73</v>
      </c>
      <c r="H4" s="195"/>
      <c r="I4" s="196">
        <v>2023420209.4628918</v>
      </c>
      <c r="J4" s="197"/>
      <c r="K4" s="21"/>
      <c r="L4" s="77">
        <v>44867.975173611114</v>
      </c>
      <c r="M4" s="1" t="s">
        <v>5</v>
      </c>
      <c r="N4" s="84" t="s">
        <v>6</v>
      </c>
      <c r="O4" s="84"/>
      <c r="P4" s="21"/>
      <c r="Q4" s="21"/>
      <c r="R4" s="21"/>
      <c r="S4" s="21"/>
      <c r="T4" s="21"/>
      <c r="U4" s="21"/>
      <c r="V4" s="21"/>
      <c r="W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x14ac:dyDescent="0.4">
      <c r="B5" s="192" t="s">
        <v>30</v>
      </c>
      <c r="C5" s="192"/>
      <c r="D5" s="193">
        <v>0</v>
      </c>
      <c r="E5" s="193"/>
      <c r="F5" s="21"/>
      <c r="G5" s="194" t="s">
        <v>74</v>
      </c>
      <c r="H5" s="195"/>
      <c r="I5" s="196">
        <v>2392757580.4569106</v>
      </c>
      <c r="J5" s="197"/>
      <c r="K5" s="21"/>
      <c r="L5" s="77">
        <v>44867.975173611114</v>
      </c>
      <c r="M5" s="21"/>
      <c r="N5" s="84"/>
      <c r="O5" s="84"/>
      <c r="P5" s="21"/>
      <c r="Q5" s="21"/>
      <c r="R5" s="21"/>
      <c r="S5" s="21"/>
      <c r="T5" s="21"/>
      <c r="U5" s="21"/>
      <c r="V5" s="21"/>
      <c r="W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x14ac:dyDescent="0.4">
      <c r="B6" s="21"/>
      <c r="C6" s="21"/>
      <c r="D6" s="21"/>
      <c r="E6" s="21"/>
      <c r="F6" s="21"/>
      <c r="G6" s="194">
        <v>0</v>
      </c>
      <c r="H6" s="195"/>
      <c r="I6" s="196">
        <v>186786801.22024167</v>
      </c>
      <c r="J6" s="197"/>
      <c r="K6" s="72"/>
      <c r="L6" s="31"/>
      <c r="M6" s="21"/>
      <c r="N6" s="84"/>
      <c r="O6" s="84"/>
      <c r="P6" s="21"/>
      <c r="Q6" s="21"/>
      <c r="R6" s="21"/>
      <c r="S6" s="21"/>
      <c r="T6" s="21"/>
      <c r="U6" s="21"/>
      <c r="V6" s="21"/>
      <c r="W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x14ac:dyDescent="0.4">
      <c r="B7" s="21"/>
      <c r="C7" s="21"/>
      <c r="D7" s="21">
        <v>1</v>
      </c>
      <c r="E7" s="21"/>
      <c r="F7" s="21"/>
      <c r="G7" s="194" t="s">
        <v>88</v>
      </c>
      <c r="H7" s="195"/>
      <c r="I7" s="196">
        <v>556124172.21426046</v>
      </c>
      <c r="J7" s="197"/>
      <c r="K7" s="72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x14ac:dyDescent="0.4">
      <c r="A10" s="65"/>
      <c r="B10" s="191" t="s">
        <v>61</v>
      </c>
      <c r="C10" s="191"/>
      <c r="D10" s="191"/>
      <c r="E10" s="191"/>
      <c r="F10" s="191"/>
      <c r="G10" s="191"/>
      <c r="H10" s="191"/>
      <c r="I10" s="191" t="s">
        <v>64</v>
      </c>
      <c r="J10" s="191"/>
      <c r="K10" s="191"/>
      <c r="L10" s="191"/>
      <c r="M10" s="191"/>
      <c r="N10" s="191"/>
      <c r="O10" s="191"/>
      <c r="P10" s="21"/>
      <c r="Q10" s="191" t="s">
        <v>98</v>
      </c>
      <c r="R10" s="191"/>
      <c r="S10" s="21"/>
      <c r="T10" s="21"/>
      <c r="U10" s="191" t="s">
        <v>99</v>
      </c>
      <c r="V10" s="191"/>
      <c r="W10" s="21"/>
      <c r="Y10" s="191" t="s">
        <v>100</v>
      </c>
      <c r="Z10" s="191"/>
      <c r="AA10" s="21"/>
      <c r="AB10" s="21"/>
      <c r="AC10" s="191" t="s">
        <v>101</v>
      </c>
      <c r="AD10" s="191"/>
      <c r="AE10" s="21"/>
      <c r="AF10" s="21"/>
      <c r="AG10" s="191" t="s">
        <v>102</v>
      </c>
      <c r="AH10" s="191"/>
      <c r="AI10" s="21"/>
      <c r="AJ10" s="21"/>
      <c r="AK10" s="191" t="s">
        <v>103</v>
      </c>
      <c r="AL10" s="191"/>
      <c r="AM10" s="21"/>
      <c r="AN10" s="21"/>
      <c r="AO10" s="191" t="s">
        <v>104</v>
      </c>
      <c r="AP10" s="191"/>
      <c r="AQ10" s="21"/>
      <c r="AR10" s="21"/>
      <c r="AS10" s="191" t="s">
        <v>105</v>
      </c>
      <c r="AT10" s="191"/>
      <c r="AU10" s="21"/>
    </row>
    <row r="11" spans="1:47" x14ac:dyDescent="0.4">
      <c r="B11" s="56" t="s">
        <v>62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75</v>
      </c>
      <c r="G11" s="58" t="s">
        <v>66</v>
      </c>
      <c r="H11" s="59" t="s">
        <v>65</v>
      </c>
      <c r="I11" s="56" t="s">
        <v>62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63</v>
      </c>
      <c r="N11" s="58" t="s">
        <v>66</v>
      </c>
      <c r="O11" s="59" t="s">
        <v>65</v>
      </c>
      <c r="P11" s="21"/>
      <c r="Q11" s="57" t="s">
        <v>96</v>
      </c>
      <c r="R11" s="74">
        <v>0</v>
      </c>
      <c r="S11" s="21"/>
      <c r="T11" s="21"/>
      <c r="U11" s="57" t="s">
        <v>96</v>
      </c>
      <c r="V11" s="74">
        <v>0</v>
      </c>
      <c r="W11" s="21"/>
      <c r="Y11" s="57" t="s">
        <v>96</v>
      </c>
      <c r="Z11" s="74">
        <v>0</v>
      </c>
      <c r="AA11" s="21"/>
      <c r="AB11" s="21"/>
      <c r="AC11" s="57" t="s">
        <v>96</v>
      </c>
      <c r="AD11" s="74">
        <v>0</v>
      </c>
      <c r="AE11" s="21"/>
      <c r="AF11" s="21"/>
      <c r="AG11" s="57" t="s">
        <v>96</v>
      </c>
      <c r="AH11" s="74">
        <v>0</v>
      </c>
      <c r="AI11" s="21"/>
      <c r="AJ11" s="21"/>
      <c r="AK11" s="57" t="s">
        <v>96</v>
      </c>
      <c r="AL11" s="74">
        <v>0</v>
      </c>
      <c r="AM11" s="21"/>
      <c r="AN11" s="21"/>
      <c r="AO11" s="57" t="s">
        <v>96</v>
      </c>
      <c r="AP11" s="74">
        <v>0</v>
      </c>
      <c r="AQ11" s="21"/>
      <c r="AR11" s="21"/>
      <c r="AS11" s="57" t="s">
        <v>96</v>
      </c>
      <c r="AT11" s="74">
        <v>0</v>
      </c>
      <c r="AU11" s="21"/>
    </row>
    <row r="12" spans="1:47" x14ac:dyDescent="0.4">
      <c r="B12" s="60">
        <v>44938</v>
      </c>
      <c r="C12" s="61">
        <v>3.0399999999995049E-2</v>
      </c>
      <c r="F12" s="62"/>
      <c r="G12" s="63">
        <v>76624657.534227997</v>
      </c>
      <c r="H12" s="62">
        <v>0.99169842772807693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0.99169842772807693</v>
      </c>
      <c r="P12" s="21"/>
      <c r="Q12" s="21"/>
      <c r="R12" s="21"/>
      <c r="S12" s="21"/>
      <c r="T12" s="21"/>
      <c r="U12" s="21"/>
      <c r="V12" s="21"/>
      <c r="W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x14ac:dyDescent="0.4">
      <c r="B13" s="60">
        <v>45028</v>
      </c>
      <c r="C13" s="61">
        <v>3.4459115298851636E-2</v>
      </c>
      <c r="F13" s="62"/>
      <c r="G13" s="63">
        <v>84967681.558812276</v>
      </c>
      <c r="H13" s="62">
        <v>0.98322155481975249</v>
      </c>
      <c r="I13" s="60">
        <v>45028</v>
      </c>
      <c r="J13" s="61">
        <v>4.9724505106634266E-2</v>
      </c>
      <c r="M13" s="62"/>
      <c r="N13" s="63">
        <v>142334396.15334448</v>
      </c>
      <c r="O13" s="62">
        <v>0.98322155481975249</v>
      </c>
      <c r="P13" s="21"/>
      <c r="Q13" s="191" t="s">
        <v>97</v>
      </c>
      <c r="R13" s="191"/>
      <c r="S13" s="80"/>
      <c r="T13" s="21"/>
      <c r="U13" s="191" t="s">
        <v>97</v>
      </c>
      <c r="V13" s="191"/>
      <c r="W13" s="80"/>
      <c r="Y13" s="191" t="s">
        <v>97</v>
      </c>
      <c r="Z13" s="191"/>
      <c r="AA13" s="80"/>
      <c r="AB13" s="21"/>
      <c r="AC13" s="191" t="s">
        <v>97</v>
      </c>
      <c r="AD13" s="191"/>
      <c r="AE13" s="80"/>
      <c r="AF13" s="21"/>
      <c r="AG13" s="191" t="s">
        <v>97</v>
      </c>
      <c r="AH13" s="191"/>
      <c r="AI13" s="80"/>
      <c r="AJ13" s="21"/>
      <c r="AK13" s="191" t="s">
        <v>97</v>
      </c>
      <c r="AL13" s="191"/>
      <c r="AM13" s="80"/>
      <c r="AN13" s="21"/>
      <c r="AO13" s="191" t="s">
        <v>97</v>
      </c>
      <c r="AP13" s="191"/>
      <c r="AQ13" s="80"/>
      <c r="AR13" s="21"/>
      <c r="AS13" s="191" t="s">
        <v>97</v>
      </c>
      <c r="AT13" s="191"/>
      <c r="AU13" s="80"/>
    </row>
    <row r="14" spans="1:47" x14ac:dyDescent="0.4">
      <c r="B14" s="60">
        <v>45119</v>
      </c>
      <c r="C14" s="61">
        <v>3.5134100934981656E-2</v>
      </c>
      <c r="F14" s="62"/>
      <c r="G14" s="63">
        <v>87594607.810502306</v>
      </c>
      <c r="H14" s="62">
        <v>0.97454545580912766</v>
      </c>
      <c r="I14" s="60">
        <v>45119</v>
      </c>
      <c r="J14" s="61">
        <v>4.618473978974659E-2</v>
      </c>
      <c r="M14" s="62"/>
      <c r="N14" s="63">
        <v>135090721.11964193</v>
      </c>
      <c r="O14" s="62">
        <v>0.97454545580912766</v>
      </c>
      <c r="P14" s="21"/>
      <c r="Q14" s="56" t="s">
        <v>95</v>
      </c>
      <c r="R14" s="57" t="s">
        <v>96</v>
      </c>
      <c r="S14" s="81"/>
      <c r="T14" s="21"/>
      <c r="U14" s="56" t="s">
        <v>95</v>
      </c>
      <c r="V14" s="57" t="s">
        <v>96</v>
      </c>
      <c r="W14" s="81"/>
      <c r="Y14" s="56" t="s">
        <v>95</v>
      </c>
      <c r="Z14" s="57" t="s">
        <v>96</v>
      </c>
      <c r="AA14" s="81"/>
      <c r="AB14" s="21"/>
      <c r="AC14" s="56" t="s">
        <v>95</v>
      </c>
      <c r="AD14" s="57" t="s">
        <v>96</v>
      </c>
      <c r="AE14" s="81"/>
      <c r="AF14" s="21"/>
      <c r="AG14" s="56" t="s">
        <v>95</v>
      </c>
      <c r="AH14" s="57" t="s">
        <v>96</v>
      </c>
      <c r="AI14" s="81"/>
      <c r="AJ14" s="21"/>
      <c r="AK14" s="56" t="s">
        <v>95</v>
      </c>
      <c r="AL14" s="57" t="s">
        <v>96</v>
      </c>
      <c r="AM14" s="81"/>
      <c r="AN14" s="21"/>
      <c r="AO14" s="56" t="s">
        <v>95</v>
      </c>
      <c r="AP14" s="57" t="s">
        <v>96</v>
      </c>
      <c r="AQ14" s="81"/>
      <c r="AR14" s="21"/>
      <c r="AS14" s="56" t="s">
        <v>95</v>
      </c>
      <c r="AT14" s="57" t="s">
        <v>96</v>
      </c>
      <c r="AU14" s="81"/>
    </row>
    <row r="15" spans="1:47" x14ac:dyDescent="0.4">
      <c r="B15" s="60">
        <v>45211</v>
      </c>
      <c r="C15" s="61">
        <v>3.6402162203987329E-2</v>
      </c>
      <c r="F15" s="62"/>
      <c r="G15" s="63">
        <v>91753395.14429675</v>
      </c>
      <c r="H15" s="62">
        <v>0.96547430818113811</v>
      </c>
      <c r="I15" s="60">
        <v>45211</v>
      </c>
      <c r="J15" s="61">
        <v>4.6996147304904194E-2</v>
      </c>
      <c r="M15" s="62"/>
      <c r="N15" s="63">
        <v>138620426.08359444</v>
      </c>
      <c r="O15" s="62">
        <v>0.96547430818113811</v>
      </c>
      <c r="P15" s="21"/>
      <c r="Q15" s="82">
        <v>2.7397260273972603E-3</v>
      </c>
      <c r="R15" s="74">
        <v>0</v>
      </c>
      <c r="U15" s="82">
        <v>0.25</v>
      </c>
      <c r="V15" s="74">
        <v>0</v>
      </c>
      <c r="Y15" s="82">
        <v>2.7397260273972603E-3</v>
      </c>
      <c r="Z15" s="74">
        <v>0</v>
      </c>
      <c r="AC15" s="82">
        <v>2.7397260273972603E-3</v>
      </c>
      <c r="AD15" s="74">
        <v>0</v>
      </c>
      <c r="AG15" s="82">
        <v>2.7397260273972603E-3</v>
      </c>
      <c r="AH15" s="74">
        <v>0</v>
      </c>
      <c r="AK15" s="82">
        <v>0.25</v>
      </c>
      <c r="AL15" s="74">
        <v>0</v>
      </c>
      <c r="AO15" s="82">
        <v>2.7397260273972603E-3</v>
      </c>
      <c r="AP15" s="74">
        <v>0</v>
      </c>
      <c r="AS15" s="82">
        <v>2.7397260273972603E-3</v>
      </c>
      <c r="AT15" s="74">
        <v>0</v>
      </c>
    </row>
    <row r="16" spans="1:47" x14ac:dyDescent="0.4">
      <c r="B16" s="60">
        <v>45303</v>
      </c>
      <c r="C16" s="61">
        <v>4.8760183953482604E-2</v>
      </c>
      <c r="F16" s="62"/>
      <c r="G16" s="63">
        <v>122902381.47179213</v>
      </c>
      <c r="H16" s="62">
        <v>0.95355000623918629</v>
      </c>
      <c r="I16" s="60">
        <v>45303</v>
      </c>
      <c r="J16" s="61">
        <v>4.4681680602248759E-2</v>
      </c>
      <c r="M16" s="62"/>
      <c r="N16" s="63">
        <v>132786701.79196911</v>
      </c>
      <c r="O16" s="62">
        <v>0.95355000623918629</v>
      </c>
      <c r="P16" s="21"/>
      <c r="Q16" s="82">
        <v>0.25</v>
      </c>
      <c r="R16" s="74">
        <v>0</v>
      </c>
      <c r="U16" s="82">
        <v>0.5</v>
      </c>
      <c r="V16" s="74">
        <v>0</v>
      </c>
      <c r="Y16" s="82">
        <v>0.25</v>
      </c>
      <c r="Z16" s="74">
        <v>0</v>
      </c>
      <c r="AC16" s="82">
        <v>0.25</v>
      </c>
      <c r="AD16" s="74">
        <v>0</v>
      </c>
      <c r="AG16" s="82">
        <v>0.25</v>
      </c>
      <c r="AH16" s="74">
        <v>0</v>
      </c>
      <c r="AK16" s="82">
        <v>0.5</v>
      </c>
      <c r="AL16" s="74">
        <v>0</v>
      </c>
      <c r="AO16" s="82">
        <v>0.25</v>
      </c>
      <c r="AP16" s="74">
        <v>0</v>
      </c>
      <c r="AS16" s="82">
        <v>0.25</v>
      </c>
      <c r="AT16" s="74">
        <v>0</v>
      </c>
    </row>
    <row r="17" spans="2:46" x14ac:dyDescent="0.4">
      <c r="B17" s="60">
        <v>45394</v>
      </c>
      <c r="C17" s="61">
        <v>5.3935128621558533E-2</v>
      </c>
      <c r="F17" s="62"/>
      <c r="G17" s="63">
        <v>134468402.86470777</v>
      </c>
      <c r="H17" s="62">
        <v>0.94077125783767368</v>
      </c>
      <c r="I17" s="60">
        <v>45394</v>
      </c>
      <c r="J17" s="61">
        <v>4.4340581987305838E-2</v>
      </c>
      <c r="M17" s="62"/>
      <c r="N17" s="63">
        <v>130492957.83136553</v>
      </c>
      <c r="O17" s="62">
        <v>0.94077125783767368</v>
      </c>
      <c r="P17" s="21"/>
      <c r="Q17" s="82">
        <v>0.5</v>
      </c>
      <c r="R17" s="74">
        <v>0</v>
      </c>
      <c r="U17" s="82">
        <v>1</v>
      </c>
      <c r="V17" s="74">
        <v>0</v>
      </c>
      <c r="Y17" s="82">
        <v>0.5</v>
      </c>
      <c r="Z17" s="74">
        <v>0</v>
      </c>
      <c r="AC17" s="82">
        <v>0.5</v>
      </c>
      <c r="AD17" s="74">
        <v>0</v>
      </c>
      <c r="AG17" s="82">
        <v>0.5</v>
      </c>
      <c r="AH17" s="74">
        <v>0</v>
      </c>
      <c r="AK17" s="82">
        <v>1</v>
      </c>
      <c r="AL17" s="74">
        <v>0</v>
      </c>
      <c r="AO17" s="82">
        <v>0.5</v>
      </c>
      <c r="AP17" s="74">
        <v>0</v>
      </c>
      <c r="AS17" s="82">
        <v>0.5</v>
      </c>
      <c r="AT17" s="74">
        <v>0</v>
      </c>
    </row>
    <row r="18" spans="2:46" x14ac:dyDescent="0.4">
      <c r="B18" s="60">
        <v>45485</v>
      </c>
      <c r="C18" s="61">
        <v>4.8412058196647963E-2</v>
      </c>
      <c r="F18" s="62"/>
      <c r="G18" s="63">
        <v>120698556.05191712</v>
      </c>
      <c r="H18" s="62">
        <v>0.92940896884428281</v>
      </c>
      <c r="I18" s="60">
        <v>45485</v>
      </c>
      <c r="J18" s="61">
        <v>4.3985345691059663E-2</v>
      </c>
      <c r="M18" s="62"/>
      <c r="N18" s="63">
        <v>129607300.21606572</v>
      </c>
      <c r="O18" s="62">
        <v>0.92940896884428281</v>
      </c>
      <c r="P18" s="21"/>
      <c r="Q18" s="82">
        <v>1</v>
      </c>
      <c r="R18" s="74">
        <v>0</v>
      </c>
      <c r="U18" s="82">
        <v>2</v>
      </c>
      <c r="V18" s="74">
        <v>0</v>
      </c>
      <c r="Y18" s="82">
        <v>1</v>
      </c>
      <c r="Z18" s="74">
        <v>0</v>
      </c>
      <c r="AC18" s="82">
        <v>1</v>
      </c>
      <c r="AD18" s="74">
        <v>0</v>
      </c>
      <c r="AG18" s="82">
        <v>1</v>
      </c>
      <c r="AH18" s="74">
        <v>0</v>
      </c>
      <c r="AK18" s="82">
        <v>2</v>
      </c>
      <c r="AL18" s="74">
        <v>0</v>
      </c>
      <c r="AO18" s="82">
        <v>1</v>
      </c>
      <c r="AP18" s="74">
        <v>0</v>
      </c>
      <c r="AS18" s="82">
        <v>1</v>
      </c>
      <c r="AT18" s="74">
        <v>0</v>
      </c>
    </row>
    <row r="19" spans="2:46" x14ac:dyDescent="0.4">
      <c r="B19" s="60">
        <v>45577</v>
      </c>
      <c r="C19" s="61">
        <v>5.0060549369101738E-2</v>
      </c>
      <c r="F19" s="62"/>
      <c r="G19" s="63">
        <v>126180014.8481466</v>
      </c>
      <c r="H19" s="62">
        <v>0.91776044588663341</v>
      </c>
      <c r="I19" s="60">
        <v>45577</v>
      </c>
      <c r="J19" s="61">
        <v>4.3783554796033096E-2</v>
      </c>
      <c r="M19" s="62"/>
      <c r="N19" s="63">
        <v>130522932.63657618</v>
      </c>
      <c r="O19" s="62">
        <v>0.91776044588663341</v>
      </c>
      <c r="P19" s="21"/>
      <c r="Q19" s="82">
        <v>1.5</v>
      </c>
      <c r="R19" s="74">
        <v>0</v>
      </c>
      <c r="U19" s="82">
        <v>3</v>
      </c>
      <c r="V19" s="74">
        <v>0</v>
      </c>
      <c r="Y19" s="82">
        <v>1.5</v>
      </c>
      <c r="Z19" s="74">
        <v>0</v>
      </c>
      <c r="AC19" s="82">
        <v>1.5</v>
      </c>
      <c r="AD19" s="74">
        <v>0</v>
      </c>
      <c r="AG19" s="82">
        <v>1.5</v>
      </c>
      <c r="AH19" s="74">
        <v>0</v>
      </c>
      <c r="AK19" s="82">
        <v>3</v>
      </c>
      <c r="AL19" s="74">
        <v>0</v>
      </c>
      <c r="AO19" s="82">
        <v>1.5</v>
      </c>
      <c r="AP19" s="74">
        <v>0</v>
      </c>
      <c r="AS19" s="82">
        <v>1.5</v>
      </c>
      <c r="AT19" s="74">
        <v>0</v>
      </c>
    </row>
    <row r="20" spans="2:46" x14ac:dyDescent="0.4">
      <c r="B20" s="60">
        <v>45669</v>
      </c>
      <c r="C20" s="61">
        <v>4.3330033635950366E-2</v>
      </c>
      <c r="F20" s="62"/>
      <c r="G20" s="64">
        <v>109215427.24677975</v>
      </c>
      <c r="H20" s="62">
        <v>0.90777384386796822</v>
      </c>
      <c r="I20" s="60">
        <v>45669</v>
      </c>
      <c r="J20" s="61">
        <v>4.493738811477941E-2</v>
      </c>
      <c r="M20" s="62"/>
      <c r="N20" s="64">
        <v>133431224.83725208</v>
      </c>
      <c r="O20" s="62">
        <v>0.90777384386796822</v>
      </c>
      <c r="P20" s="21"/>
      <c r="Q20" s="82">
        <v>2</v>
      </c>
      <c r="R20" s="74">
        <v>0</v>
      </c>
      <c r="U20" s="82">
        <v>5</v>
      </c>
      <c r="V20" s="74">
        <v>0</v>
      </c>
      <c r="Y20" s="82">
        <v>2</v>
      </c>
      <c r="Z20" s="74">
        <v>0</v>
      </c>
      <c r="AC20" s="82">
        <v>2</v>
      </c>
      <c r="AD20" s="74">
        <v>0</v>
      </c>
      <c r="AG20" s="82">
        <v>2</v>
      </c>
      <c r="AH20" s="74">
        <v>0</v>
      </c>
      <c r="AK20" s="82">
        <v>5</v>
      </c>
      <c r="AL20" s="74">
        <v>0</v>
      </c>
      <c r="AO20" s="82">
        <v>2</v>
      </c>
      <c r="AP20" s="74">
        <v>0</v>
      </c>
      <c r="AS20" s="82">
        <v>2</v>
      </c>
      <c r="AT20" s="74">
        <v>0</v>
      </c>
    </row>
    <row r="21" spans="2:46" x14ac:dyDescent="0.4">
      <c r="B21" s="60">
        <v>45759</v>
      </c>
      <c r="C21" s="61">
        <v>4.3509050992342466E-2</v>
      </c>
      <c r="F21" s="62"/>
      <c r="G21" s="64">
        <v>107282591.48796861</v>
      </c>
      <c r="H21" s="62">
        <v>0.89806140805681001</v>
      </c>
      <c r="I21" s="60">
        <v>45759</v>
      </c>
      <c r="J21" s="61">
        <v>4.4910322262211179E-2</v>
      </c>
      <c r="M21" s="62"/>
      <c r="N21" s="64">
        <v>130463808.31778145</v>
      </c>
      <c r="O21" s="62">
        <v>0.89806140805681001</v>
      </c>
      <c r="P21" s="21"/>
      <c r="Q21" s="82">
        <v>2</v>
      </c>
      <c r="R21" s="74">
        <v>0</v>
      </c>
      <c r="U21" s="82">
        <v>7</v>
      </c>
      <c r="V21" s="74">
        <v>0</v>
      </c>
      <c r="Y21" s="82">
        <v>3</v>
      </c>
      <c r="Z21" s="74">
        <v>0</v>
      </c>
      <c r="AC21" s="82">
        <v>3</v>
      </c>
      <c r="AD21" s="74">
        <v>0</v>
      </c>
      <c r="AG21" s="82">
        <v>2</v>
      </c>
      <c r="AH21" s="74">
        <v>0</v>
      </c>
      <c r="AK21" s="82">
        <v>7</v>
      </c>
      <c r="AL21" s="74">
        <v>0</v>
      </c>
      <c r="AO21" s="82">
        <v>3</v>
      </c>
      <c r="AP21" s="74">
        <v>0</v>
      </c>
      <c r="AS21" s="82">
        <v>3</v>
      </c>
      <c r="AT21" s="74">
        <v>0</v>
      </c>
    </row>
    <row r="22" spans="2:46" x14ac:dyDescent="0.4">
      <c r="B22" s="60">
        <v>45850</v>
      </c>
      <c r="C22" s="61">
        <v>4.3724563100779851E-2</v>
      </c>
      <c r="F22" s="62"/>
      <c r="G22" s="64">
        <v>109011924.44304007</v>
      </c>
      <c r="H22" s="62">
        <v>0.8883091323403145</v>
      </c>
      <c r="I22" s="60">
        <v>45850</v>
      </c>
      <c r="J22" s="61">
        <v>4.4988116437387989E-2</v>
      </c>
      <c r="M22" s="62"/>
      <c r="N22" s="64">
        <v>132107358.78910448</v>
      </c>
      <c r="O22" s="62">
        <v>0.8883091323403145</v>
      </c>
      <c r="P22" s="21"/>
      <c r="Q22" s="82">
        <v>3</v>
      </c>
      <c r="R22" s="74">
        <v>0</v>
      </c>
      <c r="U22" s="82">
        <v>10</v>
      </c>
      <c r="V22" s="74">
        <v>0</v>
      </c>
      <c r="Y22" s="82">
        <v>4</v>
      </c>
      <c r="Z22" s="74">
        <v>0</v>
      </c>
      <c r="AC22" s="82">
        <v>4</v>
      </c>
      <c r="AD22" s="74">
        <v>0</v>
      </c>
      <c r="AG22" s="82">
        <v>3</v>
      </c>
      <c r="AH22" s="74">
        <v>0</v>
      </c>
      <c r="AK22" s="82">
        <v>10</v>
      </c>
      <c r="AL22" s="74">
        <v>0</v>
      </c>
      <c r="AO22" s="82">
        <v>4</v>
      </c>
      <c r="AP22" s="74">
        <v>0</v>
      </c>
      <c r="AS22" s="82">
        <v>4</v>
      </c>
      <c r="AT22" s="74">
        <v>0</v>
      </c>
    </row>
    <row r="23" spans="2:46" x14ac:dyDescent="0.4">
      <c r="B23" s="60">
        <v>45942</v>
      </c>
      <c r="C23" s="61">
        <v>4.4188609799016197E-2</v>
      </c>
      <c r="F23" s="62"/>
      <c r="G23" s="64">
        <v>111379509.63039643</v>
      </c>
      <c r="H23" s="62">
        <v>0.87845627345318089</v>
      </c>
      <c r="I23" s="60">
        <v>45942</v>
      </c>
      <c r="J23" s="61">
        <v>4.4663669212603889E-2</v>
      </c>
      <c r="M23" s="62"/>
      <c r="N23" s="64">
        <v>132741303.22080989</v>
      </c>
      <c r="O23" s="62">
        <v>0.87845627345318089</v>
      </c>
      <c r="P23" s="21"/>
      <c r="Q23" s="82">
        <v>4</v>
      </c>
      <c r="R23" s="74">
        <v>0</v>
      </c>
      <c r="U23" s="82">
        <v>20</v>
      </c>
      <c r="V23" s="74">
        <v>0</v>
      </c>
      <c r="Y23" s="82">
        <v>5</v>
      </c>
      <c r="Z23" s="74">
        <v>0</v>
      </c>
      <c r="AC23" s="82">
        <v>5</v>
      </c>
      <c r="AD23" s="74">
        <v>0</v>
      </c>
      <c r="AG23" s="82">
        <v>4</v>
      </c>
      <c r="AH23" s="74">
        <v>0</v>
      </c>
      <c r="AK23" s="82">
        <v>20</v>
      </c>
      <c r="AL23" s="74">
        <v>0</v>
      </c>
      <c r="AO23" s="82">
        <v>5</v>
      </c>
      <c r="AP23" s="74">
        <v>0</v>
      </c>
      <c r="AS23" s="82">
        <v>5</v>
      </c>
      <c r="AT23" s="74">
        <v>0</v>
      </c>
    </row>
    <row r="24" spans="2:46" x14ac:dyDescent="0.4">
      <c r="B24" s="60">
        <v>46034</v>
      </c>
      <c r="C24" s="61">
        <v>4.6411914210431476E-2</v>
      </c>
      <c r="F24" s="62"/>
      <c r="G24" s="64">
        <v>116983454.99615656</v>
      </c>
      <c r="H24" s="62">
        <v>0.86824374885889766</v>
      </c>
      <c r="I24" s="60">
        <v>46034</v>
      </c>
      <c r="J24" s="61">
        <v>4.1832400809330039E-2</v>
      </c>
      <c r="M24" s="62"/>
      <c r="N24" s="64">
        <v>125604955.46461283</v>
      </c>
      <c r="O24" s="62">
        <v>0.86824374885889766</v>
      </c>
      <c r="P24" s="21"/>
      <c r="Q24" s="82">
        <v>5</v>
      </c>
      <c r="R24" s="74">
        <v>0</v>
      </c>
      <c r="U24" s="82">
        <v>30</v>
      </c>
      <c r="V24" s="74">
        <v>0</v>
      </c>
      <c r="Y24" s="82">
        <v>6</v>
      </c>
      <c r="Z24" s="74">
        <v>0</v>
      </c>
      <c r="AC24" s="82">
        <v>6</v>
      </c>
      <c r="AD24" s="74">
        <v>0</v>
      </c>
      <c r="AG24" s="82">
        <v>5</v>
      </c>
      <c r="AH24" s="74">
        <v>0</v>
      </c>
      <c r="AK24" s="82">
        <v>30</v>
      </c>
      <c r="AL24" s="74">
        <v>0</v>
      </c>
      <c r="AO24" s="82">
        <v>6</v>
      </c>
      <c r="AP24" s="74">
        <v>0</v>
      </c>
      <c r="AS24" s="82">
        <v>6</v>
      </c>
      <c r="AT24" s="74">
        <v>0</v>
      </c>
    </row>
    <row r="25" spans="2:46" x14ac:dyDescent="0.4">
      <c r="B25" s="60">
        <v>46124</v>
      </c>
      <c r="C25" s="61">
        <v>4.6998738297778078E-2</v>
      </c>
      <c r="F25" s="62"/>
      <c r="G25" s="64">
        <v>115887299.91232917</v>
      </c>
      <c r="H25" s="62">
        <v>0.8582622614084513</v>
      </c>
      <c r="I25" s="60">
        <v>46124</v>
      </c>
      <c r="J25" s="61">
        <v>4.13960544396966E-2</v>
      </c>
      <c r="M25" s="62"/>
      <c r="N25" s="64">
        <v>121798490.39925206</v>
      </c>
      <c r="O25" s="62">
        <v>0.8582622614084513</v>
      </c>
      <c r="P25" s="21"/>
      <c r="Q25" s="82">
        <v>10</v>
      </c>
      <c r="R25" s="74">
        <v>0</v>
      </c>
      <c r="Y25" s="82">
        <v>7</v>
      </c>
      <c r="Z25" s="74">
        <v>0</v>
      </c>
      <c r="AC25" s="82">
        <v>7</v>
      </c>
      <c r="AD25" s="74">
        <v>0</v>
      </c>
      <c r="AG25" s="82">
        <v>10</v>
      </c>
      <c r="AH25" s="74">
        <v>0</v>
      </c>
      <c r="AO25" s="82">
        <v>7</v>
      </c>
      <c r="AP25" s="74">
        <v>0</v>
      </c>
      <c r="AS25" s="82">
        <v>7</v>
      </c>
      <c r="AT25" s="74">
        <v>0</v>
      </c>
    </row>
    <row r="26" spans="2:46" x14ac:dyDescent="0.4">
      <c r="B26" s="60">
        <v>46215</v>
      </c>
      <c r="C26" s="61">
        <v>4.7566421247090561E-2</v>
      </c>
      <c r="F26" s="62"/>
      <c r="G26" s="64">
        <v>118590255.71192433</v>
      </c>
      <c r="H26" s="62">
        <v>0.84818756328768374</v>
      </c>
      <c r="I26" s="60">
        <v>46215</v>
      </c>
      <c r="J26" s="61">
        <v>4.0995750195295472E-2</v>
      </c>
      <c r="M26" s="62"/>
      <c r="N26" s="64">
        <v>122153788.15813342</v>
      </c>
      <c r="O26" s="62">
        <v>0.84818756328768374</v>
      </c>
      <c r="P26" s="21"/>
      <c r="Q26" s="82">
        <v>20</v>
      </c>
      <c r="R26" s="74">
        <v>0</v>
      </c>
      <c r="Y26" s="82">
        <v>8</v>
      </c>
      <c r="Z26" s="74">
        <v>0</v>
      </c>
      <c r="AC26" s="82">
        <v>8</v>
      </c>
      <c r="AD26" s="74">
        <v>0</v>
      </c>
      <c r="AG26" s="82">
        <v>20</v>
      </c>
      <c r="AH26" s="74">
        <v>0</v>
      </c>
      <c r="AO26" s="82">
        <v>8</v>
      </c>
      <c r="AP26" s="74">
        <v>0</v>
      </c>
      <c r="AS26" s="82">
        <v>8</v>
      </c>
      <c r="AT26" s="74">
        <v>0</v>
      </c>
    </row>
    <row r="27" spans="2:46" x14ac:dyDescent="0.4">
      <c r="B27" s="60">
        <v>46307</v>
      </c>
      <c r="C27" s="61">
        <v>4.6958260182670526E-2</v>
      </c>
      <c r="F27" s="62"/>
      <c r="G27" s="64">
        <v>118360546.21385382</v>
      </c>
      <c r="H27" s="62">
        <v>0.83831223568300695</v>
      </c>
      <c r="I27" s="60">
        <v>46307</v>
      </c>
      <c r="J27" s="61">
        <v>4.0540857310488898E-2</v>
      </c>
      <c r="M27" s="62"/>
      <c r="N27" s="64">
        <v>122349558.15246582</v>
      </c>
      <c r="O27" s="62">
        <v>0.83831223568300695</v>
      </c>
      <c r="P27" s="21"/>
      <c r="Q27" s="82">
        <v>30</v>
      </c>
      <c r="R27" s="74">
        <v>0</v>
      </c>
      <c r="Y27" s="82">
        <v>9</v>
      </c>
      <c r="Z27" s="74">
        <v>0</v>
      </c>
      <c r="AC27" s="82">
        <v>9</v>
      </c>
      <c r="AD27" s="74">
        <v>0</v>
      </c>
      <c r="AG27" s="82">
        <v>30</v>
      </c>
      <c r="AH27" s="74">
        <v>0</v>
      </c>
      <c r="AO27" s="82">
        <v>9</v>
      </c>
      <c r="AP27" s="74">
        <v>0</v>
      </c>
      <c r="AS27" s="82">
        <v>9</v>
      </c>
      <c r="AT27" s="74">
        <v>0</v>
      </c>
    </row>
    <row r="28" spans="2:46" x14ac:dyDescent="0.4">
      <c r="B28" s="60">
        <v>46399</v>
      </c>
      <c r="C28" s="61">
        <v>4.2030075466431664E-2</v>
      </c>
      <c r="F28" s="62"/>
      <c r="G28" s="64">
        <v>105938820.35374551</v>
      </c>
      <c r="H28" s="62">
        <v>0.82957130864098549</v>
      </c>
      <c r="I28" s="60">
        <v>46399</v>
      </c>
      <c r="J28" s="61">
        <v>4.0035750864429648E-2</v>
      </c>
      <c r="M28" s="62"/>
      <c r="N28" s="64">
        <v>121076413.13774115</v>
      </c>
      <c r="O28" s="62">
        <v>0.82957130864098549</v>
      </c>
      <c r="P28" s="21"/>
      <c r="Y28" s="82">
        <v>10</v>
      </c>
      <c r="Z28" s="74">
        <v>0</v>
      </c>
      <c r="AC28" s="82">
        <v>10</v>
      </c>
      <c r="AD28" s="74">
        <v>0</v>
      </c>
      <c r="AO28" s="82">
        <v>10</v>
      </c>
      <c r="AP28" s="74">
        <v>0</v>
      </c>
      <c r="AS28" s="82">
        <v>10</v>
      </c>
      <c r="AT28" s="74">
        <v>0</v>
      </c>
    </row>
    <row r="29" spans="2:46" x14ac:dyDescent="0.4">
      <c r="B29" s="60">
        <v>46489</v>
      </c>
      <c r="C29" s="61">
        <v>4.1935496508942793E-2</v>
      </c>
      <c r="F29" s="62"/>
      <c r="G29" s="64">
        <v>103402594.13163923</v>
      </c>
      <c r="H29" s="62">
        <v>0.82113219137473692</v>
      </c>
      <c r="I29" s="60">
        <v>46489</v>
      </c>
      <c r="J29" s="61">
        <v>3.9684524843110816E-2</v>
      </c>
      <c r="M29" s="62"/>
      <c r="N29" s="64">
        <v>117578280.43506782</v>
      </c>
      <c r="O29" s="62">
        <v>0.82113219137473692</v>
      </c>
      <c r="P29" s="21"/>
      <c r="Y29" s="82">
        <v>12</v>
      </c>
      <c r="Z29" s="74">
        <v>0</v>
      </c>
      <c r="AC29" s="82">
        <v>12</v>
      </c>
      <c r="AD29" s="74">
        <v>0</v>
      </c>
      <c r="AO29" s="82">
        <v>12</v>
      </c>
      <c r="AP29" s="74">
        <v>0</v>
      </c>
      <c r="AS29" s="82">
        <v>12</v>
      </c>
      <c r="AT29" s="74">
        <v>0</v>
      </c>
    </row>
    <row r="30" spans="2:46" x14ac:dyDescent="0.4">
      <c r="B30" s="60">
        <v>46580</v>
      </c>
      <c r="C30" s="61">
        <v>4.1760992471659431E-2</v>
      </c>
      <c r="F30" s="62"/>
      <c r="G30" s="64">
        <v>104116446.98413734</v>
      </c>
      <c r="H30" s="62">
        <v>0.81275975886920648</v>
      </c>
      <c r="I30" s="60">
        <v>46580</v>
      </c>
      <c r="J30" s="61">
        <v>3.9178401643712592E-2</v>
      </c>
      <c r="M30" s="62"/>
      <c r="N30" s="64">
        <v>117622864.37199613</v>
      </c>
      <c r="O30" s="62">
        <v>0.81275975886920648</v>
      </c>
      <c r="P30" s="21"/>
      <c r="Y30" s="82">
        <v>15</v>
      </c>
      <c r="Z30" s="74">
        <v>0</v>
      </c>
      <c r="AC30" s="82">
        <v>15</v>
      </c>
      <c r="AD30" s="74">
        <v>0</v>
      </c>
      <c r="AO30" s="82">
        <v>15</v>
      </c>
      <c r="AP30" s="74">
        <v>0</v>
      </c>
      <c r="AS30" s="82">
        <v>15</v>
      </c>
      <c r="AT30" s="74">
        <v>0</v>
      </c>
    </row>
    <row r="31" spans="2:46" x14ac:dyDescent="0.4">
      <c r="B31" s="60">
        <v>46672</v>
      </c>
      <c r="C31" s="61">
        <v>4.2309561741536349E-2</v>
      </c>
      <c r="F31" s="62"/>
      <c r="G31" s="64">
        <v>106643278.9101737</v>
      </c>
      <c r="H31" s="62">
        <v>0.8042738480245758</v>
      </c>
      <c r="I31" s="60">
        <v>46672</v>
      </c>
      <c r="J31" s="61">
        <v>3.9496151885828779E-2</v>
      </c>
      <c r="M31" s="62"/>
      <c r="N31" s="64">
        <v>119716328.04099326</v>
      </c>
      <c r="O31" s="62">
        <v>0.8042738480245758</v>
      </c>
      <c r="P31" s="21"/>
      <c r="Y31" s="82">
        <v>20</v>
      </c>
      <c r="Z31" s="74">
        <v>0</v>
      </c>
      <c r="AC31" s="82">
        <v>20</v>
      </c>
      <c r="AD31" s="74">
        <v>0</v>
      </c>
      <c r="AO31" s="82">
        <v>20</v>
      </c>
      <c r="AP31" s="74">
        <v>0</v>
      </c>
      <c r="AS31" s="82">
        <v>20</v>
      </c>
      <c r="AT31" s="74">
        <v>0</v>
      </c>
    </row>
    <row r="32" spans="2:46" x14ac:dyDescent="0.4">
      <c r="B32" s="60">
        <v>46764</v>
      </c>
      <c r="C32" s="61">
        <v>4.4359215109934978E-2</v>
      </c>
      <c r="F32" s="62"/>
      <c r="G32" s="64">
        <v>111809528.4962744</v>
      </c>
      <c r="H32" s="62">
        <v>0.79551358269105188</v>
      </c>
      <c r="I32" s="60">
        <v>46764</v>
      </c>
      <c r="J32" s="61">
        <v>4.1487186758955706E-2</v>
      </c>
      <c r="M32" s="62"/>
      <c r="N32" s="64">
        <v>124734826.89928566</v>
      </c>
      <c r="O32" s="62">
        <v>0.79551358269105188</v>
      </c>
      <c r="P32" s="21"/>
    </row>
    <row r="33" spans="2:16" x14ac:dyDescent="0.4">
      <c r="B33" s="60"/>
      <c r="F33" s="62"/>
      <c r="G33" s="64"/>
      <c r="H33" s="62"/>
      <c r="I33" s="60"/>
      <c r="M33" s="62"/>
      <c r="N33" s="64"/>
      <c r="O33" s="62"/>
      <c r="P33" s="21"/>
    </row>
  </sheetData>
  <mergeCells count="31"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Q10:R10"/>
    <mergeCell ref="Q13:R13"/>
    <mergeCell ref="U10:V10"/>
    <mergeCell ref="U13:V13"/>
    <mergeCell ref="Y10:Z10"/>
    <mergeCell ref="Y13:Z1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2022-11-02T14:24:17Z</dcterms:modified>
</cp:coreProperties>
</file>